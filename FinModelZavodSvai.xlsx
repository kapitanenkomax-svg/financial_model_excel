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kapit\Desktop\"/>
    </mc:Choice>
  </mc:AlternateContent>
  <xr:revisionPtr revIDLastSave="0" documentId="13_ncr:1_{84157779-FFAA-44A3-A1F1-F3D820BDD43A}" xr6:coauthVersionLast="47" xr6:coauthVersionMax="47" xr10:uidLastSave="{00000000-0000-0000-0000-000000000000}"/>
  <bookViews>
    <workbookView xWindow="-108" yWindow="-108" windowWidth="30936" windowHeight="16776" tabRatio="689" xr2:uid="{00000000-000D-0000-FFFF-FFFF00000000}"/>
  </bookViews>
  <sheets>
    <sheet name="Содержание" sheetId="21" r:id="rId1"/>
    <sheet name="Ввод" sheetId="18" r:id="rId2"/>
    <sheet name="Расчет" sheetId="34" r:id="rId3"/>
    <sheet name="Отчетность" sheetId="15" r:id="rId4"/>
    <sheet name="Результат" sheetId="29" r:id="rId5"/>
  </sheets>
  <definedNames>
    <definedName name="\" hidden="1">#REF!</definedName>
    <definedName name="_____________fgd2" hidden="1">{"'Северо-Никольское '!$A$6:$J$40"}</definedName>
    <definedName name="____________fgd2" hidden="1">{"'Северо-Никольское '!$A$6:$J$40"}</definedName>
    <definedName name="___________fgd2" hidden="1">{"'Северо-Никольское '!$A$6:$J$40"}</definedName>
    <definedName name="__________fgd2" hidden="1">{"'Северо-Никольское '!$A$6:$J$40"}</definedName>
    <definedName name="_________A3" hidden="1">{#N/A,#N/A,FALSE,"earnings"}</definedName>
    <definedName name="_________A4" hidden="1">{#N/A,#N/A,FALSE,"earnings"}</definedName>
    <definedName name="_________A6" hidden="1">{"balance",#N/A,FALSE,"Remedy-model";"calendar quarterly",#N/A,FALSE,"Remedy-model";"cash flow",#N/A,FALSE,"Remedy-model";"fiscal quarter",#N/A,FALSE,"Remedy-model";"income",#N/A,FALSE,"Remedy-model";"percentage",#N/A,FALSE,"Remedy-model"}</definedName>
    <definedName name="_________A7" hidden="1">{"Calenquart",#N/A,FALSE,"Remedy-model";"fiscquarter",#N/A,FALSE,"Remedy-model"}</definedName>
    <definedName name="_________A8" hidden="1">{#N/A,#N/A,FALSE,"earnings"}</definedName>
    <definedName name="_________A9" hidden="1">{#N/A,#N/A,FALSE,"earnings"}</definedName>
    <definedName name="________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_____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_____fgd2" hidden="1">{"'Северо-Никольское '!$A$6:$J$40"}</definedName>
    <definedName name="_______A3" hidden="1">{#N/A,#N/A,FALSE,"earnings"}</definedName>
    <definedName name="_______A4" hidden="1">{#N/A,#N/A,FALSE,"earnings"}</definedName>
    <definedName name="_______A6" hidden="1">{"balance",#N/A,FALSE,"Remedy-model";"calendar quarterly",#N/A,FALSE,"Remedy-model";"cash flow",#N/A,FALSE,"Remedy-model";"fiscal quarter",#N/A,FALSE,"Remedy-model";"income",#N/A,FALSE,"Remedy-model";"percentage",#N/A,FALSE,"Remedy-model"}</definedName>
    <definedName name="_______A7" hidden="1">{"Calenquart",#N/A,FALSE,"Remedy-model";"fiscquarter",#N/A,FALSE,"Remedy-model"}</definedName>
    <definedName name="_______A8" hidden="1">{#N/A,#N/A,FALSE,"earnings"}</definedName>
    <definedName name="_______A9" hidden="1">{#N/A,#N/A,FALSE,"earnings"}</definedName>
    <definedName name="______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___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____fgd2" hidden="1">{"'Северо-Никольское '!$A$6:$J$40"}</definedName>
    <definedName name="_______xlfn.BAHTTEXT" hidden="1">#NAME?</definedName>
    <definedName name="______A3" hidden="1">{#N/A,#N/A,FALSE,"earnings"}</definedName>
    <definedName name="______A4" hidden="1">{#N/A,#N/A,FALSE,"earnings"}</definedName>
    <definedName name="______A6" hidden="1">{"balance",#N/A,FALSE,"Remedy-model";"calendar quarterly",#N/A,FALSE,"Remedy-model";"cash flow",#N/A,FALSE,"Remedy-model";"fiscal quarter",#N/A,FALSE,"Remedy-model";"income",#N/A,FALSE,"Remedy-model";"percentage",#N/A,FALSE,"Remedy-model"}</definedName>
    <definedName name="______A7" hidden="1">{"Calenquart",#N/A,FALSE,"Remedy-model";"fiscquarter",#N/A,FALSE,"Remedy-model"}</definedName>
    <definedName name="______A8" hidden="1">{#N/A,#N/A,FALSE,"earnings"}</definedName>
    <definedName name="______A9" hidden="1">{#N/A,#N/A,FALSE,"earnings"}</definedName>
    <definedName name="_____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__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___fgd2" hidden="1">{"'Северо-Никольское '!$A$6:$J$40"}</definedName>
    <definedName name="______xlfn.BAHTTEXT" hidden="1">#NAME?</definedName>
    <definedName name="_____fgd2" hidden="1">{"'Северо-Никольское '!$A$6:$J$40"}</definedName>
    <definedName name="_____xlfn.BAHTTEXT" hidden="1">#NAME?</definedName>
    <definedName name="____A3" hidden="1">{#N/A,#N/A,FALSE,"earnings"}</definedName>
    <definedName name="____A4" hidden="1">{#N/A,#N/A,FALSE,"earnings"}</definedName>
    <definedName name="____A6" hidden="1">{"balance",#N/A,FALSE,"Remedy-model";"calendar quarterly",#N/A,FALSE,"Remedy-model";"cash flow",#N/A,FALSE,"Remedy-model";"fiscal quarter",#N/A,FALSE,"Remedy-model";"income",#N/A,FALSE,"Remedy-model";"percentage",#N/A,FALSE,"Remedy-model"}</definedName>
    <definedName name="____A7" hidden="1">{"Calenquart",#N/A,FALSE,"Remedy-model";"fiscquarter",#N/A,FALSE,"Remedy-model"}</definedName>
    <definedName name="____A8" hidden="1">{#N/A,#N/A,FALSE,"earnings"}</definedName>
    <definedName name="____A9" hidden="1">{#N/A,#N/A,FALSE,"earnings"}</definedName>
    <definedName name="___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_fgd2" hidden="1">{"'Северо-Никольское '!$A$6:$J$40"}</definedName>
    <definedName name="____xlfn.BAHTTEXT" hidden="1">#NAME?</definedName>
    <definedName name="____xlfn.COUNTIFS" hidden="1">#NAME?</definedName>
    <definedName name="___A3" hidden="1">{#N/A,#N/A,FALSE,"earnings"}</definedName>
    <definedName name="___A4" hidden="1">{#N/A,#N/A,FALSE,"earnings"}</definedName>
    <definedName name="___A6" hidden="1">{"balance",#N/A,FALSE,"Remedy-model";"calendar quarterly",#N/A,FALSE,"Remedy-model";"cash flow",#N/A,FALSE,"Remedy-model";"fiscal quarter",#N/A,FALSE,"Remedy-model";"income",#N/A,FALSE,"Remedy-model";"percentage",#N/A,FALSE,"Remedy-model"}</definedName>
    <definedName name="___A7" hidden="1">{"Calenquart",#N/A,FALSE,"Remedy-model";"fiscquarter",#N/A,FALSE,"Remedy-model"}</definedName>
    <definedName name="___A8" hidden="1">{#N/A,#N/A,FALSE,"earnings"}</definedName>
    <definedName name="___A9" hidden="1">{#N/A,#N/A,FALSE,"earnings"}</definedName>
    <definedName name="__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fgd2" hidden="1">{"'Северо-Никольское '!$A$6:$J$40"}</definedName>
    <definedName name="___xlfn.BAHTTEXT" hidden="1">#NAME?</definedName>
    <definedName name="___xlfn.COUNTIFS" hidden="1">#NAME?</definedName>
    <definedName name="__123Graph" hidden="1">#REF!</definedName>
    <definedName name="__123Graph_A" hidden="1">#REF!</definedName>
    <definedName name="__123Graph_ACRPIE90" hidden="1">#REF!</definedName>
    <definedName name="__123Graph_ACRPIE91" hidden="1">#REF!</definedName>
    <definedName name="__123Graph_ACRPIE92" hidden="1">#REF!</definedName>
    <definedName name="__123Graph_ACRPIE93" hidden="1">#REF!</definedName>
    <definedName name="__123Graph_AFORE97" hidden="1">#REF!</definedName>
    <definedName name="__123Graph_AFORECAST" hidden="1">#REF!</definedName>
    <definedName name="__123Graph_AGraph1" hidden="1">#REF!</definedName>
    <definedName name="__123Graph_AHISTORY" hidden="1">#REF!</definedName>
    <definedName name="__123Graph_APPMRUSFC" hidden="1">#REF!</definedName>
    <definedName name="__123Graph_APPMRUSHS" hidden="1">#REF!</definedName>
    <definedName name="__123Graph_ARUFTIRBL" hidden="1">#REF!</definedName>
    <definedName name="__123Graph_ARUINC" hidden="1">#REF!</definedName>
    <definedName name="__123Graph_AUKFTIRBL" hidden="1">#REF!</definedName>
    <definedName name="__123Graph_AUKIR" hidden="1">#REF!</definedName>
    <definedName name="__123Graph_AUKRTT" hidden="1">#REF!</definedName>
    <definedName name="__123Graph_B" hidden="1">#REF!</definedName>
    <definedName name="__123Graph_BRUFTIRBL" hidden="1">#REF!</definedName>
    <definedName name="__123Graph_BUKFTIRBL" hidden="1">#REF!</definedName>
    <definedName name="__123Graph_BUKIR" hidden="1">#REF!</definedName>
    <definedName name="__123Graph_BUKRTT" hidden="1">#REF!</definedName>
    <definedName name="__123Graph_CRUFTIRBL" hidden="1">#REF!</definedName>
    <definedName name="__123Graph_CUKFTIRBL" hidden="1">#REF!</definedName>
    <definedName name="__123Graph_D" hidden="1">#REF!</definedName>
    <definedName name="__123Graph_LBL_A" hidden="1">#REF!</definedName>
    <definedName name="__123Graph_LBL_ACRPIE90" hidden="1">#REF!</definedName>
    <definedName name="__123Graph_LBL_ACRPIE91" hidden="1">#REF!</definedName>
    <definedName name="__123Graph_LBL_ACRPIE92" hidden="1">#REF!</definedName>
    <definedName name="__123Graph_LBL_ACRPIE93" hidden="1">#REF!</definedName>
    <definedName name="__123Graph_X" hidden="1">#REF!</definedName>
    <definedName name="__123Graph_XFORE97" hidden="1">#REF!</definedName>
    <definedName name="__123Graph_XFORECAST" hidden="1">#REF!</definedName>
    <definedName name="__123Graph_XHISTORY" hidden="1">#REF!</definedName>
    <definedName name="__123Graph_XPPMRUSFC" hidden="1">#REF!</definedName>
    <definedName name="__123Graph_XPPMRUSHS" hidden="1">#REF!</definedName>
    <definedName name="__123Graph_XRUFTIRBL" hidden="1">#REF!</definedName>
    <definedName name="__123Graph_XRUGAO" hidden="1">#REF!</definedName>
    <definedName name="__123Graph_XRUGIO" hidden="1">#REF!</definedName>
    <definedName name="__123Graph_XRUINC" hidden="1">#REF!</definedName>
    <definedName name="__A3" hidden="1">{#N/A,#N/A,FALSE,"earnings"}</definedName>
    <definedName name="__A4" hidden="1">{#N/A,#N/A,FALSE,"earnings"}</definedName>
    <definedName name="__A6" hidden="1">{"balance",#N/A,FALSE,"Remedy-model";"calendar quarterly",#N/A,FALSE,"Remedy-model";"cash flow",#N/A,FALSE,"Remedy-model";"fiscal quarter",#N/A,FALSE,"Remedy-model";"income",#N/A,FALSE,"Remedy-model";"percentage",#N/A,FALSE,"Remedy-model"}</definedName>
    <definedName name="__A7" hidden="1">{"Calenquart",#N/A,FALSE,"Remedy-model";"fiscquarter",#N/A,FALSE,"Remedy-model"}</definedName>
    <definedName name="__A8" hidden="1">{#N/A,#N/A,FALSE,"earnings"}</definedName>
    <definedName name="__A9" hidden="1">{#N/A,#N/A,FALSE,"earnings"}</definedName>
    <definedName name="_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FDS_HYPERLINK_TOGGLE_STATE__" hidden="1">"ON"</definedName>
    <definedName name="__fgd2" hidden="1">{"'Северо-Никольское '!$A$6:$J$40"}</definedName>
    <definedName name="__IntlFixup" hidden="1">TRUE</definedName>
    <definedName name="__xlfn.BAHTTEXT" hidden="1">#NAME?</definedName>
    <definedName name="__xlfn.COUNTIFS" hidden="1">#NAME?</definedName>
    <definedName name="_1" hidden="1">#REF!</definedName>
    <definedName name="_1__123Graph_B_c" hidden="1">#REF!</definedName>
    <definedName name="_A3" hidden="1">{#N/A,#N/A,FALSE,"earnings"}</definedName>
    <definedName name="_A4" hidden="1">{#N/A,#N/A,FALSE,"earnings"}</definedName>
    <definedName name="_A6" hidden="1">{"balance",#N/A,FALSE,"Remedy-model";"calendar quarterly",#N/A,FALSE,"Remedy-model";"cash flow",#N/A,FALSE,"Remedy-model";"fiscal quarter",#N/A,FALSE,"Remedy-model";"income",#N/A,FALSE,"Remedy-model";"percentage",#N/A,FALSE,"Remedy-model"}</definedName>
    <definedName name="_A7" hidden="1">{"Calenquart",#N/A,FALSE,"Remedy-model";"fiscquarter",#N/A,FALSE,"Remedy-model"}</definedName>
    <definedName name="_A8" hidden="1">{#N/A,#N/A,FALSE,"earnings"}</definedName>
    <definedName name="_A9" hidden="1">{#N/A,#N/A,FALSE,"earnings"}</definedName>
    <definedName name="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fgd2" hidden="1">{"'Северо-Никольское '!$A$6:$J$40"}</definedName>
    <definedName name="_Fill" hidden="1">#REF!</definedName>
    <definedName name="_Key1" hidden="1">#REF!</definedName>
    <definedName name="_Order1" hidden="1">255</definedName>
    <definedName name="_Order2" hidden="1">255</definedName>
    <definedName name="_Sort" hidden="1">#REF!</definedName>
    <definedName name="_sort1" hidden="1">#REF!</definedName>
    <definedName name="_Table1_In1" hidden="1">#REF!</definedName>
    <definedName name="_Table1_Out" hidden="1">#REF!</definedName>
    <definedName name="_Table2_In1" hidden="1">#N/A</definedName>
    <definedName name="_Table2_In2" hidden="1">#N/A</definedName>
    <definedName name="_Table2_Out" hidden="1">#N/A</definedName>
    <definedName name="_Table3_In2" hidden="1">#N/A</definedName>
    <definedName name="_xlnm._FilterDatabase" hidden="1">#REF!</definedName>
    <definedName name="a" hidden="1">{"'Северо-Никольское '!$A$6:$J$40"}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g" hidden="1">{"'Северо-Никольское '!$A$6:$J$40"}</definedName>
    <definedName name="AccessDatabase" hidden="1">"C:\Мои документы\Базовая сводная обязательств1.mdb"</definedName>
    <definedName name="anscount" hidden="1">1</definedName>
    <definedName name="bbb" hidden="1">{"'Северо-Никольское '!$A$6:$J$40"}</definedName>
    <definedName name="bbbb" hidden="1">{"'Северо-Никольское '!$A$6:$J$40"}</definedName>
    <definedName name="bfb" hidden="1">{"'Северо-Никольское '!$A$6:$J$40"}</definedName>
    <definedName name="bn" hidden="1">{"'Северо-Никольское '!$A$6:$J$40"}</definedName>
    <definedName name="cbnyr" hidden="1">{"'Северо-Никольское '!$A$6:$J$40"}</definedName>
    <definedName name="ccc" hidden="1">{"'Северо-Никольское '!$A$6:$J$40"}</definedName>
    <definedName name="cch" hidden="1">{"'Северо-Никольское '!$A$6:$J$40"}</definedName>
    <definedName name="ccv" hidden="1">{"'Северо-Никольское '!$A$6:$J$40"}</definedName>
    <definedName name="cgk" hidden="1">{"'Северо-Никольское '!$A$6:$J$40"}</definedName>
    <definedName name="cty" hidden="1">{"'Северо-Никольское '!$A$6:$J$40"}</definedName>
    <definedName name="cvbn" hidden="1">{"'Северо-Никольское '!$A$6:$J$40"}</definedName>
    <definedName name="ddd" hidden="1">{"'Северо-Никольское '!$A$6:$J$40"}</definedName>
    <definedName name="df" hidden="1">{"'Северо-Никольское '!$A$6:$J$40"}</definedName>
    <definedName name="dfer" hidden="1">{"'Северо-Никольское '!$A$6:$J$40"}</definedName>
    <definedName name="dffg" hidden="1">{"'Северо-Никольское '!$A$6:$J$40"}</definedName>
    <definedName name="dfg" hidden="1">{"'Северо-Никольское '!$A$6:$J$40"}</definedName>
    <definedName name="dfg_lkj" hidden="1">{"'Северо-Никольское '!$A$6:$J$40"}</definedName>
    <definedName name="ee" hidden="1">#N/A</definedName>
    <definedName name="EPMWorkbookOptions_10" hidden="1">"v3/yIID5BXp7|KPwOmt2q1aB2P3vx5uTLL17|EBX8p/9/VPBKxpBZzyC9x8//v86u3zRV4KPtffr/eR/tmybLQ063/ogsXRl68eWL0x8RJcYru/9fJ8v/mwzh6y|/enVy|kO0gw/|/2gHhYphsu/1q5Odn8dL4kMk|f|89H7zJDn4EUm6JHnwI5J0SLL7/3nB|X|T2Xtz9sUP0|gd/P/R6IGGoYO2t7N7f0z//DyW3ihR9kCU/R8RpcMpP58NX5"</definedName>
    <definedName name="EPMWorkbookOptions_11" hidden="1">"Qk||CTT795okSx|v8OUf6/7zP|v8f0fXF6/PqrV6evf4jG7|H//4yfoSJxKPj19NXZl0/PTn7Epe/TKMAm3ujx3ePVqiymWUtw7OfBp6Y5QauWS0KcPnuatRl/7H/4puoO/vGr/LzOm/mXyy9X|fLoPCub/PHd8ENud1LmWQ2gXy5fZ5e5adn9mNt|t6rfTqrqLfFmy2Q0rftfhO2vZjprj8|an8zqIpuU|Rd5feEg9D7/jRMH9suVUOP/AUic|"</definedName>
    <definedName name="EPMWorkbookOptions_12" hidden="1">"JLrZQAA"</definedName>
    <definedName name="EPMWorkbookOptions_2" hidden="1">"jqr64u7ezs3v39/7i|evpPF9k28WyabPlNP/IvjW7|a2PqNc0fXxSLZf5FH2|qU7WdZ0v258s8iv|Mvj6adZm|il9/iJb5NKb7anNF6t1XXBXXzV5/bLOz3OCN83HhNBHR7//s5df/P5PXp68|O7uzu//PX1pcrU9yy/Hk6yZL/PzdlyvHx3s7O3cbbLV3clqevf7v//3nnz1|z85fv3tF6fP3vBfL3fu0c/zrGzy7z||C0QcWserVVlMM4|Et0"</definedName>
    <definedName name="EPMWorkbookOptions_3" hidden="1">"bPwAiheB/rqI8Yg07HQitHvvTu4FffLmazfPm0WOTLhtEcbupQbII21Or1vLqyME6qsqqP2nqdP74b|WLTqzyKyJu90emLxA9t/q59ll1WddESXjwP8nLvu1u8/6yom9ZDIP59B5DFcphAt23lt/tqWfyida5zfHxy8vvv7D6|G/t2ExAhOYn1/Z3dewc|gNhk8Ltf1rO8Ptp5fFd|iUJvVmV2/bKuVnndXh/t3v/0/nk|Od||/|lsf3t/7/zh9"</definedName>
    <definedName name="EPMWorkbookOptions_4" hidden="1">"sH9PN/eyfK9/dnkwf6DyT30HL4VAfw8a9rXeUkSns||yBcTUlSRZiFXRhtQE3nfI9P3DBW/P/7ey|NXpy/efBu/mk9//xfHJL|9twagf7vI66yezq9d05S046NlUX72Efjno44gee9G5vB27z6|u3ncj|/ehoAeD/wsMuzJ8ZvTz7989fU5dmdn/2Bn5/YMu/v/R4ZVKoYce7LzYOf/66z6DZPk|Pnz35|||P86Vf5fJcDPvr7w3rt3//7|/v7t"</definedName>
    <definedName name="EPMWorkbookOptions_5" hidden="1">"hXfv/5fC|6zDpS|Of3/59P/jbPoNkgSC|/8Lmvy/SnS/evX1ZffTB7s7BwcPbi|79/5/KbtEQmJP|t/zkx|xpt/sVq0GWZPk/uzN7/O1mZO8wk8/vXfvPdzC/f8/cqdQseMVEm12dvd/HnuGw1S59yOqRKiy9yOqRKiy|yOqBFT5/Pciqvx/nST/bzKBz55/|d2vbwDfO5F3//|PBhA07Kbx8NmPknidZrdqNciqZy/enHz5xcsfIrd||v9HblU"</definedName>
    <definedName name="EPMWorkbookOptions_6" hidden="1">"yhgx79nCHn/|v8|s3TBYkBM5Ovvz/OlX|3yTFXxy/efH18wHvL8MP/v8ow0zEkFW/OP7933z55vj5/3d49ZuW4AhRfmSAw2a3ajUouq|//OrVyekPUXYP/v8ou0JFx6d79OvrVyc7ez9iVb/ZrVoNsuqbsy9|mIz68P|PjAoahup0j8gy/nluZaJU2f8RVfpU2fn0/x9U|X|PXvvi9Pj1V69OX/8QNdvuzv//VJshoyypvTx9dfbl07MfLay9V6"</definedName>
    <definedName name="EPMWorkbookOptions_7" hidden="1">"MAm3ijx3ePV6uymGYtwbGfB5|a5gStWi4JcfrsadZm5uPop/S5UG1RLpvPPpq37erR3bttvlit62Jc1Rd3v2ry2uE0ftfMPjr6/Z|9/OL3f/Ly5MV3d3d|/|/pS5Or7Vl|OZ5kzXyZn7fjev3oYGdv526Tre5OVtO73//9Sbf9/k|OX3/7xemzN/zXS1q||f2/d56VTU4cE3DJY39k74meR7YY1eyojxiDTsdCKzcfHQ7yv/p2MZvlSzu9zYamG"</definedName>
    <definedName name="EPMWorkbookOptions_8" hidden="1">"/jj9by66mgQsO7ju5EvNr3Ko4i8GRE|fpH4oc3ftc|yy6ouWsKL50Fe7n13i/efFXXTegjEv|8AulE2bt9qQM8/|er45OT3p|TTD1HR//9Qz1sydpPz|Hhn90fp|U6zW7UaZNmT4zenn3/5Aam9nZ39g52d23Ps7v8fOVap2FkLfriz//91Vv3GSfLw5/FixRCX3P8RSUKS7Oz|fz6t9k2T5N7/93XJ/6vM3rOvb/Lu3bt/f39///Ymb|//lybv"</definedName>
    <definedName name="EPMWorkbookOptions_9" hidden="1">"WW/V5veXT/8/zqbfIElOnv08X57vUQRL8/|/4JL/Vymzr159fW326YPdnYODB7fXZvf|f6nNiISSWHz|o5Ri0Kzb6v1Yk|T|7M3v87WZk6LLTz|9h8zZbblz//|P3ClUDBefT3ZhWvZ/HhuXLlV2LVUe/Igqfarc|/nsiAxS5dN7P6JKnyq7e/|fp8r/m6zgs|dffvfr28D3XhS4//9HGwgahpz67Pc/ffH0/|ts|k0SRD77/8ECyTdJlGe//5s"</definedName>
    <definedName name="ev.Calculation" hidden="1">-4135</definedName>
    <definedName name="ev.Initialized" hidden="1">FALSE</definedName>
    <definedName name="excel" hidden="1">{"'Северо-Никольское '!$A$6:$J$40"}</definedName>
    <definedName name="f" hidden="1">{"'Северо-Никольское '!$A$6:$J$40"}</definedName>
    <definedName name="ffggh" hidden="1">{"'Северо-Никольское '!$A$6:$J$40"}</definedName>
    <definedName name="fgh" hidden="1">{"'Северо-Никольское '!$A$6:$J$40"}</definedName>
    <definedName name="fhgd" hidden="1">{"'Северо-Никольское '!$A$6:$J$40"}</definedName>
    <definedName name="frgy" hidden="1">{"'Северо-Никольское '!$A$6:$J$40"}</definedName>
    <definedName name="fthj" hidden="1">{"'Северо-Никольское '!$A$6:$J$40"}</definedName>
    <definedName name="ghh" hidden="1">{"'Северо-Никольское '!$A$6:$J$40"}</definedName>
    <definedName name="ghjj" hidden="1">{"'Северо-Никольское '!$A$6:$J$40"}</definedName>
    <definedName name="gjh" hidden="1">#REF!</definedName>
    <definedName name="h" hidden="1">{"'Северо-Никольское '!$A$6:$J$40"}</definedName>
    <definedName name="hhh" hidden="1">{"'Северо-Никольское '!$A$6:$J$40"}</definedName>
    <definedName name="hhhh" hidden="1">{"'Северо-Никольское '!$A$6:$J$40"}</definedName>
    <definedName name="hjk" hidden="1">{"'Северо-Никольское '!$A$6:$J$40"}</definedName>
    <definedName name="hn.Delete015" hidden="1">#N/A</definedName>
    <definedName name="hn.ModelVersion" hidden="1">1</definedName>
    <definedName name="hn.NoUpload" hidden="1">0</definedName>
    <definedName name="HTML_C" hidden="1">{"'Sheet1'!$A$12:$K$107"}</definedName>
    <definedName name="HTML_CodePage" hidden="1">1257</definedName>
    <definedName name="HTML_Control" hidden="1">{"'Северо-Никольское '!$A$6:$J$40"}</definedName>
    <definedName name="HTML_Description" hidden="1">""</definedName>
    <definedName name="HTML_Email" hidden="1">""</definedName>
    <definedName name="HTML_Header" hidden="1">"Северо-Никольское"</definedName>
    <definedName name="HTML_LastUpdate" hidden="1">"10.12.99"</definedName>
    <definedName name="HTML_LineAfter" hidden="1">FALSE</definedName>
    <definedName name="HTML_LineBefore" hidden="1">FALSE</definedName>
    <definedName name="HTML_Name" hidden="1">"Шафикова"</definedName>
    <definedName name="HTML_OBDlg2" hidden="1">TRUE</definedName>
    <definedName name="HTML_OBDlg4" hidden="1">TRUE</definedName>
    <definedName name="HTML_OS" hidden="1">0</definedName>
    <definedName name="HTML_PathFile" hidden="1">"C:\DRIVERS\video\Мои документы\MyHTML.htm"</definedName>
    <definedName name="HTML_PathFileMac" hidden="1">"Macintosh HD:Web Site “~adamodar”:pc:datasets:MyHTML.html"</definedName>
    <definedName name="HTML_Title" hidden="1">"Баланс нефти 2000"</definedName>
    <definedName name="ioy" hidden="1">{"'Северо-Никольское '!$A$6:$J$40"}</definedName>
    <definedName name="iyuko" hidden="1">{"'Северо-Никольское '!$A$6:$J$40"}</definedName>
    <definedName name="kkkk" hidden="1">{"'Северо-Никольское '!$A$6:$J$40"}</definedName>
    <definedName name="krd" hidden="1">{"'Северо-Никольское '!$A$6:$J$40"}</definedName>
    <definedName name="l" hidden="1">{"'Северо-Никольское '!$A$6:$J$40"}</definedName>
    <definedName name="lco" hidden="1">{"'Северо-Никольское '!$A$6:$J$40"}</definedName>
    <definedName name="ljl" hidden="1">{"'Северо-Никольское '!$A$6:$J$40"}</definedName>
    <definedName name="lkjhg" hidden="1">{"'Северо-Никольское '!$A$6:$J$40"}</definedName>
    <definedName name="lll" hidden="1">#N/A</definedName>
    <definedName name="lwl" hidden="1">{"'Северо-Никольское '!$A$6:$J$40"}</definedName>
    <definedName name="lye" hidden="1">{"'Северо-Никольское '!$A$6:$J$40"}</definedName>
    <definedName name="mlq" hidden="1">{"'Северо-Никольское '!$A$6:$J$40"}</definedName>
    <definedName name="mmm" hidden="1">{"'Северо-Никольское '!$A$6:$J$40"}</definedName>
    <definedName name="mmmmm" hidden="1">{"'Северо-Никольское '!$A$6:$J$40"}</definedName>
    <definedName name="mnnb" hidden="1">{"'Северо-Никольское '!$A$6:$J$40"}</definedName>
    <definedName name="n" hidden="1">{"'Северо-Никольское '!$A$6:$J$40"}</definedName>
    <definedName name="nhf" hidden="1">{"'Северо-Никольское '!$A$6:$J$40"}</definedName>
    <definedName name="o" hidden="1">{"'Северо-Никольское '!$A$6:$J$40"}</definedName>
    <definedName name="oiuyt" hidden="1">{"'Северо-Никольское '!$A$6:$J$40"}</definedName>
    <definedName name="oq." hidden="1">{"'Северо-Никольское '!$A$6:$J$40"}</definedName>
    <definedName name="pr" localSheetId="2" hidden="1">Main.SAPF4Help()</definedName>
    <definedName name="pr" localSheetId="4" hidden="1">Main.SAPF4Help()</definedName>
    <definedName name="pr" hidden="1">Main.SAPF4Help()</definedName>
    <definedName name="PUB_FileID" hidden="1">"L10003363.xls"</definedName>
    <definedName name="PUB_UserID" hidden="1">"MAYERX"</definedName>
    <definedName name="Query1_A2100" hidden="1">#REF!</definedName>
    <definedName name="Query1_A2110" hidden="1">#REF!</definedName>
    <definedName name="Query1_A2111" hidden="1">#REF!</definedName>
    <definedName name="Query1_A2112" hidden="1">#REF!</definedName>
    <definedName name="Query1_A2113" hidden="1">#REF!</definedName>
    <definedName name="Query1_A2120" hidden="1">#REF!</definedName>
    <definedName name="Query1_A2121" hidden="1">#REF!</definedName>
    <definedName name="Query1_A2122" hidden="1">#REF!</definedName>
    <definedName name="Query1_A2123" hidden="1">#REF!</definedName>
    <definedName name="Query1_A2200" hidden="1">#REF!</definedName>
    <definedName name="Query1_A2210" hidden="1">#REF!</definedName>
    <definedName name="Query1_A2211" hidden="1">#REF!</definedName>
    <definedName name="Query1_A2212" hidden="1">#REF!</definedName>
    <definedName name="Query1_A2213" hidden="1">#REF!</definedName>
    <definedName name="Query1_A2220" hidden="1">#REF!</definedName>
    <definedName name="Query1_A2300" hidden="1">#REF!</definedName>
    <definedName name="Query1_A2310" hidden="1">#REF!</definedName>
    <definedName name="Query1_A2320" hidden="1">#REF!</definedName>
    <definedName name="Query1_A2330" hidden="1">#REF!</definedName>
    <definedName name="Query1_A2340" hidden="1">#REF!</definedName>
    <definedName name="Query1_A2350" hidden="1">#REF!</definedName>
    <definedName name="Query1_A2400" hidden="1">#REF!</definedName>
    <definedName name="Query1_A2410" hidden="1">#REF!</definedName>
    <definedName name="Query1_A2421" hidden="1">#REF!</definedName>
    <definedName name="Query1_A2430" hidden="1">#REF!</definedName>
    <definedName name="Query1_A2450" hidden="1">#REF!</definedName>
    <definedName name="Query1_A2460" hidden="1">#REF!</definedName>
    <definedName name="Query1_A2500" hidden="1">#REF!</definedName>
    <definedName name="Query1_A2510" hidden="1">#REF!</definedName>
    <definedName name="Query1_A2520" hidden="1">#REF!</definedName>
    <definedName name="Query1_A2900" hidden="1">#REF!</definedName>
    <definedName name="Query1_A2910" hidden="1">#REF!</definedName>
    <definedName name="Query1_DATA_PO_TEXT" hidden="1">#REF!</definedName>
    <definedName name="Query1_DATA_S_TEXT" hidden="1">#REF!</definedName>
    <definedName name="Query1_FULLNAME" hidden="1">#REF!</definedName>
    <definedName name="Query1_PERIOD" hidden="1">#REF!</definedName>
    <definedName name="Query1_TITLE4_3" hidden="1">#REF!</definedName>
    <definedName name="Query1_TITLE4_4" hidden="1">#REF!</definedName>
    <definedName name="Query11_EDIZM" hidden="1">#REF!</definedName>
    <definedName name="Query12_DAT" hidden="1">#REF!</definedName>
    <definedName name="Query12_DAT_DAY" hidden="1">#REF!</definedName>
    <definedName name="Query12_DAT_MONTH" hidden="1">#REF!</definedName>
    <definedName name="Query12_DAT_YEAR" hidden="1">#REF!</definedName>
    <definedName name="Query13_DIRECTOR" hidden="1">#REF!</definedName>
    <definedName name="Query13_GLBUH" hidden="1">#REF!</definedName>
    <definedName name="Query13_INN" hidden="1">#REF!</definedName>
    <definedName name="Query13_OKPO" hidden="1">#REF!</definedName>
    <definedName name="Query13_OKVED" hidden="1">#REF!</definedName>
    <definedName name="Query13_ORGNAME" hidden="1">#REF!</definedName>
    <definedName name="Query2_A2100" hidden="1">#REF!</definedName>
    <definedName name="Query2_A2110" hidden="1">#REF!</definedName>
    <definedName name="Query2_A2111" hidden="1">#REF!</definedName>
    <definedName name="Query2_A2112" hidden="1">#REF!</definedName>
    <definedName name="Query2_A2113" hidden="1">#REF!</definedName>
    <definedName name="Query2_A2120" hidden="1">#REF!</definedName>
    <definedName name="Query2_A2121" hidden="1">#REF!</definedName>
    <definedName name="Query2_A2122" hidden="1">#REF!</definedName>
    <definedName name="Query2_A2123" hidden="1">#REF!</definedName>
    <definedName name="Query2_A2200" hidden="1">#REF!</definedName>
    <definedName name="Query2_A2210" hidden="1">#REF!</definedName>
    <definedName name="Query2_A2211" hidden="1">#REF!</definedName>
    <definedName name="Query2_A2212" hidden="1">#REF!</definedName>
    <definedName name="Query2_A2213" hidden="1">#REF!</definedName>
    <definedName name="Query2_A2220" hidden="1">#REF!</definedName>
    <definedName name="Query2_A2300" hidden="1">#REF!</definedName>
    <definedName name="Query2_A2310" hidden="1">#REF!</definedName>
    <definedName name="Query2_A2320" hidden="1">#REF!</definedName>
    <definedName name="Query2_A2330" hidden="1">#REF!</definedName>
    <definedName name="Query2_A2340" hidden="1">#REF!</definedName>
    <definedName name="Query2_A2350" hidden="1">#REF!</definedName>
    <definedName name="Query2_A2400" hidden="1">#REF!</definedName>
    <definedName name="Query2_A2410" hidden="1">#REF!</definedName>
    <definedName name="Query2_A2421" hidden="1">#REF!</definedName>
    <definedName name="Query2_A2430" hidden="1">#REF!</definedName>
    <definedName name="Query2_A2450" hidden="1">#REF!</definedName>
    <definedName name="Query2_A2460" hidden="1">#REF!</definedName>
    <definedName name="Query2_A2500" hidden="1">#REF!</definedName>
    <definedName name="Query2_A2510" hidden="1">#REF!</definedName>
    <definedName name="Query2_A2520" hidden="1">#REF!</definedName>
    <definedName name="Query2_A2900" hidden="1">#REF!</definedName>
    <definedName name="Query2_A2910" hidden="1">#REF!</definedName>
    <definedName name="Query2_CAPTION" hidden="1">#REF!</definedName>
    <definedName name="Query2_DAT1" hidden="1">#REF!</definedName>
    <definedName name="Query2_DAT2" hidden="1">#REF!</definedName>
    <definedName name="Query2_DATA2" hidden="1">#REF!</definedName>
    <definedName name="Query2_DATE" hidden="1">#REF!</definedName>
    <definedName name="Query2_DIRECTOR" hidden="1">#REF!</definedName>
    <definedName name="Query2_FACT" hidden="1">#REF!</definedName>
    <definedName name="Query2_FLAG1" hidden="1">#REF!</definedName>
    <definedName name="Query2_FULLNAME" hidden="1">#REF!</definedName>
    <definedName name="Query2_FULLNAME1" hidden="1">#REF!</definedName>
    <definedName name="Query2_GLBUH" hidden="1">#REF!</definedName>
    <definedName name="Query2_INT2" hidden="1">#REF!</definedName>
    <definedName name="Query2_ITOG" hidden="1">#REF!</definedName>
    <definedName name="Query2_KOD" hidden="1">#REF!</definedName>
    <definedName name="Query2_NAME" hidden="1">#REF!</definedName>
    <definedName name="Query2_NAME2" hidden="1">#REF!</definedName>
    <definedName name="Query2_NAMEPODR" hidden="1">#REF!</definedName>
    <definedName name="Query2_ORGDIRECTOR" hidden="1">#REF!</definedName>
    <definedName name="Query2_ORGGLBUH" hidden="1">#REF!</definedName>
    <definedName name="Query2_ORGNAME" hidden="1">#REF!</definedName>
    <definedName name="Query2_PLAN0" hidden="1">#REF!</definedName>
    <definedName name="Query2_PLAN1" hidden="1">#REF!</definedName>
    <definedName name="Query2_PLAN2" hidden="1">#REF!</definedName>
    <definedName name="Query2_PLAN3" hidden="1">#REF!</definedName>
    <definedName name="Query2_PLAN4" hidden="1">#REF!</definedName>
    <definedName name="Query2_SHAPKA" hidden="1">#REF!</definedName>
    <definedName name="Query2_SHAPKA1" hidden="1">#REF!</definedName>
    <definedName name="Query2_SHAPKA2" hidden="1">#REF!</definedName>
    <definedName name="Query2_SHAPKA3" hidden="1">#REF!</definedName>
    <definedName name="Query2_SHAPKA4" hidden="1">#REF!</definedName>
    <definedName name="Query2_WAIT" hidden="1">#REF!</definedName>
    <definedName name="Query2_WENAME" hidden="1">#REF!</definedName>
    <definedName name="Query3_A200" hidden="1">#REF!</definedName>
    <definedName name="Query3_DAT" hidden="1">#REF!</definedName>
    <definedName name="Query3_DATE" hidden="1">#REF!</definedName>
    <definedName name="Query3_DOLG" hidden="1">#REF!</definedName>
    <definedName name="Query3_FIO" hidden="1">#REF!</definedName>
    <definedName name="Query3_FULLNAME" hidden="1">#REF!</definedName>
    <definedName name="Query3_PODPIS1" hidden="1">#REF!</definedName>
    <definedName name="Query3_PODPIS1_FIO" hidden="1">#REF!</definedName>
    <definedName name="Query3_TEL" hidden="1">#REF!</definedName>
    <definedName name="Query3_TITLE" hidden="1">#REF!</definedName>
    <definedName name="Query3_TITLE2" hidden="1">#REF!</definedName>
    <definedName name="Query3_TITLE5" hidden="1">#REF!</definedName>
    <definedName name="Query3_USERNAME" hidden="1">#REF!</definedName>
    <definedName name="Query4_DAT" hidden="1">#REF!</definedName>
    <definedName name="Query4_DAT1" hidden="1">#REF!</definedName>
    <definedName name="Query4_DAT2" hidden="1">#REF!</definedName>
    <definedName name="Query4_DOLG" hidden="1">#REF!</definedName>
    <definedName name="Query4_FIO" hidden="1">#REF!</definedName>
    <definedName name="Query4_FLAG" hidden="1">#REF!</definedName>
    <definedName name="Query4_KOD" hidden="1">#REF!</definedName>
    <definedName name="Query4_NAME" hidden="1">#REF!</definedName>
    <definedName name="Query5_DOLG" hidden="1">#REF!</definedName>
    <definedName name="Query5_FIO" hidden="1">#REF!</definedName>
    <definedName name="Query6_A10" hidden="1">#REF!</definedName>
    <definedName name="Query6_A100" hidden="1">#REF!</definedName>
    <definedName name="Query6_A105" hidden="1">#REF!</definedName>
    <definedName name="Query6_A110" hidden="1">#REF!</definedName>
    <definedName name="Query6_A115" hidden="1">#REF!</definedName>
    <definedName name="Query6_A120" hidden="1">#REF!</definedName>
    <definedName name="Query6_A125" hidden="1">#REF!</definedName>
    <definedName name="Query6_A130" hidden="1">#REF!</definedName>
    <definedName name="Query6_A135" hidden="1">#REF!</definedName>
    <definedName name="Query6_A140" hidden="1">#REF!</definedName>
    <definedName name="Query6_A145" hidden="1">#REF!</definedName>
    <definedName name="Query6_A15" hidden="1">#REF!</definedName>
    <definedName name="Query6_A150" hidden="1">#REF!</definedName>
    <definedName name="Query6_A155" hidden="1">#REF!</definedName>
    <definedName name="Query6_A160" hidden="1">#REF!</definedName>
    <definedName name="Query6_A165" hidden="1">#REF!</definedName>
    <definedName name="Query6_A170" hidden="1">#REF!</definedName>
    <definedName name="Query6_A175" hidden="1">#REF!</definedName>
    <definedName name="Query6_A180" hidden="1">#REF!</definedName>
    <definedName name="Query6_A185" hidden="1">#REF!</definedName>
    <definedName name="Query6_A190" hidden="1">#REF!</definedName>
    <definedName name="Query6_A195" hidden="1">#REF!</definedName>
    <definedName name="Query6_A20" hidden="1">#REF!</definedName>
    <definedName name="Query6_A200" hidden="1">#REF!</definedName>
    <definedName name="Query6_A205" hidden="1">#REF!</definedName>
    <definedName name="Query6_A210" hidden="1">#REF!</definedName>
    <definedName name="Query6_A215" hidden="1">#REF!</definedName>
    <definedName name="Query6_A220" hidden="1">#REF!</definedName>
    <definedName name="Query6_A225" hidden="1">#REF!</definedName>
    <definedName name="Query6_A230" hidden="1">#REF!</definedName>
    <definedName name="Query6_A235" hidden="1">#REF!</definedName>
    <definedName name="Query6_A240" hidden="1">#REF!</definedName>
    <definedName name="Query6_A245" hidden="1">#REF!</definedName>
    <definedName name="Query6_A25" hidden="1">#REF!</definedName>
    <definedName name="Query6_A250" hidden="1">#REF!</definedName>
    <definedName name="Query6_A255" hidden="1">#REF!</definedName>
    <definedName name="Query6_A260" hidden="1">#REF!</definedName>
    <definedName name="Query6_A265" hidden="1">#REF!</definedName>
    <definedName name="Query6_A270" hidden="1">#REF!</definedName>
    <definedName name="Query6_A275" hidden="1">#REF!</definedName>
    <definedName name="Query6_A280" hidden="1">#REF!</definedName>
    <definedName name="Query6_A285" hidden="1">#REF!</definedName>
    <definedName name="Query6_A290" hidden="1">#REF!</definedName>
    <definedName name="Query6_A295" hidden="1">#REF!</definedName>
    <definedName name="Query6_A30" hidden="1">#REF!</definedName>
    <definedName name="Query6_A300" hidden="1">#REF!</definedName>
    <definedName name="Query6_A305" hidden="1">#REF!</definedName>
    <definedName name="Query6_A310" hidden="1">#REF!</definedName>
    <definedName name="Query6_A315" hidden="1">#REF!</definedName>
    <definedName name="Query6_A320" hidden="1">#REF!</definedName>
    <definedName name="Query6_A325" hidden="1">#REF!</definedName>
    <definedName name="Query6_A330" hidden="1">#REF!</definedName>
    <definedName name="Query6_A335" hidden="1">#REF!</definedName>
    <definedName name="Query6_A340" hidden="1">#REF!</definedName>
    <definedName name="Query6_A345" hidden="1">#REF!</definedName>
    <definedName name="Query6_A35" hidden="1">#REF!</definedName>
    <definedName name="Query6_A350" hidden="1">#REF!</definedName>
    <definedName name="Query6_A355" hidden="1">#REF!</definedName>
    <definedName name="Query6_A360" hidden="1">#REF!</definedName>
    <definedName name="Query6_A365" hidden="1">#REF!</definedName>
    <definedName name="Query6_A370" hidden="1">#REF!</definedName>
    <definedName name="Query6_A375" hidden="1">#REF!</definedName>
    <definedName name="Query6_A380" hidden="1">#REF!</definedName>
    <definedName name="Query6_A385" hidden="1">#REF!</definedName>
    <definedName name="Query6_A40" hidden="1">#REF!</definedName>
    <definedName name="Query6_A45" hidden="1">#REF!</definedName>
    <definedName name="Query6_A5" hidden="1">#REF!</definedName>
    <definedName name="Query6_A50" hidden="1">#REF!</definedName>
    <definedName name="Query6_A55" hidden="1">#REF!</definedName>
    <definedName name="Query6_A60" hidden="1">#REF!</definedName>
    <definedName name="Query6_A65" hidden="1">#REF!</definedName>
    <definedName name="Query6_A70" hidden="1">#REF!</definedName>
    <definedName name="Query6_A75" hidden="1">#REF!</definedName>
    <definedName name="Query6_A80" hidden="1">#REF!</definedName>
    <definedName name="Query6_A85" hidden="1">#REF!</definedName>
    <definedName name="Query6_A90" hidden="1">#REF!</definedName>
    <definedName name="Query6_A95" hidden="1">#REF!</definedName>
    <definedName name="Query6_COLUMN1" hidden="1">#REF!</definedName>
    <definedName name="Query7_DAT" hidden="1">#REF!</definedName>
    <definedName name="Query8_DAT_NOM" hidden="1">#REF!</definedName>
    <definedName name="rgfsdh" localSheetId="2" hidden="1">Main.SAPF4Help()</definedName>
    <definedName name="rgfsdh" localSheetId="4" hidden="1">Main.SAPF4Help()</definedName>
    <definedName name="rgfsdh" hidden="1">Main.SAPF4Help()</definedName>
    <definedName name="s" hidden="1">{"'Северо-Никольское '!$A$6:$J$40"}</definedName>
    <definedName name="SAPBEXhrIndnt" hidden="1">1</definedName>
    <definedName name="SAPBEXrevision" hidden="1">1</definedName>
    <definedName name="SAPBEXsysID" hidden="1">"RNW"</definedName>
    <definedName name="SAPBEXwbID" hidden="1">"BL3EEFI3L06M2TPQQPXUMU9BS"</definedName>
    <definedName name="SAPFuncF4Help" localSheetId="2" hidden="1">Main.SAPF4Help()</definedName>
    <definedName name="SAPFuncF4Help" localSheetId="4" hidden="1">Main.SAPF4Help()</definedName>
    <definedName name="SAPFuncF4Help" hidden="1">Main.SAPF4Help()</definedName>
    <definedName name="SAPFuncF4Help2" localSheetId="2" hidden="1">Main.SAPF4Help()</definedName>
    <definedName name="SAPFuncF4Help2" localSheetId="4" hidden="1">Main.SAPF4Help()</definedName>
    <definedName name="SAPFuncF4Help2" hidden="1">Main.SAPF4Help()</definedName>
    <definedName name="SAPsysID" hidden="1">"708C5W7SBKP804JT78WJ0JNKI"</definedName>
    <definedName name="SAPwbID" hidden="1">"ARS"</definedName>
    <definedName name="sdk" hidden="1">{"'Северо-Никольское '!$A$6:$J$40"}</definedName>
    <definedName name="sencount" hidden="1">1</definedName>
    <definedName name="t" hidden="1">{"'Северо-Никольское '!$A$6:$J$40"}</definedName>
    <definedName name="tlo" hidden="1">{"'Северо-Никольское '!$A$6:$J$40"}</definedName>
    <definedName name="uiy" hidden="1">{"'Северо-Никольское '!$A$6:$J$40"}</definedName>
    <definedName name="ukh" hidden="1">{"'Северо-Никольское '!$A$6:$J$40"}</definedName>
    <definedName name="uliygu" hidden="1">{"'Северо-Никольское '!$A$6:$J$40"}</definedName>
    <definedName name="uoi" hidden="1">{"'Северо-Никольское '!$A$6:$J$40"}</definedName>
    <definedName name="vbnm" hidden="1">{"'Северо-Никольское '!$A$6:$J$40"}</definedName>
    <definedName name="vby" hidden="1">{"'Северо-Никольское '!$A$6:$J$40"}</definedName>
    <definedName name="vitaly" hidden="1">#REF!</definedName>
    <definedName name="w" hidden="1">{"'Северо-Никольское '!$A$6:$J$40"}</definedName>
    <definedName name="wrn.Coded._.IAS._.FS." hidden="1">{"IASTrail",#N/A,FALSE,"IAS"}</definedName>
    <definedName name="wrn.Fixed._.Assets._.Note._.and._.Depreciation.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flation._.factors._.used." hidden="1">{#N/A,#N/A,FALSE,"Infl_fact"}</definedName>
    <definedName name="wrn.PL._.Analysis." hidden="1">{"AnalRSA",#N/A,TRUE,"PL-Anal";"AnalIAS",#N/A,TRUE,"PL-Anal"}</definedName>
    <definedName name="wrn.RSA._.BS._.and._.PL." hidden="1">{"BS1",#N/A,TRUE,"RSA_FS";"BS2",#N/A,TRUE,"RSA_FS";"BS3",#N/A,TRUE,"RSA_FS"}</definedName>
    <definedName name="wrn.Полный._.отчет._.по._.себестоимости." hidden="1">{#N/A,#N/A,FALSE,"СЫРЬЕ";#N/A,#N/A,FALSE,"ПОКУП_ВОДА";#N/A,#N/A,FALSE,"ПОКУП_ЭЛЕКТР";#N/A,#N/A,FALSE,"РЕАГ_КАТАЛ";#N/A,#N/A,FALSE,"ПРОЧИЕ_ЗАТР";#N/A,#N/A,FALSE,"УСЛУГИ_ПРОМХАР";#N/A,#N/A,FALSE,"СМЕТА";#N/A,#N/A,FALSE,"СМЕТА_ТЕКРЕМ";#N/A,#N/A,FALSE,"СМЕТА_СЭО";#N/A,#N/A,FALSE,"РАСШИФ_ЦЕХ_РАСХ";#N/A,#N/A,FALSE,"РАСПРЕД ПО ПРОЦЕСС";#N/A,#N/A,FALSE,"Распред_общезав";#N/A,#N/A,FALSE,"СВОД";"Смета_АвтодорУчЦ13",#N/A,FALSE,"Сметы_затрат_по_цехам";"Смета_АКС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комб_питан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НХП",#N/A,FALSE,"Сметы_затрат_по_цехам";"Смета_ОчСоор",#N/A,FALSE,"Сметы_затрат_по_цехам";"Смета_УстанСеры",#N/A,FALSE,"Сметы_затрат_по_цехам";"Смета_УТИМ",#N/A,FALSE,"Сметы_затрат_по_цехам";"Смета_Ц1",#N/A,FALSE,"Сметы_затрат_по_цехам";"Смета_Ц10",#N/A,FALSE,"Сметы_затрат_по_цехам";"Смета_Ц12",#N/A,FALSE,"Сметы_затрат_по_цехам";"смета_Ц14",#N/A,FALSE,"Сметы_затрат_по_цехам";"Смета_Ц16",#N/A,FALSE,"Сметы_затрат_по_цехам";"Смета_Ц17",#N/A,FALSE,"Сметы_затрат_по_цехам";"Смета_Ц3",#N/A,FALSE,"Сметы_затрат_по_цехам";"Смета_Ц5",#N/A,FALSE,"Сметы_затрат_по_цехам";"Смета_Ц6",#N/A,FALSE,"Сметы_затрат_по_цехам";"Смета_Ц7",#N/A,FALSE,"Сметы_затрат_по_цехам";"Смета_Ц9",#N/A,FALSE,"Сметы_затрат_по_цехам";"Смета_ЦВК",#N/A,FALSE,"Сметы_затрат_по_цехам";"Смета_ЦЗЛ",#N/A,FALSE,"Сметы_затрат_по_цехам";"Смета_ЦРХ",#N/A,FALSE,"Сметы_затрат_по_цехам";"Внутризав_перекачка",#N/A,FALSE,"Распределение_затрат";"Распределение_КИПиА",#N/A,FALSE,"Распределение_затрат";"Распределение_услуг_РМЦ",#N/A,FALSE,"Распределение_затрат";"Распределение_химочищен_воды",#N/A,FALSE,"Распределение_затрат";"Распределение_хозпит_воды",#N/A,FALSE,"Распределение_затрат";"Расчет_азота",#N/A,FALSE,"Распределение_затрат";"Расчет_воды",#N/A,FALSE,"Распределение_затрат";"Расчет_сж_воздуха",#N/A,FALSE,"Распределение_затрат";"Расчет_теплоэнер",#N/A,FALSE,"Распределение_затрат";"Топливо_собств_нужды",#N/A,FALSE,"Распределение_затрат";"Услуги_УТИМ",#N/A,FALSE,"Распределение_затрат"}</definedName>
    <definedName name="wrn.Свод._.затрат._.на._.производство." hidden="1">{#N/A,#N/A,FALSE,"СВОД"}</definedName>
    <definedName name="wrn.Смета_Ц1." hidden="1">{"Смета_Ц1",#N/A,FALSE,"Сметы_затрат_по_цехам"}</definedName>
    <definedName name="wrn.Сметы._.затрат._.по._.цехам." hidden="1">{"Смета_Ц1",#N/A,FALSE,"Сметы_затрат_по_цехам";"Смета_Ц3",#N/A,FALSE,"Сметы_затрат_по_цехам";"Смета_НХП",#N/A,FALSE,"Сметы_затрат_по_цехам";"Смета_АКС",#N/A,FALSE,"Сметы_затрат_по_цехам";"Смета_ЦВК",#N/A,FALSE,"Сметы_затрат_по_цехам";"Смета_УстанСеры",#N/A,FALSE,"Сметы_затрат_по_цехам";"Смета_Ц5",#N/A,FALSE,"Сметы_затрат_по_цехам";"Смета_ЦРХ",#N/A,FALSE,"Сметы_затрат_по_цехам";"Смета_Ц6",#N/A,FALSE,"Сметы_затрат_по_цехам";"Смета_Ц7",#N/A,FALSE,"Сметы_затрат_по_цехам";"Смета_Ц9",#N/A,FALSE,"Сметы_затрат_по_цехам";"Смета_Ц10",#N/A,FALSE,"Сметы_затрат_по_цехам";"Смета_УТИМ",#N/A,FALSE,"Сметы_затрат_по_цехам";"Смета_Ц16",#N/A,FALSE,"Сметы_затрат_по_цехам";"Смета_ОчСоор",#N/A,FALSE,"Сметы_затрат_по_цехам";"Смета_АвтодорУчЦ13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Ц12",#N/A,FALSE,"Сметы_затрат_по_цехам";"смета_Ц14",#N/A,FALSE,"Сметы_затрат_по_цехам";"Смета_Ц17",#N/A,FALSE,"Сметы_затрат_по_цехам";"Смета_ЦЗЛ",#N/A,FALSE,"Сметы_затрат_по_цехам"}</definedName>
    <definedName name="xcv" hidden="1">{"'Северо-Никольское '!$A$6:$J$40"}</definedName>
    <definedName name="xcvb" hidden="1">{"'Северо-Никольское '!$A$6:$J$40"}</definedName>
    <definedName name="xxxx" hidden="1">{"'Северо-Никольское '!$A$6:$J$40"}</definedName>
    <definedName name="YFNFIF" hidden="1">{#N/A,#N/A,FALSE,"СЫРЬЕ";#N/A,#N/A,FALSE,"ПОКУП_ВОДА";#N/A,#N/A,FALSE,"ПОКУП_ЭЛЕКТР";#N/A,#N/A,FALSE,"РЕАГ_КАТАЛ";#N/A,#N/A,FALSE,"ПРОЧИЕ_ЗАТР";#N/A,#N/A,FALSE,"УСЛУГИ_ПРОМХАР";#N/A,#N/A,FALSE,"СМЕТА";#N/A,#N/A,FALSE,"СМЕТА_ТЕКРЕМ";#N/A,#N/A,FALSE,"СМЕТА_СЭО";#N/A,#N/A,FALSE,"РАСШИФ_ЦЕХ_РАСХ";#N/A,#N/A,FALSE,"РАСПРЕД ПО ПРОЦЕСС";#N/A,#N/A,FALSE,"Распред_общезав";#N/A,#N/A,FALSE,"СВОД";"Смета_АвтодорУчЦ13",#N/A,FALSE,"Сметы_затрат_по_цехам";"Смета_АКС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комб_питан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НХП",#N/A,FALSE,"Сметы_затрат_по_цехам";"Смета_ОчСоор",#N/A,FALSE,"Сметы_затрат_по_цехам";"Смета_УстанСеры",#N/A,FALSE,"Сметы_затрат_по_цехам";"Смета_УТИМ",#N/A,FALSE,"Сметы_затрат_по_цехам";"Смета_Ц1",#N/A,FALSE,"Сметы_затрат_по_цехам";"Смета_Ц10",#N/A,FALSE,"Сметы_затрат_по_цехам";"Смета_Ц12",#N/A,FALSE,"Сметы_затрат_по_цехам";"смета_Ц14",#N/A,FALSE,"Сметы_затрат_по_цехам";"Смета_Ц16",#N/A,FALSE,"Сметы_затрат_по_цехам";"Смета_Ц17",#N/A,FALSE,"Сметы_затрат_по_цехам";"Смета_Ц3",#N/A,FALSE,"Сметы_затрат_по_цехам";"Смета_Ц5",#N/A,FALSE,"Сметы_затрат_по_цехам";"Смета_Ц6",#N/A,FALSE,"Сметы_затрат_по_цехам";"Смета_Ц7",#N/A,FALSE,"Сметы_затрат_по_цехам";"Смета_Ц9",#N/A,FALSE,"Сметы_затрат_по_цехам";"Смета_ЦВК",#N/A,FALSE,"Сметы_затрат_по_цехам";"Смета_ЦЗЛ",#N/A,FALSE,"Сметы_затрат_по_цехам";"Смета_ЦРХ",#N/A,FALSE,"Сметы_затрат_по_цехам";"Внутризав_перекачка",#N/A,FALSE,"Распределение_затрат";"Распределение_КИПиА",#N/A,FALSE,"Распределение_затрат";"Распределение_услуг_РМЦ",#N/A,FALSE,"Распределение_затрат";"Распределение_химочищен_воды",#N/A,FALSE,"Распределение_затрат";"Распределение_хозпит_воды",#N/A,FALSE,"Распределение_затрат";"Расчет_азота",#N/A,FALSE,"Распределение_затрат";"Расчет_воды",#N/A,FALSE,"Распределение_затрат";"Расчет_сж_воздуха",#N/A,FALSE,"Распределение_затрат";"Расчет_теплоэнер",#N/A,FALSE,"Распределение_затрат";"Топливо_собств_нужды",#N/A,FALSE,"Распределение_затрат";"Услуги_УТИМ",#N/A,FALSE,"Распределение_затрат"}</definedName>
    <definedName name="yjdjt" hidden="1">#REF!</definedName>
    <definedName name="ytr" hidden="1">{"'Северо-Никольское '!$A$6:$J$40"}</definedName>
    <definedName name="Z_01B9E34F_80F0_46B9_B861_74B2A43D41B8_.wvu.FilterData" hidden="1">#REF!</definedName>
    <definedName name="Z_01C47C6E_73EE_40C4_8D09_6491185BFAFB_.wvu.FilterData" hidden="1">#REF!</definedName>
    <definedName name="Z_040DD8BD_D054_43F6_9140_DA543CBAAE85_.wvu.FilterData" hidden="1">#REF!</definedName>
    <definedName name="Z_04F359AE_C2F8_4E6E_9445_639809E70C2B_.wvu.FilterData" hidden="1">#REF!</definedName>
    <definedName name="Z_0547618D_99D3_445E_BB47_C926B9693DB3_.wvu.FilterData" hidden="1">#REF!</definedName>
    <definedName name="Z_06CB3EB2_D4A3_4793_B407_9559F20FAAAE_.wvu.FilterData" hidden="1">#REF!</definedName>
    <definedName name="Z_06F21C74_6BE8_4794_81F1_36C8305A2961_.wvu.FilterData" hidden="1">#REF!</definedName>
    <definedName name="Z_07830EC9_AADE_45ED_8B8D_20C0CE7C8B70_.wvu.FilterData" hidden="1">#REF!</definedName>
    <definedName name="Z_07868AE6_27AA_4310_BAAC_8AC06EAC052D_.wvu.FilterData" hidden="1">#REF!</definedName>
    <definedName name="Z_07BE7D07_EAEC_4901_80DE_3595577F308A_.wvu.FilterData" hidden="1">#REF!</definedName>
    <definedName name="Z_08020EC2_D5A6_490B_9239_7BF78C164E2C_.wvu.FilterData" hidden="1">#REF!</definedName>
    <definedName name="Z_09462F94_2769_47EB_B3C3_3E74F510592A_.wvu.FilterData" hidden="1">#REF!</definedName>
    <definedName name="Z_09F2EF98_EB70_4D7D_B098_01C0ABD72D72_.wvu.FilterData" hidden="1">#REF!</definedName>
    <definedName name="Z_0AB68407_2AB6_4CA7_B142_4E81F8B0217A_.wvu.FilterData" hidden="1">#REF!</definedName>
    <definedName name="Z_0AB68407_2AB6_4CA7_B142_4E81F8B0217A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0B85430C_45DD_4286_ABA4_7FF797A27DCE_.wvu.FilterData" hidden="1">#REF!</definedName>
    <definedName name="Z_0B9BA97A_1378_477A_9505_9EC28EDDEBC6_.wvu.FilterData" hidden="1">#REF!</definedName>
    <definedName name="Z_0D5F6C64_80DC_4C9D_9322_FB8825A62010_.wvu.FilterData" hidden="1">#REF!</definedName>
    <definedName name="Z_0ED647E8_4EEC_4A0D_9BC3_E1B24058B5A7_.wvu.FilterData" hidden="1">#REF!</definedName>
    <definedName name="Z_0FEE6DF0_B6B1_409E_9012_941C2AD3D757_.wvu.FilterData" hidden="1">#REF!</definedName>
    <definedName name="Z_123868D4_54BE_4BF2_BFE5_762F87CCFE6E_.wvu.FilterData" hidden="1">#REF!</definedName>
    <definedName name="Z_149A251D_CD71_4A1A_A398_F9876C4B21F8_.wvu.FilterData" hidden="1">#REF!</definedName>
    <definedName name="Z_15D77F25_0280_4EEF_B787_A334AC98CE0A_.wvu.FilterData" hidden="1">#REF!</definedName>
    <definedName name="Z_15E363F5_6D89_4329_B525_F25B1BD44BFF_.wvu.FilterData" hidden="1">#REF!</definedName>
    <definedName name="Z_1615E3F4_A531_4807_BF07_3B2E69772A77_.wvu.FilterData" hidden="1">#REF!</definedName>
    <definedName name="Z_17E084A6_F624_4F2A_A79B_8563FAB4AE96_.wvu.FilterData" hidden="1">#REF!</definedName>
    <definedName name="Z_184726B2_EF0C_425E_B815_4EC258A6C9DB_.wvu.FilterData" hidden="1">#REF!</definedName>
    <definedName name="Z_18A8D7D5_DF9E_4A4D_8EFF_A9EE9DF60A27_.wvu.FilterData" hidden="1">#REF!</definedName>
    <definedName name="Z_19A53A0C_7ADB_4052_B347_0E4C8E111035_.wvu.FilterData" hidden="1">#REF!</definedName>
    <definedName name="Z_1CE615D2_413C_43CB_8F33_9248DBCBF858_.wvu.FilterData" hidden="1">#REF!</definedName>
    <definedName name="Z_1DB39D48_C794_493B_AA3A_1E828B55A91A_.wvu.FilterData" hidden="1">#REF!</definedName>
    <definedName name="Z_1DE18FEB_0768_44AE_B506_5F73E524ACCA_.wvu.FilterData" hidden="1">#REF!</definedName>
    <definedName name="Z_1E6A9DD8_5B95_4131_B289_F29A975A49A6_.wvu.FilterData" hidden="1">#REF!</definedName>
    <definedName name="Z_1E6A9DD8_5B95_4131_B289_F29A975A49A6_.wvu.PrintTitles" hidden="1">#REF!</definedName>
    <definedName name="Z_1E798AD5_C1E3_4A7A_A5A8_2BD7D32A8590_.wvu.FilterData" hidden="1">#REF!</definedName>
    <definedName name="Z_1F446AC4_5836_4260_A19C_4DA439F4B49D_.wvu.FilterData" hidden="1">#REF!</definedName>
    <definedName name="Z_1F8A7AB2_1A58_4E9F_9E30_61282D0795C4_.wvu.FilterData" hidden="1">#REF!</definedName>
    <definedName name="Z_1F972D8D_5BFF_4180_87FB_A67EE7518876_.wvu.FilterData" hidden="1">#REF!</definedName>
    <definedName name="Z_20B88347_EA71_4B72_96F6_0430DD6CF683_.wvu.FilterData" hidden="1">#REF!</definedName>
    <definedName name="Z_2126CDAB_1156_4E6C_97E1_AA9A65DD6B1C_.wvu.FilterData" hidden="1">#REF!</definedName>
    <definedName name="Z_2139F629_098E_4DBA_80EC_9CAE7B114E3D_.wvu.FilterData" hidden="1">#REF!</definedName>
    <definedName name="Z_2185FC51_7502_43A8_900A_0000B7F738F9_.wvu.Rows" hidden="1">#REF!,#REF!,#REF!,#REF!,#REF!,#REF!,#REF!,#REF!,#REF!,#REF!,#REF!,#REF!,#REF!,#REF!,#REF!,#REF!</definedName>
    <definedName name="Z_233204EA_2E5C_465D_A673_CD1522792965_.wvu.FilterData" hidden="1">#REF!</definedName>
    <definedName name="Z_23D4D87B_E328_42A4_850C_A5F5E38C0896_.wvu.FilterData" hidden="1">#REF!</definedName>
    <definedName name="Z_24528680_959E_4550_936C_1982C9D5AD93_.wvu.FilterData" hidden="1">#REF!</definedName>
    <definedName name="Z_260CB89E_3B5F_45AE_AEB4_D0CB957691B3_.wvu.FilterData" hidden="1">#REF!</definedName>
    <definedName name="Z_264C1B79_36AB_4A2F_B216_0AAE38D9FCEE_.wvu.FilterData" hidden="1">#REF!</definedName>
    <definedName name="Z_281063A5_BE88_49B0_9AE6_06DB95A6574F_.wvu.FilterData" hidden="1">#REF!</definedName>
    <definedName name="Z_29113478_A706_48CF_BCA7_D812794D724A_.wvu.FilterData" hidden="1">#REF!</definedName>
    <definedName name="Z_2935D90A_C0D5_4AAC_9F3B_860FFE850CF8_.wvu.FilterData" hidden="1">#REF!</definedName>
    <definedName name="Z_2AB7915D_DACF_4EC4_BC32_ED6C7808E238_.wvu.FilterData" hidden="1">#REF!</definedName>
    <definedName name="Z_2B1FB9BC_DA2A_4B49_B62E_C3814E35D3D6_.wvu.FilterData" hidden="1">#REF!</definedName>
    <definedName name="Z_2BB0C1CE_B092_4E45_8314_5AF04D1A5585_.wvu.FilterData" hidden="1">#REF!</definedName>
    <definedName name="Z_2F70B19E_92D8_4B52_A9E0_5AA5E351B875_.wvu.FilterData" hidden="1">#REF!</definedName>
    <definedName name="Z_2FDE9FB7_A9E4_4C59_BAF3_4B314E523113_.wvu.FilterData" hidden="1">#REF!</definedName>
    <definedName name="Z_3207F8D0_941B_4818_9EDF_0F0E6A8FB699_.wvu.FilterData" hidden="1">#REF!</definedName>
    <definedName name="Z_326A8AD5_6F81_4722_AB32_2B8561C0B27F_.wvu.FilterData" hidden="1">#REF!</definedName>
    <definedName name="Z_338AA561_3E23_4683_8B84_5BDD13F5FB22_.wvu.FilterData" hidden="1">#REF!</definedName>
    <definedName name="Z_33EFE1D4_1635_4E36_8971_B021BA5B94A3_.wvu.FilterData" hidden="1">#REF!</definedName>
    <definedName name="Z_344D8FDE_1BF2_4A0B_879A_F4B9D317F6C2_.wvu.FilterData" hidden="1">#REF!</definedName>
    <definedName name="Z_34BB3CAB_4C66_4107_B4AC_9CC7E430216B_.wvu.FilterData" hidden="1">#REF!</definedName>
    <definedName name="Z_36CD4761_BF87_11D4_95DE_00A02454F445_.wvu.FilterData" hidden="1">#N/A</definedName>
    <definedName name="Z_36FF74A7_09C2_427F_B4E2_AFC58FD33E4E_.wvu.FilterData" hidden="1">#REF!</definedName>
    <definedName name="Z_3801DCB7_5391_4628_B86C_91331E33E863_.wvu.FilterData" hidden="1">#REF!</definedName>
    <definedName name="Z_39C6E7EB_35AE_4990_B01E_5CE29EE5C78D_.wvu.FilterData" hidden="1">#REF!</definedName>
    <definedName name="Z_39DCE38A_8BFC_42B0_BE58_05B2B8E3CF93_.wvu.FilterData" hidden="1">#REF!</definedName>
    <definedName name="Z_3A160DE1_3AF2_4676_8E42_85B4E23450DD_.wvu.FilterData" hidden="1">#REF!</definedName>
    <definedName name="Z_3C62743D_BD70_48A9_935D_71359E3E6185_.wvu.FilterData" hidden="1">#REF!</definedName>
    <definedName name="Z_3E0AC507_7D67_4827_9D1C_B08EEB845EEE_.wvu.FilterData" hidden="1">#REF!</definedName>
    <definedName name="Z_3E55370D_CDBE_46FE_9787_E04F332531E6_.wvu.FilterData" hidden="1">#REF!</definedName>
    <definedName name="Z_3F84FB7B_8ACA_41F1_9D3E_880588F02BE6_.wvu.FilterData" hidden="1">#REF!</definedName>
    <definedName name="Z_41411E57_1B24_4F47_9532_3D6B371216B7_.wvu.FilterData" hidden="1">#REF!</definedName>
    <definedName name="Z_43E54362_25E0_43EA_8D89_B59839049F13_.wvu.FilterData" hidden="1">#REF!</definedName>
    <definedName name="Z_465671FE_53E9_4F55_BC3A_126618F4D0C6_.wvu.FilterData" hidden="1">#REF!</definedName>
    <definedName name="Z_47597DAC_F7F1_4549_8981_4D473E4A7ACC_.wvu.FilterData" hidden="1">#REF!</definedName>
    <definedName name="Z_487A38C1_073E_471A_9668_6284958D8DBA_.wvu.FilterData" hidden="1">#REF!</definedName>
    <definedName name="Z_4CF92307_2217_4DE3_996A_A3115CFB22C6_.wvu.FilterData" hidden="1">#REF!</definedName>
    <definedName name="Z_4D3A3A50_1E5E_4ABD_B42A_A700F2D9FA9C_.wvu.FilterData" hidden="1">#REF!</definedName>
    <definedName name="Z_4E5084C6_988E_4780_93B3_7C0275D06567_.wvu.FilterData" hidden="1">#REF!</definedName>
    <definedName name="Z_4F345B1E_296C_4D08_A451_454D67258D24_.wvu.FilterData" hidden="1">#REF!</definedName>
    <definedName name="Z_52BC56C2_1006_4B41_A42A_6B40554CDA39_.wvu.FilterData" hidden="1">#REF!</definedName>
    <definedName name="Z_5319CC99_822D_406F_9C12_25F47E472F3D_.wvu.FilterData" hidden="1">#REF!</definedName>
    <definedName name="Z_531A2E4D_1988_4D59_B927_B7190C80EBAA_.wvu.FilterData" hidden="1">#REF!</definedName>
    <definedName name="Z_540A29FC_6866_45E6_BCF1_3D779D34DD08_.wvu.FilterData" hidden="1">#REF!</definedName>
    <definedName name="Z_5520ABA1_AA06_4713_8D35_BC0DC6F6E924_.wvu.FilterData" hidden="1">#REF!</definedName>
    <definedName name="Z_55DB2FC2_4B03_4B29_9354_7D40FB3B7538_.wvu.FilterData" hidden="1">#REF!</definedName>
    <definedName name="Z_56E2F2B5_BB44_431E_ACC1_F39B0DD4EA71_.wvu.FilterData" hidden="1">#REF!</definedName>
    <definedName name="Z_5A5F47F0_2B02_425F_9509_902FEC6CB8D4_.wvu.FilterData" hidden="1">#REF!</definedName>
    <definedName name="Z_5A706A12_B85E_41E2_8BDD_EC85C55902AB_.wvu.FilterData" hidden="1">#REF!</definedName>
    <definedName name="Z_5B398CB5_38BC_4CC3_9A0E_9513DC3E75AD_.wvu.FilterData" hidden="1">#REF!</definedName>
    <definedName name="Z_5CA8EFA6_7E89_4616_928A_39059E3AA216_.wvu.FilterData" hidden="1">#REF!</definedName>
    <definedName name="Z_60FDB94A_50AF_4E10_876B_D144A2E9568B_.wvu.FilterData" hidden="1">#REF!</definedName>
    <definedName name="Z_63475192_9094_4BA2_9AFC_8536BC77489E_.wvu.FilterData" hidden="1">#REF!</definedName>
    <definedName name="Z_6403545B_2A3B_4863_8819_F89E80114385_.wvu.FilterData" hidden="1">#REF!</definedName>
    <definedName name="Z_66636C07_5702_4EF3_B655_CDBAF654F15A_.wvu.FilterData" hidden="1">#REF!</definedName>
    <definedName name="Z_6963484B_0282_48B8_8317_EBF3903C7746_.wvu.FilterData" hidden="1">#REF!</definedName>
    <definedName name="Z_69D06662_5693_4F4C_AFD2_A32734DE2B11_.wvu.FilterData" hidden="1">#REF!</definedName>
    <definedName name="Z_6AE2FF41_261D_4F00_9D6D_F4804D21DDB3_.wvu.FilterData" hidden="1">#REF!</definedName>
    <definedName name="Z_6B67A6A0_1413_448D_98A5_D43F57DEC926_.wvu.FilterData" hidden="1">#REF!</definedName>
    <definedName name="Z_6B73B95E_43C0_4085_B9FE_22A6F30869ED_.wvu.FilterData" hidden="1">#REF!</definedName>
    <definedName name="Z_6BCB3D0F_5DBD_48EF_9460_43FFCBBCD422_.wvu.FilterData" hidden="1">#REF!</definedName>
    <definedName name="Z_6C3174E8_A2D4_4179_AA88_08CB5E7EA480_.wvu.FilterData" hidden="1">#REF!</definedName>
    <definedName name="Z_6CA47E86_B3B9_49E0_9BB0_E98600830225_.wvu.FilterData" hidden="1">#REF!</definedName>
    <definedName name="Z_6CF14753_FB4C_4C53_8AD7_D56F6E280083_.wvu.FilterData" hidden="1">#REF!</definedName>
    <definedName name="Z_6D917413_A3B5_4E5B_9004_56E0184D00F3_.wvu.FilterData" hidden="1">#REF!</definedName>
    <definedName name="Z_6E299587_D8E0_4139_8A2F_67139875A814_.wvu.FilterData" hidden="1">#REF!</definedName>
    <definedName name="Z_6F61D082_CB5F_11D4_8797_00105A0B6724_.wvu.FilterData" hidden="1">#N/A</definedName>
    <definedName name="Z_6FD7247E_19B7_4029_9F3A_EE01E21A1B67_.wvu.FilterData" hidden="1">#REF!</definedName>
    <definedName name="Z_70C94FA5_FE89_4042_B93F_6AAFC00B0B8D_.wvu.FilterData" hidden="1">#REF!</definedName>
    <definedName name="Z_735B96DC_7219_4D8B_ABAD_220D2B7947CB_.wvu.FilterData" hidden="1">#REF!</definedName>
    <definedName name="Z_7477AF3A_2BAF_4725_8909_5A723A8007EF_.wvu.FilterData" hidden="1">#REF!</definedName>
    <definedName name="Z_769F22F0_2CE4_4330_85CB_1C9A68E8695A_.wvu.Cols" hidden="1">#REF!</definedName>
    <definedName name="Z_779FC938_DF7A_4CF6_94B0_CDCDD6986FF7_.wvu.FilterData" hidden="1">#REF!</definedName>
    <definedName name="Z_77C15715_A4AB_4912_82E3_0F7DB54190C8_.wvu.FilterData" hidden="1">#REF!</definedName>
    <definedName name="Z_78843FEE_592A_4684_AA75_B78B1EF9F038_.wvu.FilterData" hidden="1">#REF!</definedName>
    <definedName name="Z_7990C264_C2FA_4640_A803_28B1D360B5E8_.wvu.FilterData" hidden="1">#REF!</definedName>
    <definedName name="Z_7A398D2C_8D5C_43F0_ACD4_39BBBD17F460_.wvu.FilterData" hidden="1">#REF!</definedName>
    <definedName name="Z_7BCAD35B_48BA_4F56_9D13_DD526F9AC0B8_.wvu.FilterData" hidden="1">#REF!</definedName>
    <definedName name="Z_7C4B07A8_2C5F_4DD5_99EB_9D4251FC0870_.wvu.FilterData" hidden="1">#REF!</definedName>
    <definedName name="Z_7C5D64EB_B280_4DF7_8070_7F6FFC6C118D_.wvu.FilterData" hidden="1">#REF!</definedName>
    <definedName name="Z_7CB778C4_AF6E_4D70_BAFD_ACCBAF83FC37_.wvu.FilterData" hidden="1">#REF!</definedName>
    <definedName name="Z_7DCC4356_81CF_48CE_B7EB_F916460AE99C_.wvu.FilterData" hidden="1">#REF!</definedName>
    <definedName name="Z_80BB6A2B_9544_4672_8398_FF4DA23DF7E3_.wvu.FilterData" hidden="1">#REF!</definedName>
    <definedName name="Z_82B9C43D_DB96_4397_AB1F_50E5A3A51795_.wvu.FilterData" hidden="1">#REF!</definedName>
    <definedName name="Z_82C8496E_E420_4D06_A8C1_E376CC09F820_.wvu.FilterData" hidden="1">#REF!</definedName>
    <definedName name="Z_837E5FC6_4281_4107_B0DC_A8F463497E55_.wvu.FilterData" hidden="1">#REF!</definedName>
    <definedName name="Z_83DCEEFF_4705_40AE_8072_0483B5743B5D_.wvu.FilterData" hidden="1">#REF!</definedName>
    <definedName name="Z_847A5FFF_A89C_4897_906B_EE405B25B225_.wvu.FilterData" hidden="1">#REF!</definedName>
    <definedName name="Z_854255C5_1077_459B_B647_AC8F4FD47D3A_.wvu.FilterData" hidden="1">#REF!</definedName>
    <definedName name="Z_85688AD2_A893_478E_9B2F_09B7C42482BA_.wvu.FilterData" hidden="1">#REF!</definedName>
    <definedName name="Z_86E9B424_197E_49CF_BFDA_2932BCEDD971_.wvu.FilterData" hidden="1">#REF!</definedName>
    <definedName name="Z_87D15442_58BD_4F3C_94DE_531020BB2A9F_.wvu.FilterData" hidden="1">#REF!</definedName>
    <definedName name="Z_87D52449_3B5E_4E8B_88A5_E300D9996EC7_.wvu.FilterData" hidden="1">#REF!</definedName>
    <definedName name="Z_889FE9FF_01D3_44AA_A47F_CD9BB14E2F74_.wvu.FilterData" hidden="1">#REF!</definedName>
    <definedName name="Z_8A11493B_31C6_480A_939B_94F8B46F7CAD_.wvu.FilterData" hidden="1">#REF!</definedName>
    <definedName name="Z_8A3676BD_192D_4B28_9F15_641104F7EB84_.wvu.FilterData" hidden="1">#REF!</definedName>
    <definedName name="Z_8AC1FF86_8181_4D33_A09C_D9252642F43D_.wvu.FilterData" hidden="1">#REF!</definedName>
    <definedName name="Z_8BCA58BD_70B7_40CE_A039_A616AAA9DF70_.wvu.FilterData" hidden="1">#REF!</definedName>
    <definedName name="Z_8C04156B_ECE3_4BE6_AE81_B06AC9DDCBBD_.wvu.FilterData" hidden="1">#REF!</definedName>
    <definedName name="Z_8D3BBDE3_D029_48FA_A7B1_266CA3A2B214_.wvu.FilterData" hidden="1">#REF!</definedName>
    <definedName name="Z_8D4E2CE7_B4AE_4487_A6EA_D94B532EF301_.wvu.FilterData" hidden="1">#REF!</definedName>
    <definedName name="Z_8EF961B3_4699_4490_B556_B5887737954D_.wvu.FilterData" hidden="1">#REF!</definedName>
    <definedName name="Z_8F73BF06_066B_4104_83FA_9338D9429A84_.wvu.FilterData" hidden="1">#REF!</definedName>
    <definedName name="Z_91195996_3591_4989_AC51_1CC20C4DA8EA_.wvu.FilterData" hidden="1">#REF!</definedName>
    <definedName name="Z_9337D27C_F450_4E0F_A993_9FA6026031B4_.wvu.FilterData" hidden="1">#REF!</definedName>
    <definedName name="Z_941E78A0_DA15_4559_8D24_47E60F64B332_.wvu.FilterData" hidden="1">#REF!</definedName>
    <definedName name="Z_96F2EE26_6561_4F4C_A5EB_5B153675D529_.wvu.FilterData" hidden="1">#REF!</definedName>
    <definedName name="Z_97D4D5E5_43F4_446C_A651_11999CE73F0D_.wvu.FilterData" hidden="1">#REF!</definedName>
    <definedName name="Z_99D15F62_90C4_405A_985F_7C185F19F985_.wvu.Rows" hidden="1">#REF!,#REF!,#REF!,#REF!,#REF!,#REF!,#REF!,#REF!,#REF!,#REF!,#REF!,#REF!,#REF!,#REF!,#REF!,#REF!</definedName>
    <definedName name="Z_9B9949C8_0BAA_4B11_A1CA_00EC9D2DC419_.wvu.FilterData" hidden="1">#REF!</definedName>
    <definedName name="Z_9C3E33FF_6562_4D26_BDF3_B29555E64301_.wvu.FilterData" hidden="1">#REF!</definedName>
    <definedName name="Z_9DFA07EB_C6E0_4532_9E8F_13C24B46A1AE_.wvu.FilterData" hidden="1">#REF!</definedName>
    <definedName name="Z_A0DAD961_7197_404E_AC96_B0E615F9E830_.wvu.FilterData" hidden="1">#REF!</definedName>
    <definedName name="Z_A24ACA16_EB04_482F_BB9A_2599E185C3D3_.wvu.FilterData" hidden="1">#REF!</definedName>
    <definedName name="Z_A4633B85_467D_49EB_95E7_E7B11A609631_.wvu.Cols" hidden="1">#REF!,#REF!</definedName>
    <definedName name="Z_A4633B85_467D_49EB_95E7_E7B11A609631_.wvu.Rows" hidden="1">#REF!,#REF!</definedName>
    <definedName name="Z_A4C45DF8_E6D8_4B06_84E7_81A5A9500D55_.wvu.FilterData" hidden="1">#REF!</definedName>
    <definedName name="Z_A52E95D2_430A_43EF_8C82_83878B555090_.wvu.FilterData" hidden="1">#REF!</definedName>
    <definedName name="Z_A564E848_8A16_4DE3_8578_F95B0AFD9DC2_.wvu.FilterData" hidden="1">#REF!</definedName>
    <definedName name="Z_A781204A_C096_4FD9_8686_E749AD880175_.wvu.FilterData" hidden="1">#REF!</definedName>
    <definedName name="Z_A8794A83_181C_4122_B911_4BBD3A571DEC_.wvu.FilterData" hidden="1">#REF!</definedName>
    <definedName name="Z_AA3FC3D4_6E6E_4CE7_81E8_4A7B17AB1715_.wvu.FilterData" hidden="1">#REF!</definedName>
    <definedName name="Z_AAB7394C_3FF8_4265_B8C2_66BBB8B1248C_.wvu.FilterData" hidden="1">#REF!</definedName>
    <definedName name="Z_ABFCADC3_4CF7_48CF_B39D_E5828A75D43E_.wvu.FilterData" hidden="1">#REF!</definedName>
    <definedName name="Z_AC4A34A8_23F5_4C09_A60F_7421B1C74590_.wvu.FilterData" hidden="1">#REF!</definedName>
    <definedName name="Z_AC584ACE_C266_4881_B354_E52E6427C1D4_.wvu.FilterData" hidden="1">#REF!</definedName>
    <definedName name="Z_AD28BEA7_74AD_4668_98DA_B02594AB4A9F_.wvu.FilterData" hidden="1">#REF!</definedName>
    <definedName name="Z_ADDFEFC7_F8D4_4F51_8B45_4DF1B03C1D84_.wvu.FilterData" hidden="1">#REF!</definedName>
    <definedName name="Z_AFC4E5D4_3A50_4BD7_8981_E00CA5601E99_.wvu.FilterData" hidden="1">#REF!</definedName>
    <definedName name="Z_B0364D3E_645F_4033_893D_29F2224BCCD7_.wvu.FilterData" hidden="1">#REF!</definedName>
    <definedName name="Z_B08CF5DC_76DD_45F7_8117_C9FE4CDFE13D_.wvu.FilterData" hidden="1">#REF!</definedName>
    <definedName name="Z_B13DA151_EB04_4E46_A0CB_FABFF9C5DF72_.wvu.FilterData" hidden="1">#REF!</definedName>
    <definedName name="Z_B340090A_7121_4DF7_B8FD_E7BF8654F2EB_.wvu.FilterData" hidden="1">#REF!</definedName>
    <definedName name="Z_B3790809_8402_4639_802D_68CB564D3CAD_.wvu.FilterData" hidden="1">#REF!</definedName>
    <definedName name="Z_B3C1D59A_903F_46DF_8DF2_31381BD91025_.wvu.FilterData" hidden="1">#REF!</definedName>
    <definedName name="Z_B3CDBC94_37F5_4116_BD6E_D5B385C07413_.wvu.FilterData" hidden="1">#REF!</definedName>
    <definedName name="Z_B40719B5_6DD8_41F3_9C61_FA18B7BEC194_.wvu.FilterData" hidden="1">#REF!</definedName>
    <definedName name="Z_B5FB1767_00F1_47E1_979A_38E2CFECCE4E_.wvu.FilterData" hidden="1">#REF!</definedName>
    <definedName name="Z_B6D61CEC_479F_40D2_BFB7_830AFA48121C_.wvu.FilterData" hidden="1">#REF!</definedName>
    <definedName name="Z_B6EA8A04_6067_4CED_8676_4375FC6E4929_.wvu.FilterData" hidden="1">#REF!</definedName>
    <definedName name="Z_B8515688_C072_49D4_80D4_1978E858526D_.wvu.FilterData" hidden="1">#REF!</definedName>
    <definedName name="Z_BB0C7DED_1A2A_447D_AC53_8122CFF9D6F6_.wvu.FilterData" hidden="1">#REF!</definedName>
    <definedName name="Z_BD047219_C723_45AF_B6CE_3194D750F96A_.wvu.FilterData" hidden="1">#REF!</definedName>
    <definedName name="Z_BD9F2785_62CE_454B_8EC4_5B70580F1E90_.wvu.FilterData" hidden="1">#REF!</definedName>
    <definedName name="Z_BF9A441D_91C9_4CBB_A8C6_B1C8DDED0022_.wvu.FilterData" hidden="1">#REF!</definedName>
    <definedName name="Z_BFC54781_86DE_4A03_8DE2_96245227F466_.wvu.FilterData" hidden="1">#REF!</definedName>
    <definedName name="Z_BFD46250_AAC1_4A55_AF46_ED8E09898BF5_.wvu.FilterData" hidden="1">#REF!</definedName>
    <definedName name="Z_C061817B_F471_4B81_90AE_E317DA2C9A58_.wvu.FilterData" hidden="1">#REF!</definedName>
    <definedName name="Z_C131E47D_3396_4B17_9E92_DB888AEA91D5_.wvu.FilterData" hidden="1">#REF!</definedName>
    <definedName name="Z_C1802170_5495_42FB_B728_35CD980B19D6_.wvu.FilterData" hidden="1">#REF!</definedName>
    <definedName name="Z_C26D4D2E_294B_4D2B_871F_2EC8A4E760C7_.wvu.FilterData" hidden="1">#REF!</definedName>
    <definedName name="Z_C3063329_D0D0_4637_A72C_F328A5547CE7_.wvu.FilterData" hidden="1">#REF!</definedName>
    <definedName name="Z_C3D9BAF0_1C78_4CB5_AEF9_0EEE2A9DE669_.wvu.FilterData" hidden="1">#REF!</definedName>
    <definedName name="Z_C4068392_70E2_11D7_882C_000102B7EA93_.wvu.FilterData" hidden="1">#REF!</definedName>
    <definedName name="Z_C52FD69E_5B9C_4D82_B7ED_70C261BE0700_.wvu.FilterData" hidden="1">#REF!</definedName>
    <definedName name="Z_C5C733EB_610D_427A_858C_C033BAAB9779_.wvu.FilterData" hidden="1">#REF!</definedName>
    <definedName name="Z_C6A4B951_CE93_4890_83F3_C23448F2D1D7_.wvu.FilterData" hidden="1">#REF!</definedName>
    <definedName name="Z_C76CCD33_7C08_45FB_9AA2_FEC286E8C541_.wvu.FilterData" hidden="1">#REF!</definedName>
    <definedName name="Z_C8B71C34_C314_4936_BB18_B6D11C7CA539_.wvu.FilterData" hidden="1">#REF!</definedName>
    <definedName name="Z_C9C06A35_3B51_4DE2_AA97_F5650AC53897_.wvu.FilterData" hidden="1">#REF!</definedName>
    <definedName name="Z_CC9625CD_AAA3_4136_9705_36B82D07620E_.wvu.FilterData" hidden="1">#REF!</definedName>
    <definedName name="Z_CCACCE7A_EDA9_4FA4_88F6_AD6D5528E296_.wvu.FilterData" hidden="1">#REF!</definedName>
    <definedName name="Z_CDBBB3DF_C053_4317_9584_CD4D6DEEA688_.wvu.FilterData" hidden="1">#REF!</definedName>
    <definedName name="Z_CDFC9A88_B0BB_44E0_97F8_9097DD382BA5_.wvu.FilterData" hidden="1">#REF!</definedName>
    <definedName name="Z_CEDDC640_EE2A_4435_891D_2BDAE542CFD2_.wvu.FilterData" hidden="1">#REF!</definedName>
    <definedName name="Z_D1A82D5E_68FD_4B68_9784_52B58E5636E7_.wvu.FilterData" hidden="1">#REF!</definedName>
    <definedName name="Z_D1FAB40C_1B34_4F9F_B37A_5127BD88BBAC_.wvu.FilterData" hidden="1">#REF!</definedName>
    <definedName name="Z_D33463D8_B4A5_4DE4_B640_CAF7C4299D90_.wvu.FilterData" hidden="1">#REF!</definedName>
    <definedName name="Z_D6830399_E8F9_4A93_AD4C_0F373575B429_.wvu.FilterData" hidden="1">#REF!</definedName>
    <definedName name="Z_D77BD545_7453_49A9_86C7_0D8CE7EAA505_.wvu.FilterData" hidden="1">#REF!</definedName>
    <definedName name="Z_D7F87DB1_1990_4C3B_B971_3A6FA5D118CD_.wvu.FilterData" hidden="1">#REF!</definedName>
    <definedName name="Z_D8642325_9460_4501_938F_B70C469BB94C_.wvu.FilterData" hidden="1">#REF!</definedName>
    <definedName name="Z_DB5E2E10_5DC2_40A7_BA2F_BA4FCB2CBC8C_.wvu.FilterData" hidden="1">#REF!</definedName>
    <definedName name="Z_DB6923EA_4BB0_4B7E_AA47_83C7BF949F2A_.wvu.FilterData" hidden="1">#REF!</definedName>
    <definedName name="Z_DB98C602_A4A4_4B70_9ED4_358D78C2BD5B_.wvu.FilterData" hidden="1">#REF!</definedName>
    <definedName name="Z_DCEF54AB_2F3C_4138_9518_0AF912DE68F1_.wvu.FilterData" hidden="1">#REF!</definedName>
    <definedName name="Z_DD0EE640_D13F_4234_9EE5_3AFCE632A5F2_.wvu.FilterData" hidden="1">#REF!</definedName>
    <definedName name="Z_DFA9743D_F3CE_4CF4_8864_78598D0D751C_.wvu.FilterData" hidden="1">#REF!</definedName>
    <definedName name="Z_DFE430D0_DD4E_4E40_B190_19BEE9AD0CBC_.wvu.FilterData" hidden="1">#REF!</definedName>
    <definedName name="Z_E2547EDD_D29F_4DEE_98C5_A9AA79B5E613_.wvu.FilterData" hidden="1">#REF!</definedName>
    <definedName name="Z_E62B5FDD_E3DE_49E6_BA80_5948A7E0F370_.wvu.FilterData" hidden="1">#REF!</definedName>
    <definedName name="Z_E65CFA7E_41DA_408C_A2AF_C9D9D211D253_.wvu.FilterData" hidden="1">#REF!</definedName>
    <definedName name="Z_E716EB83_6184_4934_AC9A_F207DFF8271C_.wvu.FilterData" hidden="1">#REF!</definedName>
    <definedName name="Z_E8DA1088_1B70_45BC_9580_AB21C9779799_.wvu.FilterData" hidden="1">#REF!</definedName>
    <definedName name="Z_EA132528_EA87_4E89_88E7_B910C8737820_.wvu.FilterData" hidden="1">#REF!</definedName>
    <definedName name="Z_EACA5552_6A11_454F_9370_90ABEB10D353_.wvu.FilterData" hidden="1">#REF!</definedName>
    <definedName name="Z_EAD327E5_03D5_4FE6_B20C_6C8F8ED20FDA_.wvu.FilterData" hidden="1">#REF!</definedName>
    <definedName name="Z_EC0806A7_F8A5_4AB0_9843_BEFEA068EF84_.wvu.FilterData" hidden="1">#REF!</definedName>
    <definedName name="Z_EC3BDFDA_32DB_46B4_9DB8_447FB9651E99_.wvu.FilterData" hidden="1">#REF!</definedName>
    <definedName name="Z_EC73F126_448D_4348_A573_3BC24AC8795A_.wvu.FilterData" hidden="1">#REF!</definedName>
    <definedName name="Z_EE2FF224_EB99_4F66_89A5_BA724EA24427_.wvu.FilterData" hidden="1">#REF!</definedName>
    <definedName name="Z_EE59C669_DD06_4D54_A54F_AB6454CED5F7_.wvu.FilterData" hidden="1">#REF!</definedName>
    <definedName name="Z_EEB39A19_0FC3_44FD_AFD3_08049C71CA5C_.wvu.FilterData" hidden="1">#REF!</definedName>
    <definedName name="Z_EF0F7889_2C1E_4238_8B7B_8D0D4B99295B_.wvu.FilterData" hidden="1">#REF!</definedName>
    <definedName name="Z_F0BEE053_CC9E_4B75_A7ED_8354A3C87E6D_.wvu.FilterData" hidden="1">#REF!</definedName>
    <definedName name="Z_F1763C82_6D53_4E59_B1FD_6E1B32681758_.wvu.FilterData" hidden="1">#REF!</definedName>
    <definedName name="Z_F2091873_10D4_489F_B19B_F2EFD09E7524_.wvu.FilterData" hidden="1">#REF!</definedName>
    <definedName name="Z_F35BBA14_C940_4E05_8D2F_8EF2382BD8E9_.wvu.FilterData" hidden="1">#REF!</definedName>
    <definedName name="Z_F6A8A1D4_2E27_4066_BF73_DF05C2A1BE54_.wvu.FilterData" hidden="1">#REF!</definedName>
    <definedName name="Z_F6F91436_DB8C_43B9_9601_ADA87F20DA85_.wvu.FilterData" hidden="1">#REF!</definedName>
    <definedName name="Z_F9D42F6D_FBB8_4347_9609_09FB930659C7_.wvu.FilterData" hidden="1">#REF!</definedName>
    <definedName name="Z_FA249B36_5B5A_4A16_9895_DFF5A4371322_.wvu.FilterData" hidden="1">#REF!</definedName>
    <definedName name="Z_FA2BA62A_D02C_47A4_B101_F560E4F5A890_.wvu.FilterData" hidden="1">#REF!</definedName>
    <definedName name="Z_FAE2F684_3BFD_4D9A_A781_817E0C770D03_.wvu.FilterData" hidden="1">#REF!</definedName>
    <definedName name="Z_FB4DC09B_2939_4303_BE5F_7A353FD7CA56_.wvu.FilterData" hidden="1">#REF!</definedName>
    <definedName name="Z_FE91E8DA_1017_4CBC_AA5E_26CB5F0FC9EA_.wvu.FilterData" hidden="1">#REF!</definedName>
    <definedName name="Z_FEC78678_1464_4166_9FC6_867AD5962476_.wvu.FilterData" hidden="1">#REF!</definedName>
    <definedName name="zgjl" hidden="1">{"'Северо-Никольское '!$A$6:$J$40"}</definedName>
    <definedName name="zxcv" hidden="1">{"'Северо-Никольское '!$A$6:$J$40"}</definedName>
    <definedName name="zxy" hidden="1">{"'Северо-Никольское '!$A$6:$J$40"}</definedName>
    <definedName name="zzzz" hidden="1">{"'Северо-Никольское '!$A$6:$J$40"}</definedName>
    <definedName name="аа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авп" hidden="1">#REF!</definedName>
    <definedName name="агсь" hidden="1">{"'Северо-Никольское '!$A$6:$J$40"}</definedName>
    <definedName name="аочрч" hidden="1">{"Смета_Ц1",#N/A,FALSE,"Сметы_затрат_по_цехам";"Смета_Ц3",#N/A,FALSE,"Сметы_затрат_по_цехам";"Смета_НХП",#N/A,FALSE,"Сметы_затрат_по_цехам";"Смета_АКС",#N/A,FALSE,"Сметы_затрат_по_цехам";"Смета_ЦВК",#N/A,FALSE,"Сметы_затрат_по_цехам";"Смета_УстанСеры",#N/A,FALSE,"Сметы_затрат_по_цехам";"Смета_Ц5",#N/A,FALSE,"Сметы_затрат_по_цехам";"Смета_ЦРХ",#N/A,FALSE,"Сметы_затрат_по_цехам";"Смета_Ц6",#N/A,FALSE,"Сметы_затрат_по_цехам";"Смета_Ц7",#N/A,FALSE,"Сметы_затрат_по_цехам";"Смета_Ц9",#N/A,FALSE,"Сметы_затрат_по_цехам";"Смета_Ц10",#N/A,FALSE,"Сметы_затрат_по_цехам";"Смета_УТИМ",#N/A,FALSE,"Сметы_затрат_по_цехам";"Смета_Ц16",#N/A,FALSE,"Сметы_затрат_по_цехам";"Смета_ОчСоор",#N/A,FALSE,"Сметы_затрат_по_цехам";"Смета_АвтодорУчЦ13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Ц12",#N/A,FALSE,"Сметы_затрат_по_цехам";"смета_Ц14",#N/A,FALSE,"Сметы_затрат_по_цехам";"Смета_Ц17",#N/A,FALSE,"Сметы_затрат_по_цехам";"Смета_ЦЗЛ",#N/A,FALSE,"Сметы_затрат_по_цехам"}</definedName>
    <definedName name="апав" hidden="1">{"'Северо-Никольское '!$A$6:$J$40"}</definedName>
    <definedName name="апова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Апрель" localSheetId="2" hidden="1">Main.SAPF4Help()</definedName>
    <definedName name="Апрель" localSheetId="4" hidden="1">Main.SAPF4Help()</definedName>
    <definedName name="Апрель" hidden="1">Main.SAPF4Help()</definedName>
    <definedName name="Ачинск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б" hidden="1">{"'Северо-Никольское '!$A$6:$J$40"}</definedName>
    <definedName name="бьие" hidden="1">{"'Северо-Никольское '!$A$6:$J$40"}</definedName>
    <definedName name="в" hidden="1">{"Смета_Ц1",#N/A,FALSE,"Сметы_затрат_по_цехам";"Смета_Ц3",#N/A,FALSE,"Сметы_затрат_по_цехам";"Смета_НХП",#N/A,FALSE,"Сметы_затрат_по_цехам";"Смета_АКС",#N/A,FALSE,"Сметы_затрат_по_цехам";"Смета_ЦВК",#N/A,FALSE,"Сметы_затрат_по_цехам";"Смета_УстанСеры",#N/A,FALSE,"Сметы_затрат_по_цехам";"Смета_Ц5",#N/A,FALSE,"Сметы_затрат_по_цехам";"Смета_ЦРХ",#N/A,FALSE,"Сметы_затрат_по_цехам";"Смета_Ц6",#N/A,FALSE,"Сметы_затрат_по_цехам";"Смета_Ц7",#N/A,FALSE,"Сметы_затрат_по_цехам";"Смета_Ц9",#N/A,FALSE,"Сметы_затрат_по_цехам";"Смета_Ц10",#N/A,FALSE,"Сметы_затрат_по_цехам";"Смета_УТИМ",#N/A,FALSE,"Сметы_затрат_по_цехам";"Смета_Ц16",#N/A,FALSE,"Сметы_затрат_по_цехам";"Смета_ОчСоор",#N/A,FALSE,"Сметы_затрат_по_цехам";"Смета_АвтодорУчЦ13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Ц12",#N/A,FALSE,"Сметы_затрат_по_цехам";"смета_Ц14",#N/A,FALSE,"Сметы_затрат_по_цехам";"Смета_Ц17",#N/A,FALSE,"Сметы_затрат_по_цехам";"Смета_ЦЗЛ",#N/A,FALSE,"Сметы_затрат_по_цехам"}</definedName>
    <definedName name="варо" localSheetId="2" hidden="1">Main.SAPF4Help()</definedName>
    <definedName name="варо" localSheetId="4" hidden="1">Main.SAPF4Help()</definedName>
    <definedName name="варо" hidden="1">Main.SAPF4Help()</definedName>
    <definedName name="васм" hidden="1">{"'Северо-Никольское '!$A$6:$J$40"}</definedName>
    <definedName name="вау" hidden="1">#REF!</definedName>
    <definedName name="ваырваро" localSheetId="2" hidden="1">Main.SAPF4Help()</definedName>
    <definedName name="ваырваро" localSheetId="4" hidden="1">Main.SAPF4Help()</definedName>
    <definedName name="ваырваро" hidden="1">Main.SAPF4Help()</definedName>
    <definedName name="вв" hidden="1">#N/A</definedName>
    <definedName name="ввв" hidden="1">{"'Северо-Никольское '!$A$6:$J$40"}</definedName>
    <definedName name="вввв" hidden="1">{"'Северо-Никольское '!$A$6:$J$40"}</definedName>
    <definedName name="вгегев" hidden="1">{"Смета_Ц1",#N/A,FALSE,"Сметы_затрат_по_цехам";"Смета_Ц3",#N/A,FALSE,"Сметы_затрат_по_цехам";"Смета_НХП",#N/A,FALSE,"Сметы_затрат_по_цехам";"Смета_АКС",#N/A,FALSE,"Сметы_затрат_по_цехам";"Смета_ЦВК",#N/A,FALSE,"Сметы_затрат_по_цехам";"Смета_УстанСеры",#N/A,FALSE,"Сметы_затрат_по_цехам";"Смета_Ц5",#N/A,FALSE,"Сметы_затрат_по_цехам";"Смета_ЦРХ",#N/A,FALSE,"Сметы_затрат_по_цехам";"Смета_Ц6",#N/A,FALSE,"Сметы_затрат_по_цехам";"Смета_Ц7",#N/A,FALSE,"Сметы_затрат_по_цехам";"Смета_Ц9",#N/A,FALSE,"Сметы_затрат_по_цехам";"Смета_Ц10",#N/A,FALSE,"Сметы_затрат_по_цехам";"Смета_УТИМ",#N/A,FALSE,"Сметы_затрат_по_цехам";"Смета_Ц16",#N/A,FALSE,"Сметы_затрат_по_цехам";"Смета_ОчСоор",#N/A,FALSE,"Сметы_затрат_по_цехам";"Смета_АвтодорУчЦ13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Ц12",#N/A,FALSE,"Сметы_затрат_по_цехам";"смета_Ц14",#N/A,FALSE,"Сметы_затрат_по_цехам";"Смета_Ц17",#N/A,FALSE,"Сметы_затрат_по_цехам";"Смета_ЦЗЛ",#N/A,FALSE,"Сметы_затрат_по_цехам"}</definedName>
    <definedName name="вгенгв" hidden="1">{"Смета_Ц1",#N/A,FALSE,"Сметы_затрат_по_цехам";"Смета_Ц3",#N/A,FALSE,"Сметы_затрат_по_цехам";"Смета_НХП",#N/A,FALSE,"Сметы_затрат_по_цехам";"Смета_АКС",#N/A,FALSE,"Сметы_затрат_по_цехам";"Смета_ЦВК",#N/A,FALSE,"Сметы_затрат_по_цехам";"Смета_УстанСеры",#N/A,FALSE,"Сметы_затрат_по_цехам";"Смета_Ц5",#N/A,FALSE,"Сметы_затрат_по_цехам";"Смета_ЦРХ",#N/A,FALSE,"Сметы_затрат_по_цехам";"Смета_Ц6",#N/A,FALSE,"Сметы_затрат_по_цехам";"Смета_Ц7",#N/A,FALSE,"Сметы_затрат_по_цехам";"Смета_Ц9",#N/A,FALSE,"Сметы_затрат_по_цехам";"Смета_Ц10",#N/A,FALSE,"Сметы_затрат_по_цехам";"Смета_УТИМ",#N/A,FALSE,"Сметы_затрат_по_цехам";"Смета_Ц16",#N/A,FALSE,"Сметы_затрат_по_цехам";"Смета_ОчСоор",#N/A,FALSE,"Сметы_затрат_по_цехам";"Смета_АвтодорУчЦ13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Ц12",#N/A,FALSE,"Сметы_затрат_по_цехам";"смета_Ц14",#N/A,FALSE,"Сметы_затрат_по_цехам";"Смета_Ц17",#N/A,FALSE,"Сметы_затрат_по_цехам";"Смета_ЦЗЛ",#N/A,FALSE,"Сметы_затрат_по_цехам"}</definedName>
    <definedName name="вегвг" hidden="1">{#N/A,#N/A,FALSE,"СЫРЬЕ";#N/A,#N/A,FALSE,"ПОКУП_ВОДА";#N/A,#N/A,FALSE,"ПОКУП_ЭЛЕКТР";#N/A,#N/A,FALSE,"РЕАГ_КАТАЛ";#N/A,#N/A,FALSE,"ПРОЧИЕ_ЗАТР";#N/A,#N/A,FALSE,"УСЛУГИ_ПРОМХАР";#N/A,#N/A,FALSE,"СМЕТА";#N/A,#N/A,FALSE,"СМЕТА_ТЕКРЕМ";#N/A,#N/A,FALSE,"СМЕТА_СЭО";#N/A,#N/A,FALSE,"РАСШИФ_ЦЕХ_РАСХ";#N/A,#N/A,FALSE,"РАСПРЕД ПО ПРОЦЕСС";#N/A,#N/A,FALSE,"Распред_общезав";#N/A,#N/A,FALSE,"СВОД";"Смета_АвтодорУчЦ13",#N/A,FALSE,"Сметы_затрат_по_цехам";"Смета_АКС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комб_питан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НХП",#N/A,FALSE,"Сметы_затрат_по_цехам";"Смета_ОчСоор",#N/A,FALSE,"Сметы_затрат_по_цехам";"Смета_УстанСеры",#N/A,FALSE,"Сметы_затрат_по_цехам";"Смета_УТИМ",#N/A,FALSE,"Сметы_затрат_по_цехам";"Смета_Ц1",#N/A,FALSE,"Сметы_затрат_по_цехам";"Смета_Ц10",#N/A,FALSE,"Сметы_затрат_по_цехам";"Смета_Ц12",#N/A,FALSE,"Сметы_затрат_по_цехам";"смета_Ц14",#N/A,FALSE,"Сметы_затрат_по_цехам";"Смета_Ц16",#N/A,FALSE,"Сметы_затрат_по_цехам";"Смета_Ц17",#N/A,FALSE,"Сметы_затрат_по_цехам";"Смета_Ц3",#N/A,FALSE,"Сметы_затрат_по_цехам";"Смета_Ц5",#N/A,FALSE,"Сметы_затрат_по_цехам";"Смета_Ц6",#N/A,FALSE,"Сметы_затрат_по_цехам";"Смета_Ц7",#N/A,FALSE,"Сметы_затрат_по_цехам";"Смета_Ц9",#N/A,FALSE,"Сметы_затрат_по_цехам";"Смета_ЦВК",#N/A,FALSE,"Сметы_затрат_по_цехам";"Смета_ЦЗЛ",#N/A,FALSE,"Сметы_затрат_по_цехам";"Смета_ЦРХ",#N/A,FALSE,"Сметы_затрат_по_цехам";"Внутризав_перекачка",#N/A,FALSE,"Распределение_затрат";"Распределение_КИПиА",#N/A,FALSE,"Распределение_затрат";"Распределение_услуг_РМЦ",#N/A,FALSE,"Распределение_затрат";"Распределение_химочищен_воды",#N/A,FALSE,"Распределение_затрат";"Распределение_хозпит_воды",#N/A,FALSE,"Распределение_затрат";"Расчет_азота",#N/A,FALSE,"Распределение_затрат";"Расчет_воды",#N/A,FALSE,"Распределение_затрат";"Расчет_сж_воздуха",#N/A,FALSE,"Распределение_затрат";"Расчет_теплоэнер",#N/A,FALSE,"Распределение_затрат";"Топливо_собств_нужды",#N/A,FALSE,"Распределение_затрат";"Услуги_УТИМ",#N/A,FALSE,"Распределение_затрат"}</definedName>
    <definedName name="вегвег" hidden="1">{#N/A,#N/A,FALSE,"СВОД"}</definedName>
    <definedName name="вегвуеу" hidden="1">{#N/A,#N/A,FALSE,"СВОД"}</definedName>
    <definedName name="вегг" hidden="1">{#N/A,#N/A,FALSE,"СВОД"}</definedName>
    <definedName name="вегег" hidden="1">{"Смета_Ц1",#N/A,FALSE,"Сметы_затрат_по_цехам";"Смета_Ц3",#N/A,FALSE,"Сметы_затрат_по_цехам";"Смета_НХП",#N/A,FALSE,"Сметы_затрат_по_цехам";"Смета_АКС",#N/A,FALSE,"Сметы_затрат_по_цехам";"Смета_ЦВК",#N/A,FALSE,"Сметы_затрат_по_цехам";"Смета_УстанСеры",#N/A,FALSE,"Сметы_затрат_по_цехам";"Смета_Ц5",#N/A,FALSE,"Сметы_затрат_по_цехам";"Смета_ЦРХ",#N/A,FALSE,"Сметы_затрат_по_цехам";"Смета_Ц6",#N/A,FALSE,"Сметы_затрат_по_цехам";"Смета_Ц7",#N/A,FALSE,"Сметы_затрат_по_цехам";"Смета_Ц9",#N/A,FALSE,"Сметы_затрат_по_цехам";"Смета_Ц10",#N/A,FALSE,"Сметы_затрат_по_цехам";"Смета_УТИМ",#N/A,FALSE,"Сметы_затрат_по_цехам";"Смета_Ц16",#N/A,FALSE,"Сметы_затрат_по_цехам";"Смета_ОчСоор",#N/A,FALSE,"Сметы_затрат_по_цехам";"Смета_АвтодорУчЦ13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Ц12",#N/A,FALSE,"Сметы_затрат_по_цехам";"смета_Ц14",#N/A,FALSE,"Сметы_затрат_по_цехам";"Смета_Ц17",#N/A,FALSE,"Сметы_затрат_по_цехам";"Смета_ЦЗЛ",#N/A,FALSE,"Сметы_затрат_по_цехам"}</definedName>
    <definedName name="вен" hidden="1">{"Смета_Ц1",#N/A,FALSE,"Сметы_затрат_по_цехам";"Смета_Ц3",#N/A,FALSE,"Сметы_затрат_по_цехам";"Смета_НХП",#N/A,FALSE,"Сметы_затрат_по_цехам";"Смета_АКС",#N/A,FALSE,"Сметы_затрат_по_цехам";"Смета_ЦВК",#N/A,FALSE,"Сметы_затрат_по_цехам";"Смета_УстанСеры",#N/A,FALSE,"Сметы_затрат_по_цехам";"Смета_Ц5",#N/A,FALSE,"Сметы_затрат_по_цехам";"Смета_ЦРХ",#N/A,FALSE,"Сметы_затрат_по_цехам";"Смета_Ц6",#N/A,FALSE,"Сметы_затрат_по_цехам";"Смета_Ц7",#N/A,FALSE,"Сметы_затрат_по_цехам";"Смета_Ц9",#N/A,FALSE,"Сметы_затрат_по_цехам";"Смета_Ц10",#N/A,FALSE,"Сметы_затрат_по_цехам";"Смета_УТИМ",#N/A,FALSE,"Сметы_затрат_по_цехам";"Смета_Ц16",#N/A,FALSE,"Сметы_затрат_по_цехам";"Смета_ОчСоор",#N/A,FALSE,"Сметы_затрат_по_цехам";"Смета_АвтодорУчЦ13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Ц12",#N/A,FALSE,"Сметы_затрат_по_цехам";"смета_Ц14",#N/A,FALSE,"Сметы_затрат_по_цехам";"Смета_Ц17",#N/A,FALSE,"Сметы_затрат_по_цехам";"Смета_ЦЗЛ",#N/A,FALSE,"Сметы_затрат_по_цехам"}</definedName>
    <definedName name="венш" hidden="1">{"Смета_Ц1",#N/A,FALSE,"Сметы_затрат_по_цехам";"Смета_Ц3",#N/A,FALSE,"Сметы_затрат_по_цехам";"Смета_НХП",#N/A,FALSE,"Сметы_затрат_по_цехам";"Смета_АКС",#N/A,FALSE,"Сметы_затрат_по_цехам";"Смета_ЦВК",#N/A,FALSE,"Сметы_затрат_по_цехам";"Смета_УстанСеры",#N/A,FALSE,"Сметы_затрат_по_цехам";"Смета_Ц5",#N/A,FALSE,"Сметы_затрат_по_цехам";"Смета_ЦРХ",#N/A,FALSE,"Сметы_затрат_по_цехам";"Смета_Ц6",#N/A,FALSE,"Сметы_затрат_по_цехам";"Смета_Ц7",#N/A,FALSE,"Сметы_затрат_по_цехам";"Смета_Ц9",#N/A,FALSE,"Сметы_затрат_по_цехам";"Смета_Ц10",#N/A,FALSE,"Сметы_затрат_по_цехам";"Смета_УТИМ",#N/A,FALSE,"Сметы_затрат_по_цехам";"Смета_Ц16",#N/A,FALSE,"Сметы_затрат_по_цехам";"Смета_ОчСоор",#N/A,FALSE,"Сметы_затрат_по_цехам";"Смета_АвтодорУчЦ13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Ц12",#N/A,FALSE,"Сметы_затрат_по_цехам";"смета_Ц14",#N/A,FALSE,"Сметы_затрат_по_цехам";"Смета_Ц17",#N/A,FALSE,"Сметы_затрат_по_цехам";"Смета_ЦЗЛ",#N/A,FALSE,"Сметы_затрат_по_цехам"}</definedName>
    <definedName name="вика" hidden="1">{"'Северо-Никольское '!$A$6:$J$40"}</definedName>
    <definedName name="вор" localSheetId="2" hidden="1">Main.SAPF4Help()</definedName>
    <definedName name="вор" localSheetId="4" hidden="1">Main.SAPF4Help()</definedName>
    <definedName name="вор" hidden="1">Main.SAPF4Help()</definedName>
    <definedName name="впо" hidden="1">{"'Северо-Никольское '!$A$6:$J$40"}</definedName>
    <definedName name="галя" hidden="1">{"Смета_Ц1",#N/A,FALSE,"Сметы_затрат_по_цехам"}</definedName>
    <definedName name="ггг" hidden="1">#REF!</definedName>
    <definedName name="гггг" localSheetId="2" hidden="1">Main.SAPF4Help()</definedName>
    <definedName name="гггг" localSheetId="4" hidden="1">Main.SAPF4Help()</definedName>
    <definedName name="гггг" hidden="1">Main.SAPF4Help()</definedName>
    <definedName name="гнл" hidden="1">{"'Северо-Никольское '!$A$6:$J$40"}</definedName>
    <definedName name="год" localSheetId="2" hidden="1">Main.SAPF4Help()</definedName>
    <definedName name="год" localSheetId="4" hidden="1">Main.SAPF4Help()</definedName>
    <definedName name="год" hidden="1">Main.SAPF4Help()</definedName>
    <definedName name="гшн" localSheetId="2" hidden="1">Main.SAPF4Help()</definedName>
    <definedName name="гшн" localSheetId="4" hidden="1">Main.SAPF4Help()</definedName>
    <definedName name="гшн" hidden="1">Main.SAPF4Help()</definedName>
    <definedName name="д" hidden="1">{"Смета_Ц1",#N/A,FALSE,"Сметы_затрат_по_цехам"}</definedName>
    <definedName name="дглп" hidden="1">{#N/A,#N/A,FALSE,"СВОД"}</definedName>
    <definedName name="дгн" hidden="1">{"'Северо-Никольское '!$A$6:$J$40"}</definedName>
    <definedName name="ддд" hidden="1">{#N/A,#N/A,FALSE,"СВОД"}</definedName>
    <definedName name="джолж" hidden="1">{#N/A,#N/A,FALSE,"СВОД"}</definedName>
    <definedName name="Длинный" hidden="1">#REF!</definedName>
    <definedName name="дпв" hidden="1">{"'Северо-Никольское '!$A$6:$J$40"}</definedName>
    <definedName name="дшн" hidden="1">{"'Северо-Никольское '!$A$6:$J$40"}</definedName>
    <definedName name="е" hidden="1">{#N/A,#N/A,FALSE,"СВОД"}</definedName>
    <definedName name="евв" hidden="1">{#N/A,#N/A,FALSE,"СЫРЬЕ";#N/A,#N/A,FALSE,"ПОКУП_ВОДА";#N/A,#N/A,FALSE,"ПОКУП_ЭЛЕКТР";#N/A,#N/A,FALSE,"РЕАГ_КАТАЛ";#N/A,#N/A,FALSE,"ПРОЧИЕ_ЗАТР";#N/A,#N/A,FALSE,"УСЛУГИ_ПРОМХАР";#N/A,#N/A,FALSE,"СМЕТА";#N/A,#N/A,FALSE,"СМЕТА_ТЕКРЕМ";#N/A,#N/A,FALSE,"СМЕТА_СЭО";#N/A,#N/A,FALSE,"РАСШИФ_ЦЕХ_РАСХ";#N/A,#N/A,FALSE,"РАСПРЕД ПО ПРОЦЕСС";#N/A,#N/A,FALSE,"Распред_общезав";#N/A,#N/A,FALSE,"СВОД";"Смета_АвтодорУчЦ13",#N/A,FALSE,"Сметы_затрат_по_цехам";"Смета_АКС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комб_питан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НХП",#N/A,FALSE,"Сметы_затрат_по_цехам";"Смета_ОчСоор",#N/A,FALSE,"Сметы_затрат_по_цехам";"Смета_УстанСеры",#N/A,FALSE,"Сметы_затрат_по_цехам";"Смета_УТИМ",#N/A,FALSE,"Сметы_затрат_по_цехам";"Смета_Ц1",#N/A,FALSE,"Сметы_затрат_по_цехам";"Смета_Ц10",#N/A,FALSE,"Сметы_затрат_по_цехам";"Смета_Ц12",#N/A,FALSE,"Сметы_затрат_по_цехам";"смета_Ц14",#N/A,FALSE,"Сметы_затрат_по_цехам";"Смета_Ц16",#N/A,FALSE,"Сметы_затрат_по_цехам";"Смета_Ц17",#N/A,FALSE,"Сметы_затрат_по_цехам";"Смета_Ц3",#N/A,FALSE,"Сметы_затрат_по_цехам";"Смета_Ц5",#N/A,FALSE,"Сметы_затрат_по_цехам";"Смета_Ц6",#N/A,FALSE,"Сметы_затрат_по_цехам";"Смета_Ц7",#N/A,FALSE,"Сметы_затрат_по_цехам";"Смета_Ц9",#N/A,FALSE,"Сметы_затрат_по_цехам";"Смета_ЦВК",#N/A,FALSE,"Сметы_затрат_по_цехам";"Смета_ЦЗЛ",#N/A,FALSE,"Сметы_затрат_по_цехам";"Смета_ЦРХ",#N/A,FALSE,"Сметы_затрат_по_цехам";"Внутризав_перекачка",#N/A,FALSE,"Распределение_затрат";"Распределение_КИПиА",#N/A,FALSE,"Распределение_затрат";"Распределение_услуг_РМЦ",#N/A,FALSE,"Распределение_затрат";"Распределение_химочищен_воды",#N/A,FALSE,"Распределение_затрат";"Распределение_хозпит_воды",#N/A,FALSE,"Распределение_затрат";"Расчет_азота",#N/A,FALSE,"Распределение_затрат";"Расчет_воды",#N/A,FALSE,"Распределение_затрат";"Расчет_сж_воздуха",#N/A,FALSE,"Распределение_затрат";"Расчет_теплоэнер",#N/A,FALSE,"Распределение_затрат";"Топливо_собств_нужды",#N/A,FALSE,"Распределение_затрат";"Услуги_УТИМ",#N/A,FALSE,"Распределение_затрат"}</definedName>
    <definedName name="ек" localSheetId="2" hidden="1">Main.SAPF4Help()</definedName>
    <definedName name="ек" localSheetId="4" hidden="1">Main.SAPF4Help()</definedName>
    <definedName name="ек" hidden="1">Main.SAPF4Help()</definedName>
    <definedName name="еук" localSheetId="2" hidden="1">Main.SAPF4Help()</definedName>
    <definedName name="еук" localSheetId="4" hidden="1">Main.SAPF4Help()</definedName>
    <definedName name="еук" hidden="1">Main.SAPF4Help()</definedName>
    <definedName name="ефе" localSheetId="2" hidden="1">Main.SAPF4Help()</definedName>
    <definedName name="ефе" localSheetId="4" hidden="1">Main.SAPF4Help()</definedName>
    <definedName name="ефе" hidden="1">Main.SAPF4Help()</definedName>
    <definedName name="жжж" hidden="1">{"'Северо-Никольское '!$A$6:$J$40"}</definedName>
    <definedName name="жощз0" hidden="1">{"'Северо-Никольское '!$A$6:$J$40"}</definedName>
    <definedName name="жую" hidden="1">{"'Северо-Никольское '!$A$6:$J$40"}</definedName>
    <definedName name="жфлп" hidden="1">{"'Северо-Никольское '!$A$6:$J$40"}</definedName>
    <definedName name="ззз" hidden="1">{"'Северо-Никольское '!$A$6:$J$40"}</definedName>
    <definedName name="зп" hidden="1">#REF!</definedName>
    <definedName name="зщш" localSheetId="2" hidden="1">Main.SAPF4Help()</definedName>
    <definedName name="зщш" localSheetId="4" hidden="1">Main.SAPF4Help()</definedName>
    <definedName name="зщш" hidden="1">Main.SAPF4Help()</definedName>
    <definedName name="ииии" localSheetId="2" hidden="1">Main.SAPF4Help()</definedName>
    <definedName name="ииии" localSheetId="4" hidden="1">Main.SAPF4Help()</definedName>
    <definedName name="ииии" hidden="1">Main.SAPF4Help()</definedName>
    <definedName name="ира" hidden="1">#N/A</definedName>
    <definedName name="итбь" hidden="1">{"'Северо-Никольское '!$A$6:$J$40"}</definedName>
    <definedName name="Июнь" localSheetId="2" hidden="1">Main.SAPF4Help()</definedName>
    <definedName name="Июнь" localSheetId="4" hidden="1">Main.SAPF4Help()</definedName>
    <definedName name="Июнь" hidden="1">Main.SAPF4Help()</definedName>
    <definedName name="йц" hidden="1">{"'Северо-Никольское '!$A$6:$J$40"}</definedName>
    <definedName name="капр" localSheetId="2" hidden="1">Main.SAPF4Help()</definedName>
    <definedName name="капр" localSheetId="4" hidden="1">Main.SAPF4Help()</definedName>
    <definedName name="капр" hidden="1">Main.SAPF4Help()</definedName>
    <definedName name="кеп" hidden="1">{"'Северо-Никольское '!$A$6:$J$40"}</definedName>
    <definedName name="кеу" hidden="1">{"'Северо-Никольское '!$A$6:$J$40"}</definedName>
    <definedName name="Кипр" hidden="1">#REF!</definedName>
    <definedName name="ккк" hidden="1">#N/A</definedName>
    <definedName name="кккк" hidden="1">{"'Северо-Никольское '!$A$6:$J$40"}</definedName>
    <definedName name="лера" hidden="1">{"'Северо-Никольское '!$A$6:$J$40"}</definedName>
    <definedName name="ллл" hidden="1">{"'Северо-Никольское '!$A$6:$J$40"}</definedName>
    <definedName name="лцу" hidden="1">{"'Северо-Никольское '!$A$6:$J$40"}</definedName>
    <definedName name="лшн" hidden="1">{"Смета_Ц1",#N/A,FALSE,"Сметы_затрат_по_цехам"}</definedName>
    <definedName name="Ля" hidden="1">{"Смета_Ц1",#N/A,FALSE,"Сметы_затрат_по_цехам"}</definedName>
    <definedName name="м" hidden="1">{"'Северо-Никольское '!$A$6:$J$40"}</definedName>
    <definedName name="МАРТ" localSheetId="2" hidden="1">Main.SAPF4Help()</definedName>
    <definedName name="МАРТ" localSheetId="4" hidden="1">Main.SAPF4Help()</definedName>
    <definedName name="МАРТ" hidden="1">Main.SAPF4Help()</definedName>
    <definedName name="мммм" hidden="1">{"'Северо-Никольское '!$A$6:$J$40"}</definedName>
    <definedName name="ммт" hidden="1">{"'Северо-Никольское '!$A$6:$J$40"}</definedName>
    <definedName name="мс" hidden="1">{#N/A,#N/A,FALSE,"СВОД"}</definedName>
    <definedName name="наталья" hidden="1">{"Смета_Ц1",#N/A,FALSE,"Сметы_затрат_по_цехам";"Смета_Ц3",#N/A,FALSE,"Сметы_затрат_по_цехам";"Смета_НХП",#N/A,FALSE,"Сметы_затрат_по_цехам";"Смета_АКС",#N/A,FALSE,"Сметы_затрат_по_цехам";"Смета_ЦВК",#N/A,FALSE,"Сметы_затрат_по_цехам";"Смета_УстанСеры",#N/A,FALSE,"Сметы_затрат_по_цехам";"Смета_Ц5",#N/A,FALSE,"Сметы_затрат_по_цехам";"Смета_ЦРХ",#N/A,FALSE,"Сметы_затрат_по_цехам";"Смета_Ц6",#N/A,FALSE,"Сметы_затрат_по_цехам";"Смета_Ц7",#N/A,FALSE,"Сметы_затрат_по_цехам";"Смета_Ц9",#N/A,FALSE,"Сметы_затрат_по_цехам";"Смета_Ц10",#N/A,FALSE,"Сметы_затрат_по_цехам";"Смета_УТИМ",#N/A,FALSE,"Сметы_затрат_по_цехам";"Смета_Ц16",#N/A,FALSE,"Сметы_затрат_по_цехам";"Смета_ОчСоор",#N/A,FALSE,"Сметы_затрат_по_цехам";"Смета_АвтодорУчЦ13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Ц12",#N/A,FALSE,"Сметы_затрат_по_цехам";"смета_Ц14",#N/A,FALSE,"Сметы_затрат_по_цехам";"Смета_Ц17",#N/A,FALSE,"Сметы_затрат_по_цехам";"Смета_ЦЗЛ",#N/A,FALSE,"Сметы_затрат_по_цехам"}</definedName>
    <definedName name="наташа" hidden="1">{"Смета_Ц1",#N/A,FALSE,"Сметы_затрат_по_цехам";"Смета_Ц3",#N/A,FALSE,"Сметы_затрат_по_цехам";"Смета_НХП",#N/A,FALSE,"Сметы_затрат_по_цехам";"Смета_АКС",#N/A,FALSE,"Сметы_затрат_по_цехам";"Смета_ЦВК",#N/A,FALSE,"Сметы_затрат_по_цехам";"Смета_УстанСеры",#N/A,FALSE,"Сметы_затрат_по_цехам";"Смета_Ц5",#N/A,FALSE,"Сметы_затрат_по_цехам";"Смета_ЦРХ",#N/A,FALSE,"Сметы_затрат_по_цехам";"Смета_Ц6",#N/A,FALSE,"Сметы_затрат_по_цехам";"Смета_Ц7",#N/A,FALSE,"Сметы_затрат_по_цехам";"Смета_Ц9",#N/A,FALSE,"Сметы_затрат_по_цехам";"Смета_Ц10",#N/A,FALSE,"Сметы_затрат_по_цехам";"Смета_УТИМ",#N/A,FALSE,"Сметы_затрат_по_цехам";"Смета_Ц16",#N/A,FALSE,"Сметы_затрат_по_цехам";"Смета_ОчСоор",#N/A,FALSE,"Сметы_затрат_по_цехам";"Смета_АвтодорУчЦ13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Ц12",#N/A,FALSE,"Сметы_затрат_по_цехам";"смета_Ц14",#N/A,FALSE,"Сметы_затрат_по_цехам";"Смета_Ц17",#N/A,FALSE,"Сметы_затрат_по_цехам";"Смета_ЦЗЛ",#N/A,FALSE,"Сметы_затрат_по_цехам"}</definedName>
    <definedName name="нгшг" hidden="1">{"'Северо-Никольское '!$A$6:$J$40"}</definedName>
    <definedName name="нефтепрод.Октябрь161105" localSheetId="2" hidden="1">Main.SAPF4Help()</definedName>
    <definedName name="нефтепрод.Октябрь161105" localSheetId="4" hidden="1">Main.SAPF4Help()</definedName>
    <definedName name="нефтепрод.Октябрь161105" hidden="1">Main.SAPF4Help()</definedName>
    <definedName name="НОВ" hidden="1">#REF!</definedName>
    <definedName name="новая" hidden="1">{"'Северо-Никольское '!$A$6:$J$40"}</definedName>
    <definedName name="НПЗ" localSheetId="2" hidden="1">Main.SAPF4Help()</definedName>
    <definedName name="НПЗ" localSheetId="4" hidden="1">Main.SAPF4Help()</definedName>
    <definedName name="НПЗ" hidden="1">Main.SAPF4Help()</definedName>
    <definedName name="о" hidden="1">{"'Северо-Никольское '!$A$6:$J$40"}</definedName>
    <definedName name="оджод" hidden="1">{"Смета_Ц1",#N/A,FALSE,"Сметы_затрат_по_цехам"}</definedName>
    <definedName name="ожодж" hidden="1">{#N/A,#N/A,FALSE,"СЫРЬЕ";#N/A,#N/A,FALSE,"ПОКУП_ВОДА";#N/A,#N/A,FALSE,"ПОКУП_ЭЛЕКТР";#N/A,#N/A,FALSE,"РЕАГ_КАТАЛ";#N/A,#N/A,FALSE,"ПРОЧИЕ_ЗАТР";#N/A,#N/A,FALSE,"УСЛУГИ_ПРОМХАР";#N/A,#N/A,FALSE,"СМЕТА";#N/A,#N/A,FALSE,"СМЕТА_ТЕКРЕМ";#N/A,#N/A,FALSE,"СМЕТА_СЭО";#N/A,#N/A,FALSE,"РАСШИФ_ЦЕХ_РАСХ";#N/A,#N/A,FALSE,"РАСПРЕД ПО ПРОЦЕСС";#N/A,#N/A,FALSE,"Распред_общезав";#N/A,#N/A,FALSE,"СВОД";"Смета_АвтодорУчЦ13",#N/A,FALSE,"Сметы_затрат_по_цехам";"Смета_АКС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комб_питан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НХП",#N/A,FALSE,"Сметы_затрат_по_цехам";"Смета_ОчСоор",#N/A,FALSE,"Сметы_затрат_по_цехам";"Смета_УстанСеры",#N/A,FALSE,"Сметы_затрат_по_цехам";"Смета_УТИМ",#N/A,FALSE,"Сметы_затрат_по_цехам";"Смета_Ц1",#N/A,FALSE,"Сметы_затрат_по_цехам";"Смета_Ц10",#N/A,FALSE,"Сметы_затрат_по_цехам";"Смета_Ц12",#N/A,FALSE,"Сметы_затрат_по_цехам";"смета_Ц14",#N/A,FALSE,"Сметы_затрат_по_цехам";"Смета_Ц16",#N/A,FALSE,"Сметы_затрат_по_цехам";"Смета_Ц17",#N/A,FALSE,"Сметы_затрат_по_цехам";"Смета_Ц3",#N/A,FALSE,"Сметы_затрат_по_цехам";"Смета_Ц5",#N/A,FALSE,"Сметы_затрат_по_цехам";"Смета_Ц6",#N/A,FALSE,"Сметы_затрат_по_цехам";"Смета_Ц7",#N/A,FALSE,"Сметы_затрат_по_цехам";"Смета_Ц9",#N/A,FALSE,"Сметы_затрат_по_цехам";"Смета_ЦВК",#N/A,FALSE,"Сметы_затрат_по_цехам";"Смета_ЦЗЛ",#N/A,FALSE,"Сметы_затрат_по_цехам";"Смета_ЦРХ",#N/A,FALSE,"Сметы_затрат_по_цехам";"Внутризав_перекачка",#N/A,FALSE,"Распределение_затрат";"Распределение_КИПиА",#N/A,FALSE,"Распределение_затрат";"Распределение_услуг_РМЦ",#N/A,FALSE,"Распределение_затрат";"Распределение_химочищен_воды",#N/A,FALSE,"Распределение_затрат";"Распределение_хозпит_воды",#N/A,FALSE,"Распределение_затрат";"Расчет_азота",#N/A,FALSE,"Распределение_затрат";"Расчет_воды",#N/A,FALSE,"Распределение_затрат";"Расчет_сж_воздуха",#N/A,FALSE,"Распределение_затрат";"Расчет_теплоэнер",#N/A,FALSE,"Распределение_затрат";"Топливо_собств_нужды",#N/A,FALSE,"Распределение_затрат";"Услуги_УТИМ",#N/A,FALSE,"Распределение_затрат"}</definedName>
    <definedName name="окцщ8" hidden="1">{"'Северо-Никольское '!$A$6:$J$40"}</definedName>
    <definedName name="ол" hidden="1">#REF!</definedName>
    <definedName name="олдж" hidden="1">{"'Северо-Никольское '!$A$6:$J$40"}</definedName>
    <definedName name="олтьпо" localSheetId="2" hidden="1">Main.SAPF4Help()</definedName>
    <definedName name="олтьпо" localSheetId="4" hidden="1">Main.SAPF4Help()</definedName>
    <definedName name="олтьпо" hidden="1">Main.SAPF4Help()</definedName>
    <definedName name="ООО" hidden="1">{"'Северо-Никольское '!$A$6:$J$40"}</definedName>
    <definedName name="отменить" hidden="1">{"'Описания'!$A$2:$H$114"}</definedName>
    <definedName name="п" localSheetId="2" hidden="1">Main.SAPF4Help()</definedName>
    <definedName name="п" localSheetId="4" hidden="1">Main.SAPF4Help()</definedName>
    <definedName name="п" hidden="1">Main.SAPF4Help()</definedName>
    <definedName name="пара" localSheetId="2" hidden="1">Main.SAPF4Help()</definedName>
    <definedName name="пара" localSheetId="4" hidden="1">Main.SAPF4Help()</definedName>
    <definedName name="пара" hidden="1">Main.SAPF4Help()</definedName>
    <definedName name="паыел" hidden="1">{"'Северо-Никольское '!$A$6:$J$40"}</definedName>
    <definedName name="пгдпг" hidden="1">{"Смета_Ц1",#N/A,FALSE,"Сметы_затрат_по_цехам"}</definedName>
    <definedName name="пгдпп" hidden="1">{"Смета_Ц1",#N/A,FALSE,"Сметы_затрат_по_цехам";"Смета_Ц3",#N/A,FALSE,"Сметы_затрат_по_цехам";"Смета_НХП",#N/A,FALSE,"Сметы_затрат_по_цехам";"Смета_АКС",#N/A,FALSE,"Сметы_затрат_по_цехам";"Смета_ЦВК",#N/A,FALSE,"Сметы_затрат_по_цехам";"Смета_УстанСеры",#N/A,FALSE,"Сметы_затрат_по_цехам";"Смета_Ц5",#N/A,FALSE,"Сметы_затрат_по_цехам";"Смета_ЦРХ",#N/A,FALSE,"Сметы_затрат_по_цехам";"Смета_Ц6",#N/A,FALSE,"Сметы_затрат_по_цехам";"Смета_Ц7",#N/A,FALSE,"Сметы_затрат_по_цехам";"Смета_Ц9",#N/A,FALSE,"Сметы_затрат_по_цехам";"Смета_Ц10",#N/A,FALSE,"Сметы_затрат_по_цехам";"Смета_УТИМ",#N/A,FALSE,"Сметы_затрат_по_цехам";"Смета_Ц16",#N/A,FALSE,"Сметы_затрат_по_цехам";"Смета_ОчСоор",#N/A,FALSE,"Сметы_затрат_по_цехам";"Смета_АвтодорУчЦ13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Ц12",#N/A,FALSE,"Сметы_затрат_по_цехам";"смета_Ц14",#N/A,FALSE,"Сметы_затрат_по_цехам";"Смета_Ц17",#N/A,FALSE,"Сметы_затрат_по_цехам";"Смета_ЦЗЛ",#N/A,FALSE,"Сметы_затрат_по_цехам"}</definedName>
    <definedName name="пгл" hidden="1">{"Смета_Ц1",#N/A,FALSE,"Сметы_затрат_по_цехам";"Смета_Ц3",#N/A,FALSE,"Сметы_затрат_по_цехам";"Смета_НХП",#N/A,FALSE,"Сметы_затрат_по_цехам";"Смета_АКС",#N/A,FALSE,"Сметы_затрат_по_цехам";"Смета_ЦВК",#N/A,FALSE,"Сметы_затрат_по_цехам";"Смета_УстанСеры",#N/A,FALSE,"Сметы_затрат_по_цехам";"Смета_Ц5",#N/A,FALSE,"Сметы_затрат_по_цехам";"Смета_ЦРХ",#N/A,FALSE,"Сметы_затрат_по_цехам";"Смета_Ц6",#N/A,FALSE,"Сметы_затрат_по_цехам";"Смета_Ц7",#N/A,FALSE,"Сметы_затрат_по_цехам";"Смета_Ц9",#N/A,FALSE,"Сметы_затрат_по_цехам";"Смета_Ц10",#N/A,FALSE,"Сметы_затрат_по_цехам";"Смета_УТИМ",#N/A,FALSE,"Сметы_затрат_по_цехам";"Смета_Ц16",#N/A,FALSE,"Сметы_затрат_по_цехам";"Смета_ОчСоор",#N/A,FALSE,"Сметы_затрат_по_цехам";"Смета_АвтодорУчЦ13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Ц12",#N/A,FALSE,"Сметы_затрат_по_цехам";"смета_Ц14",#N/A,FALSE,"Сметы_затрат_по_цехам";"Смета_Ц17",#N/A,FALSE,"Сметы_затрат_по_цехам";"Смета_ЦЗЛ",#N/A,FALSE,"Сметы_затрат_по_цехам"}</definedName>
    <definedName name="переработка" localSheetId="2" hidden="1">Main.SAPF4Help()</definedName>
    <definedName name="переработка" localSheetId="4" hidden="1">Main.SAPF4Help()</definedName>
    <definedName name="переработка" hidden="1">Main.SAPF4Help()</definedName>
    <definedName name="пноь" hidden="1">#REF!</definedName>
    <definedName name="полп" hidden="1">{"Смета_Ц1",#N/A,FALSE,"Сметы_затрат_по_цехам"}</definedName>
    <definedName name="полугодие" localSheetId="2" hidden="1">Main.SAPF4Help()</definedName>
    <definedName name="полугодие" localSheetId="4" hidden="1">Main.SAPF4Help()</definedName>
    <definedName name="полугодие" hidden="1">Main.SAPF4Help()</definedName>
    <definedName name="привет" hidden="1">{"'Описания'!$A$2:$H$114"}</definedName>
    <definedName name="примеч" hidden="1">{"'Описания'!$A$2:$H$114"}</definedName>
    <definedName name="Прогноз" hidden="1">{"'Северо-Никольское '!$A$6:$J$40"}</definedName>
    <definedName name="проек" localSheetId="2" hidden="1">Main.SAPF4Help()</definedName>
    <definedName name="проек" localSheetId="4" hidden="1">Main.SAPF4Help()</definedName>
    <definedName name="проек" hidden="1">Main.SAPF4Help()</definedName>
    <definedName name="пролдж" hidden="1">#REF!</definedName>
    <definedName name="прпол" hidden="1">{"'Северо-Никольское '!$A$6:$J$40"}</definedName>
    <definedName name="пук" hidden="1">{"'Северо-Никольское '!$A$6:$J$40"}</definedName>
    <definedName name="реагенты" hidden="1">{#N/A,#N/A,FALSE,"СЫРЬЕ";#N/A,#N/A,FALSE,"ПОКУП_ВОДА";#N/A,#N/A,FALSE,"ПОКУП_ЭЛЕКТР";#N/A,#N/A,FALSE,"РЕАГ_КАТАЛ";#N/A,#N/A,FALSE,"ПРОЧИЕ_ЗАТР";#N/A,#N/A,FALSE,"УСЛУГИ_ПРОМХАР";#N/A,#N/A,FALSE,"СМЕТА";#N/A,#N/A,FALSE,"СМЕТА_ТЕКРЕМ";#N/A,#N/A,FALSE,"СМЕТА_СЭО";#N/A,#N/A,FALSE,"РАСШИФ_ЦЕХ_РАСХ";#N/A,#N/A,FALSE,"РАСПРЕД ПО ПРОЦЕСС";#N/A,#N/A,FALSE,"Распред_общезав";#N/A,#N/A,FALSE,"СВОД";"Смета_АвтодорУчЦ13",#N/A,FALSE,"Сметы_затрат_по_цехам";"Смета_АКС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комб_питан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НХП",#N/A,FALSE,"Сметы_затрат_по_цехам";"Смета_ОчСоор",#N/A,FALSE,"Сметы_затрат_по_цехам";"Смета_УстанСеры",#N/A,FALSE,"Сметы_затрат_по_цехам";"Смета_УТИМ",#N/A,FALSE,"Сметы_затрат_по_цехам";"Смета_Ц1",#N/A,FALSE,"Сметы_затрат_по_цехам";"Смета_Ц10",#N/A,FALSE,"Сметы_затрат_по_цехам";"Смета_Ц12",#N/A,FALSE,"Сметы_затрат_по_цехам";"смета_Ц14",#N/A,FALSE,"Сметы_затрат_по_цехам";"Смета_Ц16",#N/A,FALSE,"Сметы_затрат_по_цехам";"Смета_Ц17",#N/A,FALSE,"Сметы_затрат_по_цехам";"Смета_Ц3",#N/A,FALSE,"Сметы_затрат_по_цехам";"Смета_Ц5",#N/A,FALSE,"Сметы_затрат_по_цехам";"Смета_Ц6",#N/A,FALSE,"Сметы_затрат_по_цехам";"Смета_Ц7",#N/A,FALSE,"Сметы_затрат_по_цехам";"Смета_Ц9",#N/A,FALSE,"Сметы_затрат_по_цехам";"Смета_ЦВК",#N/A,FALSE,"Сметы_затрат_по_цехам";"Смета_ЦЗЛ",#N/A,FALSE,"Сметы_затрат_по_цехам";"Смета_ЦРХ",#N/A,FALSE,"Сметы_затрат_по_цехам";"Внутризав_перекачка",#N/A,FALSE,"Распределение_затрат";"Распределение_КИПиА",#N/A,FALSE,"Распределение_затрат";"Распределение_услуг_РМЦ",#N/A,FALSE,"Распределение_затрат";"Распределение_химочищен_воды",#N/A,FALSE,"Распределение_затрат";"Распределение_хозпит_воды",#N/A,FALSE,"Распределение_затрат";"Расчет_азота",#N/A,FALSE,"Распределение_затрат";"Расчет_воды",#N/A,FALSE,"Распределение_затрат";"Расчет_сж_воздуха",#N/A,FALSE,"Распределение_затрат";"Расчет_теплоэнер",#N/A,FALSE,"Распределение_затрат";"Топливо_собств_нужды",#N/A,FALSE,"Распределение_затрат";"Услуги_УТИМ",#N/A,FALSE,"Распределение_затрат"}</definedName>
    <definedName name="РН" hidden="1">#N/A</definedName>
    <definedName name="РН1" hidden="1">#N/A</definedName>
    <definedName name="РНПК_оптим" hidden="1">#N/A</definedName>
    <definedName name="рол" hidden="1">{"'Северо-Никольское '!$A$6:$J$40"}</definedName>
    <definedName name="рпло" hidden="1">{"'Северо-Никольское '!$A$6:$J$40"}</definedName>
    <definedName name="ррр" hidden="1">{"'Северо-Никольское '!$A$6:$J$40"}</definedName>
    <definedName name="с" hidden="1">{#N/A,#N/A,FALSE,"СЫРЬЕ";#N/A,#N/A,FALSE,"ПОКУП_ВОДА";#N/A,#N/A,FALSE,"ПОКУП_ЭЛЕКТР";#N/A,#N/A,FALSE,"РЕАГ_КАТАЛ";#N/A,#N/A,FALSE,"ПРОЧИЕ_ЗАТР";#N/A,#N/A,FALSE,"УСЛУГИ_ПРОМХАР";#N/A,#N/A,FALSE,"СМЕТА";#N/A,#N/A,FALSE,"СМЕТА_ТЕКРЕМ";#N/A,#N/A,FALSE,"СМЕТА_СЭО";#N/A,#N/A,FALSE,"РАСШИФ_ЦЕХ_РАСХ";#N/A,#N/A,FALSE,"РАСПРЕД ПО ПРОЦЕСС";#N/A,#N/A,FALSE,"Распред_общезав";#N/A,#N/A,FALSE,"СВОД";"Смета_АвтодорУчЦ13",#N/A,FALSE,"Сметы_затрат_по_цехам";"Смета_АКС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комб_питан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НХП",#N/A,FALSE,"Сметы_затрат_по_цехам";"Смета_ОчСоор",#N/A,FALSE,"Сметы_затрат_по_цехам";"Смета_УстанСеры",#N/A,FALSE,"Сметы_затрат_по_цехам";"Смета_УТИМ",#N/A,FALSE,"Сметы_затрат_по_цехам";"Смета_Ц1",#N/A,FALSE,"Сметы_затрат_по_цехам";"Смета_Ц10",#N/A,FALSE,"Сметы_затрат_по_цехам";"Смета_Ц12",#N/A,FALSE,"Сметы_затрат_по_цехам";"смета_Ц14",#N/A,FALSE,"Сметы_затрат_по_цехам";"Смета_Ц16",#N/A,FALSE,"Сметы_затрат_по_цехам";"Смета_Ц17",#N/A,FALSE,"Сметы_затрат_по_цехам";"Смета_Ц3",#N/A,FALSE,"Сметы_затрат_по_цехам";"Смета_Ц5",#N/A,FALSE,"Сметы_затрат_по_цехам";"Смета_Ц6",#N/A,FALSE,"Сметы_затрат_по_цехам";"Смета_Ц7",#N/A,FALSE,"Сметы_затрат_по_цехам";"Смета_Ц9",#N/A,FALSE,"Сметы_затрат_по_цехам";"Смета_ЦВК",#N/A,FALSE,"Сметы_затрат_по_цехам";"Смета_ЦЗЛ",#N/A,FALSE,"Сметы_затрат_по_цехам";"Смета_ЦРХ",#N/A,FALSE,"Сметы_затрат_по_цехам";"Внутризав_перекачка",#N/A,FALSE,"Распределение_затрат";"Распределение_КИПиА",#N/A,FALSE,"Распределение_затрат";"Распределение_услуг_РМЦ",#N/A,FALSE,"Распределение_затрат";"Распределение_химочищен_воды",#N/A,FALSE,"Распределение_затрат";"Распределение_хозпит_воды",#N/A,FALSE,"Распределение_затрат";"Расчет_азота",#N/A,FALSE,"Распределение_затрат";"Расчет_воды",#N/A,FALSE,"Распределение_затрат";"Расчет_сж_воздуха",#N/A,FALSE,"Распределение_затрат";"Расчет_теплоэнер",#N/A,FALSE,"Распределение_затрат";"Топливо_собств_нужды",#N/A,FALSE,"Распределение_затрат";"Услуги_УТИМ",#N/A,FALSE,"Распределение_затрат"}</definedName>
    <definedName name="Свод1" hidden="1">{"'Описания'!$A$2:$H$114"}</definedName>
    <definedName name="Свод2" hidden="1">{"'Описания'!$A$2:$H$114"}</definedName>
    <definedName name="свод9" hidden="1">{"'Описания'!$A$2:$H$114"}</definedName>
    <definedName name="смни" hidden="1">{"'Северо-Никольское '!$A$6:$J$40"}</definedName>
    <definedName name="СН" localSheetId="2" hidden="1">Main.SAPF4Help()</definedName>
    <definedName name="СН" localSheetId="4" hidden="1">Main.SAPF4Help()</definedName>
    <definedName name="СН" hidden="1">Main.SAPF4Help()</definedName>
    <definedName name="соль" hidden="1">{"Смета_Ц1",#N/A,FALSE,"Сметы_затрат_по_цехам"}</definedName>
    <definedName name="сс" hidden="1">{"'Северо-Никольское '!$A$6:$J$40"}</definedName>
    <definedName name="ссс" hidden="1">{"'Северо-Никольское '!$A$6:$J$40"}</definedName>
    <definedName name="сссс" hidden="1">{"'Северо-Никольское '!$A$6:$J$40"}</definedName>
    <definedName name="СтранноеИмя" localSheetId="2" hidden="1">Main.SAPF4Help()</definedName>
    <definedName name="СтранноеИмя" localSheetId="4" hidden="1">Main.SAPF4Help()</definedName>
    <definedName name="СтранноеИмя" hidden="1">Main.SAPF4Help()</definedName>
    <definedName name="таблица" hidden="1">{#N/A,#N/A,FALSE,"Infl_fact"}</definedName>
    <definedName name="тимсч" hidden="1">{"balance",#N/A,FALSE,"Remedy-model";"calendar quarterly",#N/A,FALSE,"Remedy-model";"cash flow",#N/A,FALSE,"Remedy-model";"fiscal quarter",#N/A,FALSE,"Remedy-model";"income",#N/A,FALSE,"Remedy-model";"percentage",#N/A,FALSE,"Remedy-model"}</definedName>
    <definedName name="ТОПЛИВО" hidden="1">{#N/A,#N/A,FALSE,"СЫРЬЕ";#N/A,#N/A,FALSE,"ПОКУП_ВОДА";#N/A,#N/A,FALSE,"ПОКУП_ЭЛЕКТР";#N/A,#N/A,FALSE,"РЕАГ_КАТАЛ";#N/A,#N/A,FALSE,"ПРОЧИЕ_ЗАТР";#N/A,#N/A,FALSE,"УСЛУГИ_ПРОМХАР";#N/A,#N/A,FALSE,"СМЕТА";#N/A,#N/A,FALSE,"СМЕТА_ТЕКРЕМ";#N/A,#N/A,FALSE,"СМЕТА_СЭО";#N/A,#N/A,FALSE,"РАСШИФ_ЦЕХ_РАСХ";#N/A,#N/A,FALSE,"РАСПРЕД ПО ПРОЦЕСС";#N/A,#N/A,FALSE,"Распред_общезав";#N/A,#N/A,FALSE,"СВОД";"Смета_АвтодорУчЦ13",#N/A,FALSE,"Сметы_затрат_по_цехам";"Смета_АКС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комб_питан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НХП",#N/A,FALSE,"Сметы_затрат_по_цехам";"Смета_ОчСоор",#N/A,FALSE,"Сметы_затрат_по_цехам";"Смета_УстанСеры",#N/A,FALSE,"Сметы_затрат_по_цехам";"Смета_УТИМ",#N/A,FALSE,"Сметы_затрат_по_цехам";"Смета_Ц1",#N/A,FALSE,"Сметы_затрат_по_цехам";"Смета_Ц10",#N/A,FALSE,"Сметы_затрат_по_цехам";"Смета_Ц12",#N/A,FALSE,"Сметы_затрат_по_цехам";"смета_Ц14",#N/A,FALSE,"Сметы_затрат_по_цехам";"Смета_Ц16",#N/A,FALSE,"Сметы_затрат_по_цехам";"Смета_Ц17",#N/A,FALSE,"Сметы_затрат_по_цехам";"Смета_Ц3",#N/A,FALSE,"Сметы_затрат_по_цехам";"Смета_Ц5",#N/A,FALSE,"Сметы_затрат_по_цехам";"Смета_Ц6",#N/A,FALSE,"Сметы_затрат_по_цехам";"Смета_Ц7",#N/A,FALSE,"Сметы_затрат_по_цехам";"Смета_Ц9",#N/A,FALSE,"Сметы_затрат_по_цехам";"Смета_ЦВК",#N/A,FALSE,"Сметы_затрат_по_цехам";"Смета_ЦЗЛ",#N/A,FALSE,"Сметы_затрат_по_цехам";"Смета_ЦРХ",#N/A,FALSE,"Сметы_затрат_по_цехам";"Внутризав_перекачка",#N/A,FALSE,"Распределение_затрат";"Распределение_КИПиА",#N/A,FALSE,"Распределение_затрат";"Распределение_услуг_РМЦ",#N/A,FALSE,"Распределение_затрат";"Распределение_химочищен_воды",#N/A,FALSE,"Распределение_затрат";"Распределение_хозпит_воды",#N/A,FALSE,"Распределение_затрат";"Расчет_азота",#N/A,FALSE,"Распределение_затрат";"Расчет_воды",#N/A,FALSE,"Распределение_затрат";"Расчет_сж_воздуха",#N/A,FALSE,"Распределение_затрат";"Расчет_теплоэнер",#N/A,FALSE,"Распределение_затрат";"Топливо_собств_нужды",#N/A,FALSE,"Распределение_затрат";"Услуги_УТИМ",#N/A,FALSE,"Распределение_затрат"}</definedName>
    <definedName name="трр" localSheetId="2" hidden="1">Main.SAPF4Help()</definedName>
    <definedName name="трр" localSheetId="4" hidden="1">Main.SAPF4Help()</definedName>
    <definedName name="трр" hidden="1">Main.SAPF4Help()</definedName>
    <definedName name="ттт" localSheetId="2" hidden="1">Main.SAPF4Help()</definedName>
    <definedName name="ттт" localSheetId="4" hidden="1">Main.SAPF4Help()</definedName>
    <definedName name="ттт" hidden="1">Main.SAPF4Help()</definedName>
    <definedName name="тттт" hidden="1">{"'Северо-Никольское '!$A$6:$J$40"}</definedName>
    <definedName name="тэп02008" localSheetId="2" hidden="1">Main.SAPF4Help()</definedName>
    <definedName name="тэп02008" localSheetId="4" hidden="1">Main.SAPF4Help()</definedName>
    <definedName name="тэп02008" hidden="1">Main.SAPF4Help()</definedName>
    <definedName name="тэп2008" localSheetId="2" hidden="1">Main.SAPF4Help()</definedName>
    <definedName name="тэп2008" localSheetId="4" hidden="1">Main.SAPF4Help()</definedName>
    <definedName name="тэп2008" hidden="1">Main.SAPF4Help()</definedName>
    <definedName name="уекн" hidden="1">{"'Северо-Никольское '!$A$6:$J$40"}</definedName>
    <definedName name="укв" hidden="1">{"'Северо-Никольское '!$A$6:$J$40"}</definedName>
    <definedName name="уууу" hidden="1">{"'Северо-Никольское '!$A$6:$J$40"}</definedName>
    <definedName name="февраль" localSheetId="2" hidden="1">Main.SAPF4Help()</definedName>
    <definedName name="февраль" localSheetId="4" hidden="1">Main.SAPF4Help()</definedName>
    <definedName name="февраль" hidden="1">Main.SAPF4Help()</definedName>
    <definedName name="ФНП" hidden="1">{"'Северо-Никольское '!$A$6:$J$40"}</definedName>
    <definedName name="форма" hidden="1">{#N/A,#N/A,FALSE,"FA_1";#N/A,#N/A,FALSE,"Dep'n SE";#N/A,#N/A,FALSE,"Dep'n FC"}</definedName>
    <definedName name="ФОТ" hidden="1">#REF!</definedName>
    <definedName name="ффф" hidden="1">{"'Северо-Никольское '!$A$6:$J$40"}</definedName>
    <definedName name="фффф" hidden="1">{"'Северо-Никольское '!$A$6:$J$40"}</definedName>
    <definedName name="фыва" hidden="1">{"'Северо-Никольское '!$A$6:$J$40"}</definedName>
    <definedName name="Химвода" hidden="1">{"Смета_Ц1",#N/A,FALSE,"Сметы_затрат_по_цехам";"Смета_Ц3",#N/A,FALSE,"Сметы_затрат_по_цехам";"Смета_НХП",#N/A,FALSE,"Сметы_затрат_по_цехам";"Смета_АКС",#N/A,FALSE,"Сметы_затрат_по_цехам";"Смета_ЦВК",#N/A,FALSE,"Сметы_затрат_по_цехам";"Смета_УстанСеры",#N/A,FALSE,"Сметы_затрат_по_цехам";"Смета_Ц5",#N/A,FALSE,"Сметы_затрат_по_цехам";"Смета_ЦРХ",#N/A,FALSE,"Сметы_затрат_по_цехам";"Смета_Ц6",#N/A,FALSE,"Сметы_затрат_по_цехам";"Смета_Ц7",#N/A,FALSE,"Сметы_затрат_по_цехам";"Смета_Ц9",#N/A,FALSE,"Сметы_затрат_по_цехам";"Смета_Ц10",#N/A,FALSE,"Сметы_затрат_по_цехам";"Смета_УТИМ",#N/A,FALSE,"Сметы_затрат_по_цехам";"Смета_Ц16",#N/A,FALSE,"Сметы_затрат_по_цехам";"Смета_ОчСоор",#N/A,FALSE,"Сметы_затрат_по_цехам";"Смета_АвтодорУчЦ13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Ц12",#N/A,FALSE,"Сметы_затрат_по_цехам";"смета_Ц14",#N/A,FALSE,"Сметы_затрат_по_цехам";"Смета_Ц17",#N/A,FALSE,"Сметы_затрат_по_цехам";"Смета_ЦЗЛ",#N/A,FALSE,"Сметы_затрат_по_цехам"}</definedName>
    <definedName name="цбоп" hidden="1">{"'Северо-Никольское '!$A$6:$J$40"}</definedName>
    <definedName name="Цел.охр.труда" hidden="1">#N/A</definedName>
    <definedName name="цук" hidden="1">{"'Северо-Никольское '!$A$6:$J$40"}</definedName>
    <definedName name="ч" hidden="1">{"'Северо-Никольское '!$A$6:$J$40"}</definedName>
    <definedName name="чапрчпр" hidden="1">{"Смета_Ц1",#N/A,FALSE,"Сметы_затрат_по_цехам";"Смета_Ц3",#N/A,FALSE,"Сметы_затрат_по_цехам";"Смета_НХП",#N/A,FALSE,"Сметы_затрат_по_цехам";"Смета_АКС",#N/A,FALSE,"Сметы_затрат_по_цехам";"Смета_ЦВК",#N/A,FALSE,"Сметы_затрат_по_цехам";"Смета_УстанСеры",#N/A,FALSE,"Сметы_затрат_по_цехам";"Смета_Ц5",#N/A,FALSE,"Сметы_затрат_по_цехам";"Смета_ЦРХ",#N/A,FALSE,"Сметы_затрат_по_цехам";"Смета_Ц6",#N/A,FALSE,"Сметы_затрат_по_цехам";"Смета_Ц7",#N/A,FALSE,"Сметы_затрат_по_цехам";"Смета_Ц9",#N/A,FALSE,"Сметы_затрат_по_цехам";"Смета_Ц10",#N/A,FALSE,"Сметы_затрат_по_цехам";"Смета_УТИМ",#N/A,FALSE,"Сметы_затрат_по_цехам";"Смета_Ц16",#N/A,FALSE,"Сметы_затрат_по_цехам";"Смета_ОчСоор",#N/A,FALSE,"Сметы_затрат_по_цехам";"Смета_АвтодорУчЦ13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Ц12",#N/A,FALSE,"Сметы_затрат_по_цехам";"смета_Ц14",#N/A,FALSE,"Сметы_затрат_по_цехам";"Смета_Ц17",#N/A,FALSE,"Сметы_затрат_по_цехам";"Смета_ЦЗЛ",#N/A,FALSE,"Сметы_затрат_по_цехам"}</definedName>
    <definedName name="чсм" hidden="1">{"'Северо-Никольское '!$A$6:$J$40"}</definedName>
    <definedName name="чсми" hidden="1">{"'Северо-Никольское '!$A$6:$J$40"}</definedName>
    <definedName name="ччч" hidden="1">{"'Северо-Никольское '!$A$6:$J$40"}</definedName>
    <definedName name="шдл" hidden="1">{"'Северо-Никольское '!$A$6:$J$40"}</definedName>
    <definedName name="шйю" hidden="1">{"'Северо-Никольское '!$A$6:$J$40"}</definedName>
    <definedName name="шшшш" hidden="1">{"'Северо-Никольское '!$A$6:$J$40"}</definedName>
    <definedName name="щ" localSheetId="2" hidden="1">Main.SAPF4Help()</definedName>
    <definedName name="щ" localSheetId="4" hidden="1">Main.SAPF4Help()</definedName>
    <definedName name="щ" hidden="1">Main.SAPF4Help()</definedName>
    <definedName name="що" hidden="1">{"'Северо-Никольское '!$A$6:$J$40"}</definedName>
    <definedName name="ыавпыаыв" localSheetId="2" hidden="1">Main.SAPF4Help()</definedName>
    <definedName name="ыавпыаыв" localSheetId="4" hidden="1">Main.SAPF4Help()</definedName>
    <definedName name="ыавпыаыв" hidden="1">Main.SAPF4Help()</definedName>
    <definedName name="ывыв" localSheetId="2" hidden="1">Main.SAPF4Help()</definedName>
    <definedName name="ывыв" localSheetId="4" hidden="1">Main.SAPF4Help()</definedName>
    <definedName name="ывыв" hidden="1">Main.SAPF4Help()</definedName>
    <definedName name="ысыс" localSheetId="2" hidden="1">Main.SAPF4Help()</definedName>
    <definedName name="ысыс" localSheetId="4" hidden="1">Main.SAPF4Help()</definedName>
    <definedName name="ысыс" hidden="1">Main.SAPF4Help()</definedName>
    <definedName name="ыц6ц" hidden="1">{#N/A,#N/A,FALSE,"СВОД"}</definedName>
    <definedName name="ыыы" hidden="1">{"'Северо-Никольское '!$A$6:$J$40"}</definedName>
    <definedName name="ь" hidden="1">{"'Северо-Никольское '!$A$6:$J$40"}</definedName>
    <definedName name="эжд" hidden="1">{"'Северо-Никольское '!$A$6:$J$40"}</definedName>
    <definedName name="эждлло" hidden="1">{"'Северо-Никольское '!$A$6:$J$40"}</definedName>
    <definedName name="экспорт" localSheetId="2" hidden="1">Main.SAPF4Help()</definedName>
    <definedName name="экспорт" localSheetId="4" hidden="1">Main.SAPF4Help()</definedName>
    <definedName name="экспорт" hidden="1">Main.SAPF4Help()</definedName>
    <definedName name="эл.энергия" hidden="1">{"'Северо-Никольское '!$A$6:$J$40"}</definedName>
    <definedName name="эээ" hidden="1">{"'Северо-Никольское '!$A$6:$J$40"}</definedName>
    <definedName name="эээд" hidden="1">{"'Северо-Никольское '!$A$6:$J$40"}</definedName>
    <definedName name="январь" hidden="1">{"Смета_Ц1",#N/A,FALSE,"Сметы_затрат_по_цехам";"Смета_Ц3",#N/A,FALSE,"Сметы_затрат_по_цехам";"Смета_НХП",#N/A,FALSE,"Сметы_затрат_по_цехам";"Смета_АКС",#N/A,FALSE,"Сметы_затрат_по_цехам";"Смета_ЦВК",#N/A,FALSE,"Сметы_затрат_по_цехам";"Смета_УстанСеры",#N/A,FALSE,"Сметы_затрат_по_цехам";"Смета_Ц5",#N/A,FALSE,"Сметы_затрат_по_цехам";"Смета_ЦРХ",#N/A,FALSE,"Сметы_затрат_по_цехам";"Смета_Ц6",#N/A,FALSE,"Сметы_затрат_по_цехам";"Смета_Ц7",#N/A,FALSE,"Сметы_затрат_по_цехам";"Смета_Ц9",#N/A,FALSE,"Сметы_затрат_по_цехам";"Смета_Ц10",#N/A,FALSE,"Сметы_затрат_по_цехам";"Смета_УТИМ",#N/A,FALSE,"Сметы_затрат_по_цехам";"Смета_Ц16",#N/A,FALSE,"Сметы_затрат_по_цехам";"Смета_ОчСоор",#N/A,FALSE,"Сметы_затрат_по_цехам";"Смета_АвтодорУчЦ13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Ц12",#N/A,FALSE,"Сметы_затрат_по_цехам";"смета_Ц14",#N/A,FALSE,"Сметы_затрат_по_цехам";"Смета_Ц17",#N/A,FALSE,"Сметы_затрат_по_цехам";"Смета_ЦЗЛ",#N/A,FALSE,"Сметы_затрат_по_цехам"}</definedName>
    <definedName name="ячсм" hidden="1">{"'Северо-Никольское '!$A$6:$J$40"}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70" i="15" l="1"/>
  <c r="V70" i="15"/>
  <c r="W70" i="15"/>
  <c r="X70" i="15"/>
  <c r="Y70" i="15"/>
  <c r="Z70" i="15"/>
  <c r="AA70" i="15"/>
  <c r="AB70" i="15"/>
  <c r="AC70" i="15"/>
  <c r="AD70" i="15"/>
  <c r="AE70" i="15"/>
  <c r="AF70" i="15"/>
  <c r="AG70" i="15"/>
  <c r="AH70" i="15"/>
  <c r="AI70" i="15"/>
  <c r="AJ70" i="15"/>
  <c r="AK70" i="15"/>
  <c r="AL70" i="15"/>
  <c r="AM70" i="15"/>
  <c r="AN70" i="15"/>
  <c r="AO70" i="15"/>
  <c r="AP70" i="15"/>
  <c r="AQ70" i="15"/>
  <c r="AR70" i="15"/>
  <c r="AS70" i="15"/>
  <c r="AT70" i="15"/>
  <c r="AU70" i="15"/>
  <c r="AV70" i="15"/>
  <c r="AW70" i="15"/>
  <c r="AX70" i="15"/>
  <c r="AY70" i="15"/>
  <c r="AZ70" i="15"/>
  <c r="BA70" i="15"/>
  <c r="BB70" i="15"/>
  <c r="BC70" i="15"/>
  <c r="BD70" i="15"/>
  <c r="BE70" i="15"/>
  <c r="BF70" i="15"/>
  <c r="BG70" i="15"/>
  <c r="BH70" i="15"/>
  <c r="BI70" i="15"/>
  <c r="BJ70" i="15"/>
  <c r="BK70" i="15"/>
  <c r="BL70" i="15"/>
  <c r="BM70" i="15"/>
  <c r="BN70" i="15"/>
  <c r="BO70" i="15"/>
  <c r="BP70" i="15"/>
  <c r="BQ70" i="15"/>
  <c r="BR70" i="15"/>
  <c r="BS70" i="15"/>
  <c r="BT70" i="15"/>
  <c r="BU70" i="15"/>
  <c r="BV70" i="15"/>
  <c r="BW70" i="15"/>
  <c r="BX70" i="15"/>
  <c r="BY70" i="15"/>
  <c r="BZ70" i="15"/>
  <c r="CA70" i="15"/>
  <c r="T70" i="15"/>
  <c r="U80" i="15"/>
  <c r="V80" i="15"/>
  <c r="W80" i="15"/>
  <c r="X80" i="15"/>
  <c r="Y80" i="15"/>
  <c r="Z80" i="15"/>
  <c r="AA80" i="15"/>
  <c r="AB80" i="15"/>
  <c r="AC80" i="15"/>
  <c r="AD80" i="15"/>
  <c r="AE80" i="15"/>
  <c r="AF80" i="15"/>
  <c r="AG80" i="15"/>
  <c r="AH80" i="15"/>
  <c r="AI80" i="15"/>
  <c r="AJ80" i="15"/>
  <c r="AK80" i="15"/>
  <c r="AL80" i="15"/>
  <c r="AM80" i="15"/>
  <c r="AN80" i="15"/>
  <c r="AO80" i="15"/>
  <c r="AP80" i="15"/>
  <c r="AQ80" i="15"/>
  <c r="AR80" i="15"/>
  <c r="AS80" i="15"/>
  <c r="AT80" i="15"/>
  <c r="AU80" i="15"/>
  <c r="AV80" i="15"/>
  <c r="AW80" i="15"/>
  <c r="AX80" i="15"/>
  <c r="AY80" i="15"/>
  <c r="AZ80" i="15"/>
  <c r="BA80" i="15"/>
  <c r="BB80" i="15"/>
  <c r="BC80" i="15"/>
  <c r="BD80" i="15"/>
  <c r="BE80" i="15"/>
  <c r="BF80" i="15"/>
  <c r="BG80" i="15"/>
  <c r="BH80" i="15"/>
  <c r="BI80" i="15"/>
  <c r="BJ80" i="15"/>
  <c r="BK80" i="15"/>
  <c r="BL80" i="15"/>
  <c r="BM80" i="15"/>
  <c r="BN80" i="15"/>
  <c r="BO80" i="15"/>
  <c r="BP80" i="15"/>
  <c r="BQ80" i="15"/>
  <c r="BR80" i="15"/>
  <c r="BS80" i="15"/>
  <c r="BT80" i="15"/>
  <c r="BU80" i="15"/>
  <c r="BV80" i="15"/>
  <c r="BW80" i="15"/>
  <c r="BX80" i="15"/>
  <c r="BY80" i="15"/>
  <c r="BZ80" i="15"/>
  <c r="CA80" i="15"/>
  <c r="T80" i="15"/>
  <c r="W163" i="34"/>
  <c r="X163" i="34"/>
  <c r="X165" i="34" s="1"/>
  <c r="Y163" i="34"/>
  <c r="Z163" i="34"/>
  <c r="V163" i="34"/>
  <c r="V165" i="34" s="1"/>
  <c r="W165" i="34"/>
  <c r="Z165" i="34"/>
  <c r="Y165" i="34"/>
  <c r="W209" i="34"/>
  <c r="X209" i="34"/>
  <c r="Y209" i="34"/>
  <c r="Z209" i="34"/>
  <c r="V209" i="34"/>
  <c r="V208" i="34"/>
  <c r="V207" i="34"/>
  <c r="W207" i="34"/>
  <c r="X207" i="34"/>
  <c r="Y207" i="34"/>
  <c r="Z207" i="34"/>
  <c r="AA207" i="34"/>
  <c r="AB207" i="34"/>
  <c r="AC207" i="34"/>
  <c r="AD207" i="34"/>
  <c r="AE207" i="34"/>
  <c r="AF207" i="34"/>
  <c r="AG207" i="34"/>
  <c r="AH207" i="34"/>
  <c r="AI207" i="34"/>
  <c r="AJ207" i="34"/>
  <c r="AK207" i="34"/>
  <c r="AL207" i="34"/>
  <c r="AM207" i="34"/>
  <c r="AN207" i="34"/>
  <c r="AO207" i="34"/>
  <c r="AP207" i="34"/>
  <c r="AQ207" i="34"/>
  <c r="AR207" i="34"/>
  <c r="AS207" i="34"/>
  <c r="AT207" i="34"/>
  <c r="AU207" i="34"/>
  <c r="AV207" i="34"/>
  <c r="AW207" i="34"/>
  <c r="AX207" i="34"/>
  <c r="AY207" i="34"/>
  <c r="AZ207" i="34"/>
  <c r="BA207" i="34"/>
  <c r="BB207" i="34"/>
  <c r="BC207" i="34"/>
  <c r="BD207" i="34"/>
  <c r="BE207" i="34"/>
  <c r="BF207" i="34"/>
  <c r="BG207" i="34"/>
  <c r="BH207" i="34"/>
  <c r="BI207" i="34"/>
  <c r="BJ207" i="34"/>
  <c r="BK207" i="34"/>
  <c r="BL207" i="34"/>
  <c r="BM207" i="34"/>
  <c r="BN207" i="34"/>
  <c r="BO207" i="34"/>
  <c r="BP207" i="34"/>
  <c r="BQ207" i="34"/>
  <c r="BR207" i="34"/>
  <c r="BS207" i="34"/>
  <c r="BT207" i="34"/>
  <c r="BU207" i="34"/>
  <c r="BV207" i="34"/>
  <c r="BW207" i="34"/>
  <c r="BX207" i="34"/>
  <c r="BY207" i="34"/>
  <c r="BZ207" i="34"/>
  <c r="CA207" i="34"/>
  <c r="CB207" i="34"/>
  <c r="CC207" i="34"/>
  <c r="T58" i="15"/>
  <c r="V206" i="34"/>
  <c r="U69" i="15"/>
  <c r="V69" i="15"/>
  <c r="W69" i="15"/>
  <c r="X69" i="15"/>
  <c r="Y69" i="15"/>
  <c r="Z69" i="15"/>
  <c r="AA69" i="15"/>
  <c r="AB69" i="15"/>
  <c r="AC69" i="15"/>
  <c r="AD69" i="15"/>
  <c r="AE69" i="15"/>
  <c r="AF69" i="15"/>
  <c r="AG69" i="15"/>
  <c r="AH69" i="15"/>
  <c r="AI69" i="15"/>
  <c r="AJ69" i="15"/>
  <c r="AK69" i="15"/>
  <c r="AL69" i="15"/>
  <c r="AM69" i="15"/>
  <c r="AN69" i="15"/>
  <c r="AO69" i="15"/>
  <c r="AP69" i="15"/>
  <c r="AQ69" i="15"/>
  <c r="AR69" i="15"/>
  <c r="AS69" i="15"/>
  <c r="AT69" i="15"/>
  <c r="AU69" i="15"/>
  <c r="AV69" i="15"/>
  <c r="AW69" i="15"/>
  <c r="AX69" i="15"/>
  <c r="AY69" i="15"/>
  <c r="AZ69" i="15"/>
  <c r="BA69" i="15"/>
  <c r="BB69" i="15"/>
  <c r="BC69" i="15"/>
  <c r="BD69" i="15"/>
  <c r="BE69" i="15"/>
  <c r="BF69" i="15"/>
  <c r="BG69" i="15"/>
  <c r="BH69" i="15"/>
  <c r="BI69" i="15"/>
  <c r="BJ69" i="15"/>
  <c r="BK69" i="15"/>
  <c r="BL69" i="15"/>
  <c r="BM69" i="15"/>
  <c r="BN69" i="15"/>
  <c r="BO69" i="15"/>
  <c r="BP69" i="15"/>
  <c r="BQ69" i="15"/>
  <c r="BR69" i="15"/>
  <c r="BS69" i="15"/>
  <c r="BT69" i="15"/>
  <c r="BU69" i="15"/>
  <c r="BV69" i="15"/>
  <c r="BW69" i="15"/>
  <c r="BX69" i="15"/>
  <c r="BY69" i="15"/>
  <c r="BZ69" i="15"/>
  <c r="CA69" i="15"/>
  <c r="T69" i="15"/>
  <c r="W191" i="34"/>
  <c r="X191" i="34"/>
  <c r="Y191" i="34"/>
  <c r="Z191" i="34"/>
  <c r="AA191" i="34"/>
  <c r="AB191" i="34"/>
  <c r="AC191" i="34"/>
  <c r="AD191" i="34"/>
  <c r="AE191" i="34"/>
  <c r="AF191" i="34"/>
  <c r="AG191" i="34"/>
  <c r="AH191" i="34"/>
  <c r="AI191" i="34"/>
  <c r="AJ191" i="34"/>
  <c r="AK191" i="34"/>
  <c r="AL191" i="34"/>
  <c r="AM191" i="34"/>
  <c r="AN191" i="34"/>
  <c r="AO191" i="34"/>
  <c r="AP191" i="34"/>
  <c r="AQ191" i="34"/>
  <c r="AR191" i="34"/>
  <c r="AS191" i="34"/>
  <c r="AT191" i="34"/>
  <c r="AU191" i="34"/>
  <c r="AV191" i="34"/>
  <c r="AW191" i="34"/>
  <c r="AX191" i="34"/>
  <c r="AY191" i="34"/>
  <c r="AZ191" i="34"/>
  <c r="BA191" i="34"/>
  <c r="BB191" i="34"/>
  <c r="BC191" i="34"/>
  <c r="BD191" i="34"/>
  <c r="BE191" i="34"/>
  <c r="BF191" i="34"/>
  <c r="BG191" i="34"/>
  <c r="BH191" i="34"/>
  <c r="BI191" i="34"/>
  <c r="BJ191" i="34"/>
  <c r="BK191" i="34"/>
  <c r="BL191" i="34"/>
  <c r="BM191" i="34"/>
  <c r="BN191" i="34"/>
  <c r="BO191" i="34"/>
  <c r="BP191" i="34"/>
  <c r="BQ191" i="34"/>
  <c r="BR191" i="34"/>
  <c r="BS191" i="34"/>
  <c r="BT191" i="34"/>
  <c r="BU191" i="34"/>
  <c r="BV191" i="34"/>
  <c r="BW191" i="34"/>
  <c r="BX191" i="34"/>
  <c r="BY191" i="34"/>
  <c r="BZ191" i="34"/>
  <c r="CA191" i="34"/>
  <c r="CB191" i="34"/>
  <c r="CC191" i="34"/>
  <c r="V191" i="34"/>
  <c r="W190" i="34"/>
  <c r="X190" i="34"/>
  <c r="Y190" i="34"/>
  <c r="Z190" i="34"/>
  <c r="AA190" i="34"/>
  <c r="AB190" i="34"/>
  <c r="AC190" i="34"/>
  <c r="AD190" i="34"/>
  <c r="AE190" i="34"/>
  <c r="AF190" i="34"/>
  <c r="AG190" i="34"/>
  <c r="AH190" i="34"/>
  <c r="AI190" i="34"/>
  <c r="AJ190" i="34"/>
  <c r="AK190" i="34"/>
  <c r="AL190" i="34"/>
  <c r="AM190" i="34"/>
  <c r="AN190" i="34"/>
  <c r="AO190" i="34"/>
  <c r="AP190" i="34"/>
  <c r="AQ190" i="34"/>
  <c r="AR190" i="34"/>
  <c r="AS190" i="34"/>
  <c r="AT190" i="34"/>
  <c r="AU190" i="34"/>
  <c r="AV190" i="34"/>
  <c r="AW190" i="34"/>
  <c r="AX190" i="34"/>
  <c r="AY190" i="34"/>
  <c r="AZ190" i="34"/>
  <c r="BA190" i="34"/>
  <c r="BB190" i="34"/>
  <c r="BC190" i="34"/>
  <c r="BD190" i="34"/>
  <c r="BE190" i="34"/>
  <c r="BF190" i="34"/>
  <c r="BG190" i="34"/>
  <c r="BH190" i="34"/>
  <c r="BI190" i="34"/>
  <c r="BJ190" i="34"/>
  <c r="BK190" i="34"/>
  <c r="BL190" i="34"/>
  <c r="BM190" i="34"/>
  <c r="BN190" i="34"/>
  <c r="BO190" i="34"/>
  <c r="BP190" i="34"/>
  <c r="BQ190" i="34"/>
  <c r="BR190" i="34"/>
  <c r="BS190" i="34"/>
  <c r="BT190" i="34"/>
  <c r="BU190" i="34"/>
  <c r="BV190" i="34"/>
  <c r="BW190" i="34"/>
  <c r="BX190" i="34"/>
  <c r="BY190" i="34"/>
  <c r="BZ190" i="34"/>
  <c r="CA190" i="34"/>
  <c r="CB190" i="34"/>
  <c r="CC190" i="34"/>
  <c r="V190" i="34"/>
  <c r="W189" i="34"/>
  <c r="X189" i="34"/>
  <c r="Y189" i="34"/>
  <c r="Z189" i="34"/>
  <c r="AA189" i="34"/>
  <c r="AB189" i="34"/>
  <c r="AC189" i="34"/>
  <c r="AD189" i="34"/>
  <c r="AE189" i="34"/>
  <c r="AF189" i="34"/>
  <c r="AG189" i="34"/>
  <c r="AH189" i="34"/>
  <c r="AI189" i="34"/>
  <c r="AJ189" i="34"/>
  <c r="AK189" i="34"/>
  <c r="AL189" i="34"/>
  <c r="AM189" i="34"/>
  <c r="AN189" i="34"/>
  <c r="AO189" i="34"/>
  <c r="AP189" i="34"/>
  <c r="AQ189" i="34"/>
  <c r="AR189" i="34"/>
  <c r="AS189" i="34"/>
  <c r="AT189" i="34"/>
  <c r="AU189" i="34"/>
  <c r="AV189" i="34"/>
  <c r="AW189" i="34"/>
  <c r="AX189" i="34"/>
  <c r="AY189" i="34"/>
  <c r="AZ189" i="34"/>
  <c r="BA189" i="34"/>
  <c r="BB189" i="34"/>
  <c r="BC189" i="34"/>
  <c r="BD189" i="34"/>
  <c r="BE189" i="34"/>
  <c r="BF189" i="34"/>
  <c r="BG189" i="34"/>
  <c r="BH189" i="34"/>
  <c r="BI189" i="34"/>
  <c r="BJ189" i="34"/>
  <c r="BK189" i="34"/>
  <c r="BL189" i="34"/>
  <c r="BM189" i="34"/>
  <c r="BN189" i="34"/>
  <c r="BO189" i="34"/>
  <c r="BP189" i="34"/>
  <c r="BQ189" i="34"/>
  <c r="BR189" i="34"/>
  <c r="BS189" i="34"/>
  <c r="BT189" i="34"/>
  <c r="BU189" i="34"/>
  <c r="BV189" i="34"/>
  <c r="BW189" i="34"/>
  <c r="BX189" i="34"/>
  <c r="BY189" i="34"/>
  <c r="BZ189" i="34"/>
  <c r="CA189" i="34"/>
  <c r="CB189" i="34"/>
  <c r="CC189" i="34"/>
  <c r="V189" i="34"/>
  <c r="Z188" i="34"/>
  <c r="AA188" i="34"/>
  <c r="AB188" i="34"/>
  <c r="AC188" i="34"/>
  <c r="AD188" i="34"/>
  <c r="AE188" i="34"/>
  <c r="AF188" i="34"/>
  <c r="AG188" i="34"/>
  <c r="AH188" i="34"/>
  <c r="AI188" i="34"/>
  <c r="AJ188" i="34"/>
  <c r="AK188" i="34"/>
  <c r="AL188" i="34"/>
  <c r="AM188" i="34"/>
  <c r="AN188" i="34"/>
  <c r="AO188" i="34"/>
  <c r="AP188" i="34"/>
  <c r="AQ188" i="34"/>
  <c r="AR188" i="34"/>
  <c r="AS188" i="34"/>
  <c r="AT188" i="34"/>
  <c r="AU188" i="34"/>
  <c r="AV188" i="34"/>
  <c r="AW188" i="34"/>
  <c r="AX188" i="34"/>
  <c r="AY188" i="34"/>
  <c r="AZ188" i="34"/>
  <c r="BA188" i="34"/>
  <c r="BB188" i="34"/>
  <c r="BC188" i="34"/>
  <c r="BD188" i="34"/>
  <c r="BE188" i="34"/>
  <c r="BF188" i="34"/>
  <c r="BG188" i="34"/>
  <c r="BH188" i="34"/>
  <c r="BI188" i="34"/>
  <c r="BJ188" i="34"/>
  <c r="BK188" i="34"/>
  <c r="BL188" i="34"/>
  <c r="BM188" i="34"/>
  <c r="BN188" i="34"/>
  <c r="BO188" i="34"/>
  <c r="BP188" i="34"/>
  <c r="BQ188" i="34"/>
  <c r="BR188" i="34"/>
  <c r="BS188" i="34"/>
  <c r="BT188" i="34"/>
  <c r="BU188" i="34"/>
  <c r="BV188" i="34"/>
  <c r="BW188" i="34"/>
  <c r="BX188" i="34"/>
  <c r="BY188" i="34"/>
  <c r="BZ188" i="34"/>
  <c r="CA188" i="34"/>
  <c r="CB188" i="34"/>
  <c r="CC188" i="34"/>
  <c r="W188" i="34"/>
  <c r="X188" i="34"/>
  <c r="Y188" i="34"/>
  <c r="V188" i="34"/>
  <c r="W187" i="34"/>
  <c r="X187" i="34"/>
  <c r="Y187" i="34"/>
  <c r="Z187" i="34"/>
  <c r="AA187" i="34"/>
  <c r="AB187" i="34"/>
  <c r="AC187" i="34"/>
  <c r="AD187" i="34"/>
  <c r="AE187" i="34"/>
  <c r="AF187" i="34"/>
  <c r="AG187" i="34"/>
  <c r="AH187" i="34"/>
  <c r="AI187" i="34"/>
  <c r="AJ187" i="34"/>
  <c r="AK187" i="34"/>
  <c r="AL187" i="34"/>
  <c r="AM187" i="34"/>
  <c r="AN187" i="34"/>
  <c r="AO187" i="34"/>
  <c r="AP187" i="34"/>
  <c r="AQ187" i="34"/>
  <c r="AR187" i="34"/>
  <c r="AS187" i="34"/>
  <c r="AT187" i="34"/>
  <c r="AU187" i="34"/>
  <c r="AV187" i="34"/>
  <c r="AW187" i="34"/>
  <c r="AX187" i="34"/>
  <c r="AY187" i="34"/>
  <c r="AZ187" i="34"/>
  <c r="BA187" i="34"/>
  <c r="BB187" i="34"/>
  <c r="BC187" i="34"/>
  <c r="BD187" i="34"/>
  <c r="BE187" i="34"/>
  <c r="BF187" i="34"/>
  <c r="BG187" i="34"/>
  <c r="BH187" i="34"/>
  <c r="BI187" i="34"/>
  <c r="BJ187" i="34"/>
  <c r="BK187" i="34"/>
  <c r="BL187" i="34"/>
  <c r="BM187" i="34"/>
  <c r="BN187" i="34"/>
  <c r="BO187" i="34"/>
  <c r="BP187" i="34"/>
  <c r="BQ187" i="34"/>
  <c r="BR187" i="34"/>
  <c r="BS187" i="34"/>
  <c r="BT187" i="34"/>
  <c r="BU187" i="34"/>
  <c r="BV187" i="34"/>
  <c r="BW187" i="34"/>
  <c r="BX187" i="34"/>
  <c r="BY187" i="34"/>
  <c r="BZ187" i="34"/>
  <c r="CA187" i="34"/>
  <c r="CB187" i="34"/>
  <c r="CC187" i="34"/>
  <c r="V187" i="34"/>
  <c r="I23" i="29"/>
  <c r="V116" i="34"/>
  <c r="W116" i="34"/>
  <c r="X116" i="34"/>
  <c r="Y116" i="34"/>
  <c r="Z116" i="34"/>
  <c r="AA116" i="34"/>
  <c r="AB116" i="34"/>
  <c r="AC116" i="34"/>
  <c r="AD116" i="34"/>
  <c r="AE116" i="34"/>
  <c r="AF116" i="34"/>
  <c r="AG116" i="34"/>
  <c r="AH116" i="34"/>
  <c r="AI116" i="34"/>
  <c r="AJ116" i="34"/>
  <c r="AK116" i="34"/>
  <c r="AL116" i="34"/>
  <c r="AM116" i="34"/>
  <c r="AN116" i="34"/>
  <c r="AO116" i="34"/>
  <c r="AP116" i="34"/>
  <c r="AQ116" i="34"/>
  <c r="AR116" i="34"/>
  <c r="AS116" i="34"/>
  <c r="AT116" i="34"/>
  <c r="AU116" i="34"/>
  <c r="AV116" i="34"/>
  <c r="AW116" i="34"/>
  <c r="AX116" i="34"/>
  <c r="AY116" i="34"/>
  <c r="AZ116" i="34"/>
  <c r="BA116" i="34"/>
  <c r="BB116" i="34"/>
  <c r="BC116" i="34"/>
  <c r="BD116" i="34"/>
  <c r="BE116" i="34"/>
  <c r="BF116" i="34"/>
  <c r="BG116" i="34"/>
  <c r="BH116" i="34"/>
  <c r="BI116" i="34"/>
  <c r="BJ116" i="34"/>
  <c r="BK116" i="34"/>
  <c r="BL116" i="34"/>
  <c r="BM116" i="34"/>
  <c r="BN116" i="34"/>
  <c r="BO116" i="34"/>
  <c r="BP116" i="34"/>
  <c r="BQ116" i="34"/>
  <c r="BR116" i="34"/>
  <c r="BS116" i="34"/>
  <c r="BT116" i="34"/>
  <c r="BU116" i="34"/>
  <c r="BV116" i="34"/>
  <c r="BW116" i="34"/>
  <c r="BX116" i="34"/>
  <c r="BY116" i="34"/>
  <c r="BZ116" i="34"/>
  <c r="CA116" i="34"/>
  <c r="CB116" i="34"/>
  <c r="CC116" i="34"/>
  <c r="V117" i="34"/>
  <c r="W117" i="34"/>
  <c r="X117" i="34"/>
  <c r="Y117" i="34"/>
  <c r="Z117" i="34"/>
  <c r="AA117" i="34"/>
  <c r="AB117" i="34"/>
  <c r="AC117" i="34"/>
  <c r="AD117" i="34"/>
  <c r="AE117" i="34"/>
  <c r="AF117" i="34"/>
  <c r="AG117" i="34"/>
  <c r="AH117" i="34"/>
  <c r="AI117" i="34"/>
  <c r="AJ117" i="34"/>
  <c r="AK117" i="34"/>
  <c r="AL117" i="34"/>
  <c r="AM117" i="34"/>
  <c r="AN117" i="34"/>
  <c r="AO117" i="34"/>
  <c r="AP117" i="34"/>
  <c r="AQ117" i="34"/>
  <c r="AR117" i="34"/>
  <c r="AS117" i="34"/>
  <c r="AT117" i="34"/>
  <c r="AU117" i="34"/>
  <c r="AV117" i="34"/>
  <c r="AW117" i="34"/>
  <c r="AX117" i="34"/>
  <c r="AY117" i="34"/>
  <c r="AZ117" i="34"/>
  <c r="BA117" i="34"/>
  <c r="BB117" i="34"/>
  <c r="BC117" i="34"/>
  <c r="BD117" i="34"/>
  <c r="BE117" i="34"/>
  <c r="BF117" i="34"/>
  <c r="BG117" i="34"/>
  <c r="BH117" i="34"/>
  <c r="BI117" i="34"/>
  <c r="BJ117" i="34"/>
  <c r="BK117" i="34"/>
  <c r="BL117" i="34"/>
  <c r="BM117" i="34"/>
  <c r="BN117" i="34"/>
  <c r="BO117" i="34"/>
  <c r="BP117" i="34"/>
  <c r="BQ117" i="34"/>
  <c r="BR117" i="34"/>
  <c r="BS117" i="34"/>
  <c r="BT117" i="34"/>
  <c r="BU117" i="34"/>
  <c r="BV117" i="34"/>
  <c r="BW117" i="34"/>
  <c r="BX117" i="34"/>
  <c r="BY117" i="34"/>
  <c r="BZ117" i="34"/>
  <c r="CA117" i="34"/>
  <c r="CB117" i="34"/>
  <c r="CC117" i="34"/>
  <c r="V118" i="34"/>
  <c r="W118" i="34"/>
  <c r="X118" i="34"/>
  <c r="Y118" i="34"/>
  <c r="Z118" i="34"/>
  <c r="AA118" i="34"/>
  <c r="AB118" i="34"/>
  <c r="AC118" i="34"/>
  <c r="AD118" i="34"/>
  <c r="AE118" i="34"/>
  <c r="AF118" i="34"/>
  <c r="AG118" i="34"/>
  <c r="AH118" i="34"/>
  <c r="AI118" i="34"/>
  <c r="AJ118" i="34"/>
  <c r="AK118" i="34"/>
  <c r="AL118" i="34"/>
  <c r="AM118" i="34"/>
  <c r="AN118" i="34"/>
  <c r="AO118" i="34"/>
  <c r="AP118" i="34"/>
  <c r="AQ118" i="34"/>
  <c r="AR118" i="34"/>
  <c r="AS118" i="34"/>
  <c r="AT118" i="34"/>
  <c r="AU118" i="34"/>
  <c r="AV118" i="34"/>
  <c r="AW118" i="34"/>
  <c r="AX118" i="34"/>
  <c r="AY118" i="34"/>
  <c r="AZ118" i="34"/>
  <c r="BA118" i="34"/>
  <c r="BB118" i="34"/>
  <c r="BC118" i="34"/>
  <c r="BD118" i="34"/>
  <c r="BE118" i="34"/>
  <c r="BF118" i="34"/>
  <c r="BG118" i="34"/>
  <c r="BH118" i="34"/>
  <c r="BI118" i="34"/>
  <c r="BJ118" i="34"/>
  <c r="BK118" i="34"/>
  <c r="BL118" i="34"/>
  <c r="BM118" i="34"/>
  <c r="BN118" i="34"/>
  <c r="BO118" i="34"/>
  <c r="BP118" i="34"/>
  <c r="BQ118" i="34"/>
  <c r="BR118" i="34"/>
  <c r="BS118" i="34"/>
  <c r="BT118" i="34"/>
  <c r="BU118" i="34"/>
  <c r="BV118" i="34"/>
  <c r="BW118" i="34"/>
  <c r="BX118" i="34"/>
  <c r="BY118" i="34"/>
  <c r="BZ118" i="34"/>
  <c r="CA118" i="34"/>
  <c r="CB118" i="34"/>
  <c r="CC118" i="34"/>
  <c r="V119" i="34"/>
  <c r="W119" i="34"/>
  <c r="X119" i="34"/>
  <c r="Y119" i="34"/>
  <c r="Z119" i="34"/>
  <c r="AA119" i="34"/>
  <c r="AB119" i="34"/>
  <c r="AC119" i="34"/>
  <c r="AD119" i="34"/>
  <c r="AE119" i="34"/>
  <c r="AF119" i="34"/>
  <c r="AG119" i="34"/>
  <c r="AH119" i="34"/>
  <c r="AI119" i="34"/>
  <c r="AJ119" i="34"/>
  <c r="AK119" i="34"/>
  <c r="AL119" i="34"/>
  <c r="AM119" i="34"/>
  <c r="AN119" i="34"/>
  <c r="AO119" i="34"/>
  <c r="AP119" i="34"/>
  <c r="AQ119" i="34"/>
  <c r="AR119" i="34"/>
  <c r="AS119" i="34"/>
  <c r="AT119" i="34"/>
  <c r="AU119" i="34"/>
  <c r="AV119" i="34"/>
  <c r="AW119" i="34"/>
  <c r="AX119" i="34"/>
  <c r="AY119" i="34"/>
  <c r="AZ119" i="34"/>
  <c r="BA119" i="34"/>
  <c r="BB119" i="34"/>
  <c r="BC119" i="34"/>
  <c r="BD119" i="34"/>
  <c r="BE119" i="34"/>
  <c r="BF119" i="34"/>
  <c r="BG119" i="34"/>
  <c r="BH119" i="34"/>
  <c r="BI119" i="34"/>
  <c r="BJ119" i="34"/>
  <c r="BK119" i="34"/>
  <c r="BL119" i="34"/>
  <c r="BM119" i="34"/>
  <c r="BN119" i="34"/>
  <c r="BO119" i="34"/>
  <c r="BP119" i="34"/>
  <c r="BQ119" i="34"/>
  <c r="BR119" i="34"/>
  <c r="BS119" i="34"/>
  <c r="BT119" i="34"/>
  <c r="BU119" i="34"/>
  <c r="BV119" i="34"/>
  <c r="BW119" i="34"/>
  <c r="BX119" i="34"/>
  <c r="BY119" i="34"/>
  <c r="BZ119" i="34"/>
  <c r="CA119" i="34"/>
  <c r="CB119" i="34"/>
  <c r="CC119" i="34"/>
  <c r="V120" i="34"/>
  <c r="W120" i="34"/>
  <c r="X120" i="34"/>
  <c r="Y120" i="34"/>
  <c r="Z120" i="34"/>
  <c r="AA120" i="34"/>
  <c r="AB120" i="34"/>
  <c r="AC120" i="34"/>
  <c r="AD120" i="34"/>
  <c r="AE120" i="34"/>
  <c r="AF120" i="34"/>
  <c r="AG120" i="34"/>
  <c r="AH120" i="34"/>
  <c r="AI120" i="34"/>
  <c r="AJ120" i="34"/>
  <c r="AK120" i="34"/>
  <c r="AL120" i="34"/>
  <c r="AM120" i="34"/>
  <c r="AN120" i="34"/>
  <c r="AO120" i="34"/>
  <c r="AP120" i="34"/>
  <c r="AQ120" i="34"/>
  <c r="AR120" i="34"/>
  <c r="AS120" i="34"/>
  <c r="AT120" i="34"/>
  <c r="AU120" i="34"/>
  <c r="AV120" i="34"/>
  <c r="AW120" i="34"/>
  <c r="AX120" i="34"/>
  <c r="AY120" i="34"/>
  <c r="AZ120" i="34"/>
  <c r="BA120" i="34"/>
  <c r="BB120" i="34"/>
  <c r="BC120" i="34"/>
  <c r="BD120" i="34"/>
  <c r="BE120" i="34"/>
  <c r="BF120" i="34"/>
  <c r="BG120" i="34"/>
  <c r="BH120" i="34"/>
  <c r="BI120" i="34"/>
  <c r="BJ120" i="34"/>
  <c r="BK120" i="34"/>
  <c r="BL120" i="34"/>
  <c r="BM120" i="34"/>
  <c r="BN120" i="34"/>
  <c r="BO120" i="34"/>
  <c r="BP120" i="34"/>
  <c r="BQ120" i="34"/>
  <c r="BR120" i="34"/>
  <c r="BS120" i="34"/>
  <c r="BT120" i="34"/>
  <c r="BU120" i="34"/>
  <c r="BV120" i="34"/>
  <c r="BW120" i="34"/>
  <c r="BX120" i="34"/>
  <c r="BY120" i="34"/>
  <c r="BZ120" i="34"/>
  <c r="CA120" i="34"/>
  <c r="CB120" i="34"/>
  <c r="CC120" i="34"/>
  <c r="V121" i="34"/>
  <c r="W121" i="34"/>
  <c r="X121" i="34"/>
  <c r="Y121" i="34"/>
  <c r="Z121" i="34"/>
  <c r="AA121" i="34"/>
  <c r="AB121" i="34"/>
  <c r="AC121" i="34"/>
  <c r="AD121" i="34"/>
  <c r="AE121" i="34"/>
  <c r="AF121" i="34"/>
  <c r="AG121" i="34"/>
  <c r="AH121" i="34"/>
  <c r="AI121" i="34"/>
  <c r="AJ121" i="34"/>
  <c r="AK121" i="34"/>
  <c r="AL121" i="34"/>
  <c r="AM121" i="34"/>
  <c r="AN121" i="34"/>
  <c r="AO121" i="34"/>
  <c r="AP121" i="34"/>
  <c r="AQ121" i="34"/>
  <c r="AR121" i="34"/>
  <c r="AS121" i="34"/>
  <c r="AT121" i="34"/>
  <c r="AU121" i="34"/>
  <c r="AV121" i="34"/>
  <c r="AW121" i="34"/>
  <c r="AX121" i="34"/>
  <c r="AY121" i="34"/>
  <c r="AZ121" i="34"/>
  <c r="BA121" i="34"/>
  <c r="BB121" i="34"/>
  <c r="BC121" i="34"/>
  <c r="BD121" i="34"/>
  <c r="BE121" i="34"/>
  <c r="BF121" i="34"/>
  <c r="BG121" i="34"/>
  <c r="BH121" i="34"/>
  <c r="BI121" i="34"/>
  <c r="BJ121" i="34"/>
  <c r="BK121" i="34"/>
  <c r="BL121" i="34"/>
  <c r="BM121" i="34"/>
  <c r="BN121" i="34"/>
  <c r="BO121" i="34"/>
  <c r="BP121" i="34"/>
  <c r="BQ121" i="34"/>
  <c r="BR121" i="34"/>
  <c r="BS121" i="34"/>
  <c r="BT121" i="34"/>
  <c r="BU121" i="34"/>
  <c r="BV121" i="34"/>
  <c r="BW121" i="34"/>
  <c r="BX121" i="34"/>
  <c r="BY121" i="34"/>
  <c r="BZ121" i="34"/>
  <c r="CA121" i="34"/>
  <c r="CB121" i="34"/>
  <c r="CC121" i="34"/>
  <c r="AA54" i="34"/>
  <c r="AA53" i="34"/>
  <c r="AA52" i="34"/>
  <c r="AA51" i="34"/>
  <c r="I43" i="15"/>
  <c r="AA38" i="34"/>
  <c r="AA37" i="34"/>
  <c r="AA36" i="34"/>
  <c r="AA35" i="34"/>
  <c r="AA34" i="34"/>
  <c r="I37" i="34"/>
  <c r="I45" i="15"/>
  <c r="I25" i="29"/>
  <c r="AA55" i="34" l="1"/>
  <c r="AA40" i="34"/>
  <c r="Y13" i="15" s="1"/>
  <c r="AB21" i="34"/>
  <c r="I191" i="34"/>
  <c r="D191" i="34"/>
  <c r="V183" i="34"/>
  <c r="W183" i="34"/>
  <c r="X183" i="34"/>
  <c r="Y183" i="34"/>
  <c r="Z183" i="34"/>
  <c r="AA183" i="34"/>
  <c r="AB183" i="34"/>
  <c r="AC183" i="34"/>
  <c r="AD183" i="34"/>
  <c r="AE183" i="34"/>
  <c r="AF183" i="34"/>
  <c r="AG183" i="34"/>
  <c r="AH183" i="34"/>
  <c r="AI183" i="34"/>
  <c r="AJ183" i="34"/>
  <c r="AK183" i="34"/>
  <c r="AL183" i="34"/>
  <c r="AM183" i="34"/>
  <c r="AN183" i="34"/>
  <c r="AO183" i="34"/>
  <c r="AP183" i="34"/>
  <c r="AQ183" i="34"/>
  <c r="AR183" i="34"/>
  <c r="AS183" i="34"/>
  <c r="AT183" i="34"/>
  <c r="AU183" i="34"/>
  <c r="AV183" i="34"/>
  <c r="AW183" i="34"/>
  <c r="AX183" i="34"/>
  <c r="AY183" i="34"/>
  <c r="AZ183" i="34"/>
  <c r="BA183" i="34"/>
  <c r="BB183" i="34"/>
  <c r="BC183" i="34"/>
  <c r="BD183" i="34"/>
  <c r="BE183" i="34"/>
  <c r="BF183" i="34"/>
  <c r="BG183" i="34"/>
  <c r="BH183" i="34"/>
  <c r="BI183" i="34"/>
  <c r="BJ183" i="34"/>
  <c r="BK183" i="34"/>
  <c r="BL183" i="34"/>
  <c r="BM183" i="34"/>
  <c r="BN183" i="34"/>
  <c r="BO183" i="34"/>
  <c r="BP183" i="34"/>
  <c r="BQ183" i="34"/>
  <c r="BR183" i="34"/>
  <c r="BS183" i="34"/>
  <c r="BT183" i="34"/>
  <c r="BU183" i="34"/>
  <c r="BV183" i="34"/>
  <c r="BW183" i="34"/>
  <c r="BX183" i="34"/>
  <c r="BY183" i="34"/>
  <c r="BZ183" i="34"/>
  <c r="CA183" i="34"/>
  <c r="CB183" i="34"/>
  <c r="CC183" i="34"/>
  <c r="W182" i="34"/>
  <c r="X182" i="34"/>
  <c r="Y182" i="34"/>
  <c r="Z182" i="34"/>
  <c r="AA182" i="34"/>
  <c r="AB182" i="34"/>
  <c r="AC182" i="34"/>
  <c r="AD182" i="34"/>
  <c r="AE182" i="34"/>
  <c r="AF182" i="34"/>
  <c r="AG182" i="34"/>
  <c r="AH182" i="34"/>
  <c r="AI182" i="34"/>
  <c r="AJ182" i="34"/>
  <c r="AK182" i="34"/>
  <c r="AL182" i="34"/>
  <c r="AM182" i="34"/>
  <c r="AN182" i="34"/>
  <c r="AO182" i="34"/>
  <c r="AP182" i="34"/>
  <c r="AQ182" i="34"/>
  <c r="AR182" i="34"/>
  <c r="AS182" i="34"/>
  <c r="AT182" i="34"/>
  <c r="AU182" i="34"/>
  <c r="AV182" i="34"/>
  <c r="AW182" i="34"/>
  <c r="AX182" i="34"/>
  <c r="AY182" i="34"/>
  <c r="AZ182" i="34"/>
  <c r="BA182" i="34"/>
  <c r="BB182" i="34"/>
  <c r="BC182" i="34"/>
  <c r="BD182" i="34"/>
  <c r="BE182" i="34"/>
  <c r="BF182" i="34"/>
  <c r="BG182" i="34"/>
  <c r="BH182" i="34"/>
  <c r="BI182" i="34"/>
  <c r="BJ182" i="34"/>
  <c r="BK182" i="34"/>
  <c r="BL182" i="34"/>
  <c r="BM182" i="34"/>
  <c r="BN182" i="34"/>
  <c r="BO182" i="34"/>
  <c r="BP182" i="34"/>
  <c r="BQ182" i="34"/>
  <c r="BR182" i="34"/>
  <c r="BS182" i="34"/>
  <c r="BT182" i="34"/>
  <c r="BU182" i="34"/>
  <c r="BV182" i="34"/>
  <c r="BW182" i="34"/>
  <c r="BX182" i="34"/>
  <c r="BY182" i="34"/>
  <c r="BZ182" i="34"/>
  <c r="CA182" i="34"/>
  <c r="CB182" i="34"/>
  <c r="CC182" i="34"/>
  <c r="V182" i="34"/>
  <c r="I182" i="34"/>
  <c r="D182" i="34"/>
  <c r="I174" i="34"/>
  <c r="I121" i="34"/>
  <c r="D121" i="34"/>
  <c r="V88" i="34"/>
  <c r="W87" i="34"/>
  <c r="X87" i="34" s="1"/>
  <c r="V105" i="34"/>
  <c r="V137" i="34"/>
  <c r="V138" i="34"/>
  <c r="V136" i="34"/>
  <c r="I136" i="34"/>
  <c r="I137" i="34"/>
  <c r="I138" i="34"/>
  <c r="D136" i="34"/>
  <c r="D137" i="34"/>
  <c r="D138" i="34"/>
  <c r="I120" i="34"/>
  <c r="D120" i="34"/>
  <c r="Z103" i="34"/>
  <c r="AA103" i="34" s="1"/>
  <c r="AB103" i="34" s="1"/>
  <c r="AD103" i="34" s="1"/>
  <c r="AE103" i="34" s="1"/>
  <c r="AF103" i="34" s="1"/>
  <c r="AG103" i="34" s="1"/>
  <c r="AH103" i="34" s="1"/>
  <c r="AI103" i="34" s="1"/>
  <c r="AJ103" i="34" s="1"/>
  <c r="AK103" i="34" s="1"/>
  <c r="AL103" i="34" s="1"/>
  <c r="AM103" i="34" s="1"/>
  <c r="AN103" i="34" s="1"/>
  <c r="AO103" i="34" s="1"/>
  <c r="AP103" i="34" s="1"/>
  <c r="AQ103" i="34" s="1"/>
  <c r="AR103" i="34" s="1"/>
  <c r="AS103" i="34" s="1"/>
  <c r="AS137" i="34" s="1"/>
  <c r="W104" i="34"/>
  <c r="X104" i="34" s="1"/>
  <c r="Y104" i="34" s="1"/>
  <c r="Z104" i="34" s="1"/>
  <c r="AA104" i="34" s="1"/>
  <c r="AB104" i="34" s="1"/>
  <c r="AC104" i="34" s="1"/>
  <c r="AD104" i="34" s="1"/>
  <c r="AE104" i="34" s="1"/>
  <c r="AF104" i="34" s="1"/>
  <c r="AG104" i="34" s="1"/>
  <c r="AH104" i="34" s="1"/>
  <c r="AI104" i="34" s="1"/>
  <c r="AJ104" i="34" s="1"/>
  <c r="AK104" i="34" s="1"/>
  <c r="AL104" i="34" s="1"/>
  <c r="AM104" i="34" s="1"/>
  <c r="AN104" i="34" s="1"/>
  <c r="AO104" i="34" s="1"/>
  <c r="AP104" i="34" s="1"/>
  <c r="AQ104" i="34" s="1"/>
  <c r="AR104" i="34" s="1"/>
  <c r="AS104" i="34" s="1"/>
  <c r="AS138" i="34" s="1"/>
  <c r="W102" i="34"/>
  <c r="W136" i="34" s="1"/>
  <c r="W86" i="34"/>
  <c r="X86" i="34" s="1"/>
  <c r="I38" i="34"/>
  <c r="I54" i="34"/>
  <c r="I68" i="34"/>
  <c r="W85" i="34"/>
  <c r="W94" i="34"/>
  <c r="W128" i="34" s="1"/>
  <c r="W101" i="34"/>
  <c r="X101" i="34" s="1"/>
  <c r="D119" i="34"/>
  <c r="I119" i="34"/>
  <c r="D128" i="34"/>
  <c r="I128" i="34"/>
  <c r="V128" i="34"/>
  <c r="D135" i="34"/>
  <c r="I135" i="34"/>
  <c r="V135" i="34"/>
  <c r="I173" i="34"/>
  <c r="D181" i="34"/>
  <c r="I181" i="34"/>
  <c r="V181" i="34"/>
  <c r="W181" i="34"/>
  <c r="X181" i="34"/>
  <c r="Y181" i="34"/>
  <c r="Z181" i="34"/>
  <c r="AA181" i="34"/>
  <c r="AB181" i="34"/>
  <c r="AC181" i="34"/>
  <c r="AD181" i="34"/>
  <c r="AE181" i="34"/>
  <c r="AF181" i="34"/>
  <c r="AG181" i="34"/>
  <c r="AH181" i="34"/>
  <c r="AI181" i="34"/>
  <c r="AJ181" i="34"/>
  <c r="AK181" i="34"/>
  <c r="AL181" i="34"/>
  <c r="AM181" i="34"/>
  <c r="AN181" i="34"/>
  <c r="AO181" i="34"/>
  <c r="AP181" i="34"/>
  <c r="AQ181" i="34"/>
  <c r="AR181" i="34"/>
  <c r="AS181" i="34"/>
  <c r="AT181" i="34"/>
  <c r="AU181" i="34"/>
  <c r="AV181" i="34"/>
  <c r="AW181" i="34"/>
  <c r="AX181" i="34"/>
  <c r="AY181" i="34"/>
  <c r="AZ181" i="34"/>
  <c r="BA181" i="34"/>
  <c r="BB181" i="34"/>
  <c r="BC181" i="34"/>
  <c r="BD181" i="34"/>
  <c r="BE181" i="34"/>
  <c r="BF181" i="34"/>
  <c r="BG181" i="34"/>
  <c r="BH181" i="34"/>
  <c r="BI181" i="34"/>
  <c r="BJ181" i="34"/>
  <c r="BK181" i="34"/>
  <c r="BL181" i="34"/>
  <c r="BM181" i="34"/>
  <c r="BN181" i="34"/>
  <c r="BO181" i="34"/>
  <c r="BP181" i="34"/>
  <c r="BQ181" i="34"/>
  <c r="BR181" i="34"/>
  <c r="BS181" i="34"/>
  <c r="BT181" i="34"/>
  <c r="BU181" i="34"/>
  <c r="BV181" i="34"/>
  <c r="BW181" i="34"/>
  <c r="BX181" i="34"/>
  <c r="BY181" i="34"/>
  <c r="BZ181" i="34"/>
  <c r="CA181" i="34"/>
  <c r="CB181" i="34"/>
  <c r="CC181" i="34"/>
  <c r="D190" i="34"/>
  <c r="I190" i="34"/>
  <c r="D17" i="15"/>
  <c r="I17" i="15"/>
  <c r="T17" i="15"/>
  <c r="U17" i="15"/>
  <c r="V17" i="15"/>
  <c r="W17" i="15"/>
  <c r="X17" i="15"/>
  <c r="Y17" i="15"/>
  <c r="D26" i="15"/>
  <c r="I26" i="15"/>
  <c r="T26" i="15"/>
  <c r="U26" i="15"/>
  <c r="V26" i="15"/>
  <c r="W26" i="15"/>
  <c r="X26" i="15"/>
  <c r="Y26" i="15"/>
  <c r="D32" i="15"/>
  <c r="I32" i="15"/>
  <c r="T32" i="15"/>
  <c r="U32" i="15"/>
  <c r="V32" i="15"/>
  <c r="W32" i="15"/>
  <c r="X32" i="15"/>
  <c r="Y32" i="15"/>
  <c r="Z32" i="15"/>
  <c r="AA32" i="15"/>
  <c r="AB32" i="15"/>
  <c r="AC32" i="15"/>
  <c r="AD32" i="15"/>
  <c r="AE32" i="15"/>
  <c r="AF32" i="15"/>
  <c r="AG32" i="15"/>
  <c r="AH32" i="15"/>
  <c r="AI32" i="15"/>
  <c r="AJ32" i="15"/>
  <c r="AK32" i="15"/>
  <c r="AL32" i="15"/>
  <c r="AM32" i="15"/>
  <c r="AN32" i="15"/>
  <c r="AO32" i="15"/>
  <c r="AP32" i="15"/>
  <c r="AQ32" i="15"/>
  <c r="AR32" i="15"/>
  <c r="AS32" i="15"/>
  <c r="AT32" i="15"/>
  <c r="AU32" i="15"/>
  <c r="AV32" i="15"/>
  <c r="AW32" i="15"/>
  <c r="AX32" i="15"/>
  <c r="AY32" i="15"/>
  <c r="AZ32" i="15"/>
  <c r="BA32" i="15"/>
  <c r="BB32" i="15"/>
  <c r="BC32" i="15"/>
  <c r="BD32" i="15"/>
  <c r="BE32" i="15"/>
  <c r="BF32" i="15"/>
  <c r="BG32" i="15"/>
  <c r="BH32" i="15"/>
  <c r="BI32" i="15"/>
  <c r="BJ32" i="15"/>
  <c r="BK32" i="15"/>
  <c r="BL32" i="15"/>
  <c r="BM32" i="15"/>
  <c r="BN32" i="15"/>
  <c r="BO32" i="15"/>
  <c r="BP32" i="15"/>
  <c r="BQ32" i="15"/>
  <c r="BR32" i="15"/>
  <c r="BS32" i="15"/>
  <c r="BT32" i="15"/>
  <c r="BU32" i="15"/>
  <c r="BV32" i="15"/>
  <c r="BW32" i="15"/>
  <c r="BX32" i="15"/>
  <c r="BY32" i="15"/>
  <c r="BZ32" i="15"/>
  <c r="CA32" i="15"/>
  <c r="X24" i="34"/>
  <c r="I69" i="29"/>
  <c r="I68" i="29"/>
  <c r="V24" i="34"/>
  <c r="V152" i="34" s="1"/>
  <c r="I71" i="29"/>
  <c r="I72" i="29"/>
  <c r="M149" i="34"/>
  <c r="M148" i="34"/>
  <c r="M147" i="34"/>
  <c r="D189" i="34"/>
  <c r="D188" i="34"/>
  <c r="D187" i="34"/>
  <c r="D180" i="34"/>
  <c r="D179" i="34"/>
  <c r="D178" i="34"/>
  <c r="D134" i="34"/>
  <c r="D133" i="34"/>
  <c r="D132" i="34"/>
  <c r="D131" i="34"/>
  <c r="D37" i="15" s="1"/>
  <c r="I127" i="34"/>
  <c r="D127" i="34"/>
  <c r="D126" i="34"/>
  <c r="D125" i="34"/>
  <c r="D124" i="34"/>
  <c r="D36" i="15" s="1"/>
  <c r="D115" i="34"/>
  <c r="D35" i="15" s="1"/>
  <c r="D118" i="34"/>
  <c r="D117" i="34"/>
  <c r="D116" i="34"/>
  <c r="W100" i="34"/>
  <c r="X100" i="34" s="1"/>
  <c r="W99" i="34"/>
  <c r="X99" i="34" s="1"/>
  <c r="W98" i="34"/>
  <c r="X98" i="34" s="1"/>
  <c r="W93" i="34"/>
  <c r="X93" i="34" s="1"/>
  <c r="W92" i="34"/>
  <c r="X92" i="34" s="1"/>
  <c r="W91" i="34"/>
  <c r="X91" i="34" s="1"/>
  <c r="W84" i="34"/>
  <c r="X84" i="34" s="1"/>
  <c r="W83" i="34"/>
  <c r="X83" i="34" s="1"/>
  <c r="W82" i="34"/>
  <c r="X82" i="34" s="1"/>
  <c r="I55" i="34"/>
  <c r="Z40" i="34"/>
  <c r="X13" i="15" s="1"/>
  <c r="Y40" i="34"/>
  <c r="W13" i="15" s="1"/>
  <c r="X40" i="34"/>
  <c r="V13" i="15" s="1"/>
  <c r="W40" i="34"/>
  <c r="U13" i="15" s="1"/>
  <c r="V40" i="34"/>
  <c r="T13" i="15" s="1"/>
  <c r="I21" i="34"/>
  <c r="V22" i="34"/>
  <c r="I24" i="34"/>
  <c r="V127" i="34"/>
  <c r="I250" i="34"/>
  <c r="I249" i="34"/>
  <c r="I248" i="34"/>
  <c r="I247" i="34"/>
  <c r="I243" i="34"/>
  <c r="I31" i="15"/>
  <c r="I30" i="15"/>
  <c r="I29" i="15"/>
  <c r="D31" i="15"/>
  <c r="D30" i="15"/>
  <c r="D29" i="15"/>
  <c r="I25" i="15"/>
  <c r="I24" i="15"/>
  <c r="D25" i="15"/>
  <c r="D24" i="15"/>
  <c r="D23" i="15"/>
  <c r="I16" i="15"/>
  <c r="I15" i="15"/>
  <c r="I14" i="15"/>
  <c r="D16" i="15"/>
  <c r="D15" i="15"/>
  <c r="D14" i="15"/>
  <c r="I69" i="34"/>
  <c r="I67" i="34"/>
  <c r="I66" i="34"/>
  <c r="I65" i="34"/>
  <c r="I53" i="34"/>
  <c r="I52" i="34"/>
  <c r="I51" i="34"/>
  <c r="I36" i="34"/>
  <c r="I35" i="34"/>
  <c r="I34" i="34"/>
  <c r="AE3" i="15"/>
  <c r="AD3" i="15"/>
  <c r="AC3" i="15"/>
  <c r="AB3" i="15"/>
  <c r="AA3" i="15"/>
  <c r="Z3" i="15"/>
  <c r="Y3" i="15"/>
  <c r="X3" i="15"/>
  <c r="W3" i="15"/>
  <c r="V3" i="15"/>
  <c r="U3" i="15"/>
  <c r="T3" i="15"/>
  <c r="I84" i="15"/>
  <c r="I81" i="15"/>
  <c r="I80" i="15"/>
  <c r="I83" i="15"/>
  <c r="I256" i="34"/>
  <c r="I254" i="34"/>
  <c r="D6" i="21"/>
  <c r="I64" i="29"/>
  <c r="I62" i="29"/>
  <c r="I60" i="29"/>
  <c r="I59" i="29"/>
  <c r="I58" i="29"/>
  <c r="I57" i="29"/>
  <c r="I56" i="29"/>
  <c r="I54" i="29"/>
  <c r="I53" i="29"/>
  <c r="I51" i="29"/>
  <c r="AG3" i="34"/>
  <c r="AF3" i="34"/>
  <c r="AE3" i="34"/>
  <c r="AD3" i="34"/>
  <c r="AC3" i="34"/>
  <c r="AB3" i="34"/>
  <c r="AA3" i="34"/>
  <c r="Z3" i="34"/>
  <c r="Y3" i="34"/>
  <c r="X3" i="34"/>
  <c r="W3" i="34"/>
  <c r="V3" i="34"/>
  <c r="AS3" i="18"/>
  <c r="BE3" i="18" s="1"/>
  <c r="BC3" i="15" s="1"/>
  <c r="AR3" i="18"/>
  <c r="AR3" i="34" s="1"/>
  <c r="AQ3" i="18"/>
  <c r="AO3" i="15" s="1"/>
  <c r="AP3" i="18"/>
  <c r="AP3" i="34" s="1"/>
  <c r="AO3" i="18"/>
  <c r="BA3" i="18" s="1"/>
  <c r="BA3" i="34" s="1"/>
  <c r="AN3" i="18"/>
  <c r="AN3" i="34" s="1"/>
  <c r="AM3" i="18"/>
  <c r="AY3" i="18" s="1"/>
  <c r="AL3" i="18"/>
  <c r="AJ3" i="15" s="1"/>
  <c r="AK3" i="18"/>
  <c r="AI3" i="15" s="1"/>
  <c r="AJ3" i="18"/>
  <c r="AJ3" i="34" s="1"/>
  <c r="AI3" i="18"/>
  <c r="AI3" i="34" s="1"/>
  <c r="AH3" i="18"/>
  <c r="AH3" i="34" s="1"/>
  <c r="I18" i="29"/>
  <c r="I17" i="29"/>
  <c r="I16" i="29"/>
  <c r="M200" i="34"/>
  <c r="P8" i="18"/>
  <c r="P4" i="18" s="1"/>
  <c r="V8" i="18"/>
  <c r="W8" i="18" s="1"/>
  <c r="I172" i="34"/>
  <c r="I171" i="34"/>
  <c r="I170" i="34"/>
  <c r="I34" i="15"/>
  <c r="I37" i="15"/>
  <c r="I36" i="15"/>
  <c r="I35" i="15"/>
  <c r="I211" i="34"/>
  <c r="I209" i="34"/>
  <c r="I208" i="34"/>
  <c r="I207" i="34"/>
  <c r="I206" i="34"/>
  <c r="I204" i="34"/>
  <c r="I203" i="34"/>
  <c r="I202" i="34"/>
  <c r="M198" i="34"/>
  <c r="M199" i="34"/>
  <c r="M220" i="34"/>
  <c r="M219" i="34"/>
  <c r="M221" i="34"/>
  <c r="I116" i="34"/>
  <c r="I117" i="34"/>
  <c r="I118" i="34"/>
  <c r="I122" i="34"/>
  <c r="I125" i="34"/>
  <c r="I126" i="34"/>
  <c r="I129" i="34"/>
  <c r="I132" i="34"/>
  <c r="I133" i="34"/>
  <c r="I134" i="34"/>
  <c r="I139" i="34"/>
  <c r="I141" i="34"/>
  <c r="I28" i="15"/>
  <c r="I22" i="15"/>
  <c r="I23" i="15"/>
  <c r="V5" i="34"/>
  <c r="W5" i="18"/>
  <c r="U5" i="15" s="1"/>
  <c r="I60" i="15"/>
  <c r="I229" i="34"/>
  <c r="I231" i="34"/>
  <c r="I230" i="34"/>
  <c r="I228" i="34"/>
  <c r="I225" i="34"/>
  <c r="I224" i="34"/>
  <c r="I27" i="29"/>
  <c r="I26" i="29"/>
  <c r="I24" i="29"/>
  <c r="I22" i="29"/>
  <c r="I19" i="29"/>
  <c r="I13" i="29"/>
  <c r="I12" i="29"/>
  <c r="I11" i="29"/>
  <c r="D44" i="21"/>
  <c r="D43" i="21"/>
  <c r="I163" i="34"/>
  <c r="I213" i="34"/>
  <c r="I234" i="34"/>
  <c r="I235" i="34"/>
  <c r="I236" i="34"/>
  <c r="I237" i="34"/>
  <c r="I239" i="34"/>
  <c r="I178" i="34"/>
  <c r="I179" i="34"/>
  <c r="I180" i="34"/>
  <c r="I184" i="34"/>
  <c r="I187" i="34"/>
  <c r="I188" i="34"/>
  <c r="I189" i="34"/>
  <c r="I193" i="34"/>
  <c r="I152" i="34"/>
  <c r="I153" i="34"/>
  <c r="I156" i="34"/>
  <c r="I157" i="34"/>
  <c r="I165" i="34"/>
  <c r="I40" i="34"/>
  <c r="I71" i="34"/>
  <c r="P5" i="34"/>
  <c r="T5" i="15"/>
  <c r="N5" i="15"/>
  <c r="I59" i="15"/>
  <c r="I58" i="15"/>
  <c r="I57" i="15"/>
  <c r="I70" i="15"/>
  <c r="I69" i="15"/>
  <c r="T53" i="15"/>
  <c r="I76" i="15"/>
  <c r="I74" i="15"/>
  <c r="I53" i="15"/>
  <c r="I72" i="15"/>
  <c r="I68" i="15"/>
  <c r="I66" i="15"/>
  <c r="I64" i="15"/>
  <c r="I63" i="15"/>
  <c r="I61" i="15"/>
  <c r="I56" i="15"/>
  <c r="I55" i="15"/>
  <c r="I48" i="15"/>
  <c r="I46" i="15"/>
  <c r="I44" i="15"/>
  <c r="I42" i="15"/>
  <c r="I39" i="15"/>
  <c r="I19" i="15"/>
  <c r="I13" i="15"/>
  <c r="I11" i="15"/>
  <c r="Q5" i="18"/>
  <c r="R5" i="18" s="1"/>
  <c r="Q8" i="18"/>
  <c r="O8" i="15" s="1"/>
  <c r="BA180" i="34"/>
  <c r="AU180" i="34"/>
  <c r="AW180" i="34"/>
  <c r="AX180" i="34"/>
  <c r="AF180" i="34"/>
  <c r="X179" i="34"/>
  <c r="AJ178" i="34"/>
  <c r="BJ179" i="34"/>
  <c r="BG179" i="34"/>
  <c r="BU179" i="34"/>
  <c r="AE179" i="34"/>
  <c r="AA179" i="34"/>
  <c r="AG179" i="34"/>
  <c r="AW179" i="34"/>
  <c r="BM179" i="34"/>
  <c r="CC179" i="34"/>
  <c r="AC179" i="34"/>
  <c r="BI179" i="34"/>
  <c r="AS180" i="34"/>
  <c r="AO179" i="34"/>
  <c r="BQ178" i="34"/>
  <c r="X178" i="34"/>
  <c r="AN178" i="34"/>
  <c r="BD178" i="34"/>
  <c r="BT178" i="34"/>
  <c r="AP178" i="34"/>
  <c r="AA178" i="34"/>
  <c r="AQ178" i="34"/>
  <c r="BI178" i="34"/>
  <c r="BL178" i="34"/>
  <c r="BC178" i="34"/>
  <c r="CC178" i="34"/>
  <c r="BA178" i="34"/>
  <c r="AC178" i="34"/>
  <c r="BD180" i="34"/>
  <c r="BH180" i="34"/>
  <c r="AR178" i="34"/>
  <c r="AZ178" i="34"/>
  <c r="BY179" i="34"/>
  <c r="BV178" i="34"/>
  <c r="V180" i="34"/>
  <c r="AR180" i="34"/>
  <c r="AT178" i="34"/>
  <c r="BZ178" i="34"/>
  <c r="AX179" i="34"/>
  <c r="BN179" i="34"/>
  <c r="AR179" i="34"/>
  <c r="AJ179" i="34"/>
  <c r="BH178" i="34"/>
  <c r="CC180" i="34"/>
  <c r="AQ179" i="34"/>
  <c r="V179" i="34"/>
  <c r="BX178" i="34"/>
  <c r="AH180" i="34"/>
  <c r="AS179" i="34"/>
  <c r="AN179" i="34"/>
  <c r="AS178" i="34"/>
  <c r="AK180" i="34"/>
  <c r="AU179" i="34"/>
  <c r="Y178" i="34"/>
  <c r="BP178" i="34"/>
  <c r="BI180" i="34"/>
  <c r="BK179" i="34"/>
  <c r="AO178" i="34"/>
  <c r="AK178" i="34"/>
  <c r="AF178" i="34"/>
  <c r="AV178" i="34"/>
  <c r="CB178" i="34"/>
  <c r="AZ179" i="34"/>
  <c r="BP179" i="34"/>
  <c r="AD179" i="34"/>
  <c r="BO179" i="34"/>
  <c r="BE178" i="34"/>
  <c r="BJ178" i="34"/>
  <c r="CB180" i="34"/>
  <c r="BY180" i="34"/>
  <c r="BZ179" i="34"/>
  <c r="BQ179" i="34"/>
  <c r="BF178" i="34"/>
  <c r="BS178" i="34"/>
  <c r="BM180" i="34"/>
  <c r="V178" i="34"/>
  <c r="AL178" i="34"/>
  <c r="BB178" i="34"/>
  <c r="BR178" i="34"/>
  <c r="AP179" i="34"/>
  <c r="BF179" i="34"/>
  <c r="BV179" i="34"/>
  <c r="AT180" i="34"/>
  <c r="CA179" i="34"/>
  <c r="BD179" i="34"/>
  <c r="BG178" i="34"/>
  <c r="W178" i="34"/>
  <c r="BN180" i="34"/>
  <c r="BW179" i="34"/>
  <c r="BL179" i="34"/>
  <c r="BT179" i="34"/>
  <c r="BW178" i="34"/>
  <c r="AM178" i="34"/>
  <c r="AZ180" i="34"/>
  <c r="AB179" i="34"/>
  <c r="CB179" i="34"/>
  <c r="BE179" i="34"/>
  <c r="AB178" i="34"/>
  <c r="BP180" i="34"/>
  <c r="AG178" i="34"/>
  <c r="AW178" i="34"/>
  <c r="BM178" i="34"/>
  <c r="AO180" i="34"/>
  <c r="BN178" i="34"/>
  <c r="AL179" i="34"/>
  <c r="BB179" i="34"/>
  <c r="BR179" i="34"/>
  <c r="Z180" i="34"/>
  <c r="AP180" i="34"/>
  <c r="AI178" i="34"/>
  <c r="AY178" i="34"/>
  <c r="BO178" i="34"/>
  <c r="W179" i="34"/>
  <c r="BC179" i="34"/>
  <c r="BS179" i="34"/>
  <c r="AA180" i="34"/>
  <c r="AQ180" i="34"/>
  <c r="BW180" i="34"/>
  <c r="BR180" i="34"/>
  <c r="AX178" i="34"/>
  <c r="BT180" i="34"/>
  <c r="Y180" i="34"/>
  <c r="Z179" i="34"/>
  <c r="AT179" i="34"/>
  <c r="AH179" i="34"/>
  <c r="AM179" i="34"/>
  <c r="AI180" i="34"/>
  <c r="BF180" i="34"/>
  <c r="BO180" i="34"/>
  <c r="BV180" i="34"/>
  <c r="BH179" i="34"/>
  <c r="AF179" i="34"/>
  <c r="AK179" i="34"/>
  <c r="Y179" i="34"/>
  <c r="BU178" i="34"/>
  <c r="BY178" i="34"/>
  <c r="AH178" i="34"/>
  <c r="AV180" i="34"/>
  <c r="AL180" i="34"/>
  <c r="BX180" i="34"/>
  <c r="BX179" i="34"/>
  <c r="AV179" i="34"/>
  <c r="BA179" i="34"/>
  <c r="Z178" i="34"/>
  <c r="AD178" i="34"/>
  <c r="BL180" i="34"/>
  <c r="BB180" i="34"/>
  <c r="BK180" i="34"/>
  <c r="AE178" i="34"/>
  <c r="AU178" i="34"/>
  <c r="BK178" i="34"/>
  <c r="CA178" i="34"/>
  <c r="AI179" i="34"/>
  <c r="AY179" i="34"/>
  <c r="W180" i="34"/>
  <c r="AM180" i="34"/>
  <c r="BS180" i="34"/>
  <c r="AD180" i="34"/>
  <c r="AY180" i="34"/>
  <c r="BC180" i="34"/>
  <c r="BG180" i="34"/>
  <c r="BJ180" i="34"/>
  <c r="CA180" i="34"/>
  <c r="X180" i="34"/>
  <c r="AE180" i="34"/>
  <c r="BZ180" i="34"/>
  <c r="AJ180" i="34"/>
  <c r="AN180" i="34"/>
  <c r="AB180" i="34"/>
  <c r="AG180" i="34"/>
  <c r="BQ180" i="34"/>
  <c r="BE180" i="34"/>
  <c r="AC180" i="34"/>
  <c r="BU180" i="34"/>
  <c r="V132" i="34"/>
  <c r="V126" i="34"/>
  <c r="V134" i="34"/>
  <c r="V133" i="34"/>
  <c r="V125" i="34"/>
  <c r="V95" i="34"/>
  <c r="T29" i="15"/>
  <c r="T30" i="15"/>
  <c r="T31" i="15"/>
  <c r="T24" i="15"/>
  <c r="T25" i="15"/>
  <c r="T14" i="15"/>
  <c r="T15" i="15"/>
  <c r="T16" i="15"/>
  <c r="T23" i="15"/>
  <c r="V55" i="34"/>
  <c r="T22" i="15" s="1"/>
  <c r="U31" i="15"/>
  <c r="U29" i="15"/>
  <c r="U30" i="15"/>
  <c r="V69" i="34"/>
  <c r="T28" i="15" s="1"/>
  <c r="U24" i="15"/>
  <c r="U25" i="15"/>
  <c r="U14" i="15"/>
  <c r="U15" i="15"/>
  <c r="U16" i="15"/>
  <c r="U23" i="15"/>
  <c r="W55" i="34"/>
  <c r="U22" i="15" s="1"/>
  <c r="V31" i="15"/>
  <c r="V30" i="15"/>
  <c r="V29" i="15"/>
  <c r="W69" i="34"/>
  <c r="U28" i="15" s="1"/>
  <c r="V24" i="15"/>
  <c r="V25" i="15"/>
  <c r="V14" i="15"/>
  <c r="V15" i="15"/>
  <c r="V16" i="15"/>
  <c r="V23" i="15"/>
  <c r="X55" i="34"/>
  <c r="V22" i="15" s="1"/>
  <c r="W29" i="15"/>
  <c r="W31" i="15"/>
  <c r="W30" i="15"/>
  <c r="X69" i="34"/>
  <c r="V28" i="15" s="1"/>
  <c r="W24" i="15"/>
  <c r="W25" i="15"/>
  <c r="W14" i="15"/>
  <c r="W15" i="15"/>
  <c r="W16" i="15"/>
  <c r="W23" i="15"/>
  <c r="Y55" i="34"/>
  <c r="X30" i="15"/>
  <c r="X31" i="15"/>
  <c r="X29" i="15"/>
  <c r="Y69" i="34"/>
  <c r="W28" i="15" s="1"/>
  <c r="X25" i="15"/>
  <c r="X24" i="15"/>
  <c r="X14" i="15"/>
  <c r="X15" i="15"/>
  <c r="X16" i="15"/>
  <c r="X23" i="15"/>
  <c r="Z55" i="34"/>
  <c r="X22" i="15" s="1"/>
  <c r="Y29" i="15"/>
  <c r="Y31" i="15"/>
  <c r="Y30" i="15"/>
  <c r="Z69" i="34"/>
  <c r="X28" i="15" s="1"/>
  <c r="Y25" i="15"/>
  <c r="Y24" i="15"/>
  <c r="Y14" i="15"/>
  <c r="Y15" i="15"/>
  <c r="Y23" i="15"/>
  <c r="Z29" i="15"/>
  <c r="Z30" i="15"/>
  <c r="Z31" i="15"/>
  <c r="AA69" i="34"/>
  <c r="Y28" i="15" s="1"/>
  <c r="AA30" i="15"/>
  <c r="AA29" i="15"/>
  <c r="AA31" i="15"/>
  <c r="AB69" i="34"/>
  <c r="Z28" i="15" s="1"/>
  <c r="AB31" i="15"/>
  <c r="AB29" i="15"/>
  <c r="AB30" i="15"/>
  <c r="AC69" i="34"/>
  <c r="AA28" i="15" s="1"/>
  <c r="AC31" i="15"/>
  <c r="AC30" i="15"/>
  <c r="AC29" i="15"/>
  <c r="AD69" i="34"/>
  <c r="AB28" i="15" s="1"/>
  <c r="AD30" i="15"/>
  <c r="AD29" i="15"/>
  <c r="AD31" i="15"/>
  <c r="AE69" i="34"/>
  <c r="AC28" i="15" s="1"/>
  <c r="AE31" i="15"/>
  <c r="AE30" i="15"/>
  <c r="AE29" i="15"/>
  <c r="AF69" i="34"/>
  <c r="AD28" i="15" s="1"/>
  <c r="AF31" i="15"/>
  <c r="AF30" i="15"/>
  <c r="AF29" i="15"/>
  <c r="AG69" i="34"/>
  <c r="AE28" i="15" s="1"/>
  <c r="AG30" i="15"/>
  <c r="AG29" i="15"/>
  <c r="AG31" i="15"/>
  <c r="AH69" i="34"/>
  <c r="AF28" i="15" s="1"/>
  <c r="AH30" i="15"/>
  <c r="AH29" i="15"/>
  <c r="AH31" i="15"/>
  <c r="AI69" i="34"/>
  <c r="AG28" i="15" s="1"/>
  <c r="AI30" i="15"/>
  <c r="AI29" i="15"/>
  <c r="AI31" i="15"/>
  <c r="AJ69" i="34"/>
  <c r="AH28" i="15" s="1"/>
  <c r="AJ29" i="15"/>
  <c r="AJ31" i="15"/>
  <c r="AJ30" i="15"/>
  <c r="AK69" i="34"/>
  <c r="AI28" i="15" s="1"/>
  <c r="AK31" i="15"/>
  <c r="AK30" i="15"/>
  <c r="AL69" i="34"/>
  <c r="AJ28" i="15" s="1"/>
  <c r="AM69" i="34"/>
  <c r="AK28" i="15" s="1"/>
  <c r="AK29" i="15"/>
  <c r="AL31" i="15"/>
  <c r="AL30" i="15"/>
  <c r="AN69" i="34"/>
  <c r="AL28" i="15" s="1"/>
  <c r="AL29" i="15"/>
  <c r="AM30" i="15"/>
  <c r="AM31" i="15"/>
  <c r="AO69" i="34"/>
  <c r="AM28" i="15" s="1"/>
  <c r="AM29" i="15"/>
  <c r="AN29" i="15"/>
  <c r="AN30" i="15"/>
  <c r="AP69" i="34"/>
  <c r="AN28" i="15" s="1"/>
  <c r="AN31" i="15"/>
  <c r="AO30" i="15"/>
  <c r="AO29" i="15"/>
  <c r="AO31" i="15"/>
  <c r="AP30" i="15"/>
  <c r="AP29" i="15"/>
  <c r="AP31" i="15"/>
  <c r="AQ69" i="34"/>
  <c r="AO28" i="15" s="1"/>
  <c r="AQ31" i="15"/>
  <c r="AQ29" i="15"/>
  <c r="AQ30" i="15"/>
  <c r="AR69" i="34"/>
  <c r="AP28" i="15" s="1"/>
  <c r="AR30" i="15"/>
  <c r="AR29" i="15"/>
  <c r="AR31" i="15"/>
  <c r="AS69" i="34"/>
  <c r="AQ28" i="15" s="1"/>
  <c r="AS31" i="15"/>
  <c r="AS30" i="15"/>
  <c r="AS29" i="15"/>
  <c r="AT69" i="34"/>
  <c r="AR28" i="15" s="1"/>
  <c r="AT30" i="15"/>
  <c r="AT29" i="15"/>
  <c r="AT31" i="15"/>
  <c r="AU69" i="34"/>
  <c r="AS28" i="15" s="1"/>
  <c r="AU30" i="15"/>
  <c r="AU31" i="15"/>
  <c r="AU29" i="15"/>
  <c r="AV69" i="34"/>
  <c r="AT28" i="15" s="1"/>
  <c r="AV30" i="15"/>
  <c r="AV31" i="15"/>
  <c r="AV29" i="15"/>
  <c r="AW69" i="34"/>
  <c r="AU28" i="15" s="1"/>
  <c r="AW31" i="15"/>
  <c r="AW29" i="15"/>
  <c r="AW30" i="15"/>
  <c r="AX69" i="34"/>
  <c r="AV28" i="15" s="1"/>
  <c r="AX29" i="15"/>
  <c r="AX30" i="15"/>
  <c r="AX31" i="15"/>
  <c r="AY69" i="34"/>
  <c r="AW28" i="15" s="1"/>
  <c r="AY29" i="15"/>
  <c r="AY30" i="15"/>
  <c r="AY31" i="15"/>
  <c r="AZ69" i="34"/>
  <c r="AX28" i="15" s="1"/>
  <c r="AZ29" i="15"/>
  <c r="AZ30" i="15"/>
  <c r="AZ31" i="15"/>
  <c r="BA69" i="34"/>
  <c r="AY28" i="15" s="1"/>
  <c r="BA29" i="15"/>
  <c r="BA31" i="15"/>
  <c r="BA30" i="15"/>
  <c r="BB69" i="34"/>
  <c r="AZ28" i="15" s="1"/>
  <c r="BB30" i="15"/>
  <c r="BB29" i="15"/>
  <c r="BB31" i="15"/>
  <c r="BC69" i="34"/>
  <c r="BA28" i="15" s="1"/>
  <c r="BC30" i="15"/>
  <c r="BC29" i="15"/>
  <c r="BC31" i="15"/>
  <c r="BD69" i="34"/>
  <c r="BB28" i="15" s="1"/>
  <c r="BD30" i="15"/>
  <c r="BD31" i="15"/>
  <c r="BD29" i="15"/>
  <c r="BE69" i="34"/>
  <c r="BC28" i="15" s="1"/>
  <c r="BE31" i="15"/>
  <c r="BE30" i="15"/>
  <c r="BE29" i="15"/>
  <c r="BF69" i="34"/>
  <c r="BD28" i="15" s="1"/>
  <c r="BF30" i="15"/>
  <c r="BF31" i="15"/>
  <c r="BF29" i="15"/>
  <c r="BG69" i="34"/>
  <c r="BE28" i="15" s="1"/>
  <c r="BG30" i="15"/>
  <c r="BG31" i="15"/>
  <c r="BG29" i="15"/>
  <c r="BH69" i="34"/>
  <c r="BF28" i="15" s="1"/>
  <c r="BI69" i="34"/>
  <c r="BG28" i="15" s="1"/>
  <c r="BH30" i="15"/>
  <c r="BH31" i="15"/>
  <c r="BH29" i="15"/>
  <c r="BI31" i="15"/>
  <c r="BI29" i="15"/>
  <c r="BI30" i="15"/>
  <c r="BJ69" i="34"/>
  <c r="BH28" i="15" s="1"/>
  <c r="BJ30" i="15"/>
  <c r="BJ31" i="15"/>
  <c r="BJ29" i="15"/>
  <c r="BK69" i="34"/>
  <c r="BI28" i="15" s="1"/>
  <c r="BK31" i="15"/>
  <c r="BK29" i="15"/>
  <c r="BK30" i="15"/>
  <c r="BL69" i="34"/>
  <c r="BJ28" i="15" s="1"/>
  <c r="BL30" i="15"/>
  <c r="BL31" i="15"/>
  <c r="BL29" i="15"/>
  <c r="BM69" i="34"/>
  <c r="BK28" i="15" s="1"/>
  <c r="BN69" i="34"/>
  <c r="BM30" i="15"/>
  <c r="BM29" i="15"/>
  <c r="BO69" i="34"/>
  <c r="BM28" i="15" s="1"/>
  <c r="BM31" i="15"/>
  <c r="BN30" i="15"/>
  <c r="BN31" i="15"/>
  <c r="BN29" i="15"/>
  <c r="BO30" i="15"/>
  <c r="BO29" i="15"/>
  <c r="BO31" i="15"/>
  <c r="BP69" i="34"/>
  <c r="BN28" i="15" s="1"/>
  <c r="BQ69" i="34"/>
  <c r="BO28" i="15" s="1"/>
  <c r="BP29" i="15"/>
  <c r="BP31" i="15"/>
  <c r="BP30" i="15"/>
  <c r="BQ30" i="15"/>
  <c r="BQ31" i="15"/>
  <c r="BQ29" i="15"/>
  <c r="BR69" i="34"/>
  <c r="BP28" i="15" s="1"/>
  <c r="BR30" i="15"/>
  <c r="BR29" i="15"/>
  <c r="BR31" i="15"/>
  <c r="BS69" i="34"/>
  <c r="BQ28" i="15" s="1"/>
  <c r="BT69" i="34"/>
  <c r="BR28" i="15" s="1"/>
  <c r="BS30" i="15"/>
  <c r="BS31" i="15"/>
  <c r="BS29" i="15"/>
  <c r="BT31" i="15"/>
  <c r="BT30" i="15"/>
  <c r="BT29" i="15"/>
  <c r="BU69" i="34"/>
  <c r="BS28" i="15" s="1"/>
  <c r="BU31" i="15"/>
  <c r="BU30" i="15"/>
  <c r="BU29" i="15"/>
  <c r="BV69" i="34"/>
  <c r="BT28" i="15" s="1"/>
  <c r="BV31" i="15"/>
  <c r="BV30" i="15"/>
  <c r="BV29" i="15"/>
  <c r="BW69" i="34"/>
  <c r="BU28" i="15" s="1"/>
  <c r="BW29" i="15"/>
  <c r="BW31" i="15"/>
  <c r="BW30" i="15"/>
  <c r="BX69" i="34"/>
  <c r="BV28" i="15" s="1"/>
  <c r="BX30" i="15"/>
  <c r="BX29" i="15"/>
  <c r="BY69" i="34"/>
  <c r="BW28" i="15" s="1"/>
  <c r="BZ69" i="34"/>
  <c r="BX28" i="15" s="1"/>
  <c r="BX31" i="15"/>
  <c r="BY30" i="15"/>
  <c r="BY31" i="15"/>
  <c r="BY29" i="15"/>
  <c r="BZ30" i="15"/>
  <c r="BZ31" i="15"/>
  <c r="BZ29" i="15"/>
  <c r="CA69" i="34"/>
  <c r="BY28" i="15" s="1"/>
  <c r="CA30" i="15"/>
  <c r="CA31" i="15"/>
  <c r="CA29" i="15"/>
  <c r="CB69" i="34"/>
  <c r="BZ28" i="15" s="1"/>
  <c r="CC69" i="34"/>
  <c r="AC21" i="34" l="1"/>
  <c r="AB53" i="34"/>
  <c r="Z25" i="15" s="1"/>
  <c r="AB38" i="34"/>
  <c r="Z17" i="15" s="1"/>
  <c r="AB36" i="34"/>
  <c r="Z16" i="15" s="1"/>
  <c r="AB34" i="34"/>
  <c r="Z14" i="15" s="1"/>
  <c r="AB51" i="34"/>
  <c r="Z23" i="15" s="1"/>
  <c r="AB37" i="34"/>
  <c r="AB35" i="34"/>
  <c r="AB52" i="34"/>
  <c r="Z24" i="15" s="1"/>
  <c r="AB54" i="34"/>
  <c r="Z26" i="15" s="1"/>
  <c r="AW3" i="18"/>
  <c r="AW3" i="34" s="1"/>
  <c r="L8" i="29"/>
  <c r="AP3" i="15"/>
  <c r="AQ3" i="34"/>
  <c r="BD3" i="18"/>
  <c r="BD3" i="34" s="1"/>
  <c r="T8" i="15"/>
  <c r="AQ3" i="15"/>
  <c r="V4" i="18"/>
  <c r="V4" i="34" s="1"/>
  <c r="AS3" i="34"/>
  <c r="Y16" i="15"/>
  <c r="Z15" i="15"/>
  <c r="W88" i="34"/>
  <c r="AI137" i="34"/>
  <c r="Z138" i="34"/>
  <c r="AQ137" i="34"/>
  <c r="X138" i="34"/>
  <c r="AG138" i="34"/>
  <c r="AP137" i="34"/>
  <c r="AD137" i="34"/>
  <c r="X137" i="34"/>
  <c r="AR138" i="34"/>
  <c r="AF138" i="34"/>
  <c r="AO137" i="34"/>
  <c r="AC137" i="34"/>
  <c r="AL138" i="34"/>
  <c r="AH138" i="34"/>
  <c r="AE137" i="34"/>
  <c r="AQ138" i="34"/>
  <c r="AE138" i="34"/>
  <c r="AN137" i="34"/>
  <c r="AB137" i="34"/>
  <c r="AP138" i="34"/>
  <c r="AD138" i="34"/>
  <c r="AM137" i="34"/>
  <c r="AA137" i="34"/>
  <c r="Y138" i="34"/>
  <c r="W138" i="34"/>
  <c r="AJ138" i="34"/>
  <c r="AG137" i="34"/>
  <c r="AI138" i="34"/>
  <c r="AR137" i="34"/>
  <c r="AF137" i="34"/>
  <c r="AN138" i="34"/>
  <c r="AB138" i="34"/>
  <c r="AK137" i="34"/>
  <c r="Y137" i="34"/>
  <c r="W105" i="34"/>
  <c r="AK138" i="34"/>
  <c r="AH137" i="34"/>
  <c r="W137" i="34"/>
  <c r="AO138" i="34"/>
  <c r="AC138" i="34"/>
  <c r="AL137" i="34"/>
  <c r="Z137" i="34"/>
  <c r="AM138" i="34"/>
  <c r="AA138" i="34"/>
  <c r="AJ137" i="34"/>
  <c r="AT104" i="34"/>
  <c r="AT103" i="34"/>
  <c r="X102" i="34"/>
  <c r="X136" i="34" s="1"/>
  <c r="AA86" i="34"/>
  <c r="N8" i="15"/>
  <c r="V8" i="34"/>
  <c r="AH3" i="15"/>
  <c r="AK3" i="34"/>
  <c r="W5" i="34"/>
  <c r="X5" i="18"/>
  <c r="V5" i="15" s="1"/>
  <c r="V153" i="34"/>
  <c r="X85" i="34"/>
  <c r="W125" i="34"/>
  <c r="W135" i="34"/>
  <c r="X94" i="34"/>
  <c r="X95" i="34" s="1"/>
  <c r="X135" i="34"/>
  <c r="Y101" i="34"/>
  <c r="W134" i="34"/>
  <c r="W126" i="34"/>
  <c r="BC3" i="18"/>
  <c r="BA3" i="15" s="1"/>
  <c r="V6" i="18"/>
  <c r="T6" i="15" s="1"/>
  <c r="W6" i="18"/>
  <c r="U6" i="15" s="1"/>
  <c r="W8" i="34"/>
  <c r="X8" i="18"/>
  <c r="Y8" i="18" s="1"/>
  <c r="W8" i="15" s="1"/>
  <c r="P8" i="34"/>
  <c r="BI3" i="18"/>
  <c r="BG3" i="15" s="1"/>
  <c r="O5" i="15"/>
  <c r="AN3" i="15"/>
  <c r="AL3" i="15"/>
  <c r="AV3" i="18"/>
  <c r="AV3" i="34" s="1"/>
  <c r="BB3" i="18"/>
  <c r="BB3" i="34" s="1"/>
  <c r="AZ3" i="18"/>
  <c r="AZ3" i="34" s="1"/>
  <c r="BE3" i="34"/>
  <c r="AK3" i="15"/>
  <c r="AF3" i="15"/>
  <c r="Q5" i="34"/>
  <c r="AX3" i="18"/>
  <c r="BJ3" i="18" s="1"/>
  <c r="BH3" i="15" s="1"/>
  <c r="AO3" i="34"/>
  <c r="AL3" i="34"/>
  <c r="AM3" i="15"/>
  <c r="AY3" i="34"/>
  <c r="AW3" i="15"/>
  <c r="BK3" i="18"/>
  <c r="BW3" i="18" s="1"/>
  <c r="AG3" i="15"/>
  <c r="AU3" i="18"/>
  <c r="AS3" i="15" s="1"/>
  <c r="BQ3" i="18"/>
  <c r="AM3" i="34"/>
  <c r="N4" i="15"/>
  <c r="P4" i="34"/>
  <c r="R5" i="34"/>
  <c r="P5" i="15"/>
  <c r="S5" i="18"/>
  <c r="Q4" i="18"/>
  <c r="AT3" i="18"/>
  <c r="AY3" i="15"/>
  <c r="R8" i="18"/>
  <c r="W4" i="18"/>
  <c r="BM3" i="18"/>
  <c r="Q8" i="34"/>
  <c r="U8" i="15"/>
  <c r="M8" i="29"/>
  <c r="W132" i="34"/>
  <c r="BN184" i="34"/>
  <c r="W95" i="34"/>
  <c r="Z184" i="34"/>
  <c r="X64" i="15" s="1"/>
  <c r="X63" i="15" s="1"/>
  <c r="W71" i="34"/>
  <c r="W156" i="34" s="1"/>
  <c r="W157" i="34" s="1"/>
  <c r="AA184" i="34"/>
  <c r="Y64" i="15" s="1"/>
  <c r="Y63" i="15" s="1"/>
  <c r="W24" i="34"/>
  <c r="AA71" i="34"/>
  <c r="AA156" i="34" s="1"/>
  <c r="AA157" i="34" s="1"/>
  <c r="X184" i="34"/>
  <c r="W22" i="34"/>
  <c r="BM184" i="34"/>
  <c r="BK64" i="15" s="1"/>
  <c r="BK63" i="15" s="1"/>
  <c r="AL184" i="34"/>
  <c r="AU184" i="34"/>
  <c r="BZ184" i="34"/>
  <c r="BX64" i="15" s="1"/>
  <c r="BX63" i="15" s="1"/>
  <c r="AK184" i="34"/>
  <c r="CB184" i="34"/>
  <c r="BZ64" i="15" s="1"/>
  <c r="BZ63" i="15" s="1"/>
  <c r="V107" i="34"/>
  <c r="V142" i="34" s="1"/>
  <c r="X71" i="34"/>
  <c r="X156" i="34" s="1"/>
  <c r="X157" i="34" s="1"/>
  <c r="CA184" i="34"/>
  <c r="BB184" i="34"/>
  <c r="BO184" i="34"/>
  <c r="BH184" i="34"/>
  <c r="BF184" i="34"/>
  <c r="BK184" i="34"/>
  <c r="BT184" i="34"/>
  <c r="BR64" i="15" s="1"/>
  <c r="BR63" i="15" s="1"/>
  <c r="BP184" i="34"/>
  <c r="BN64" i="15" s="1"/>
  <c r="BN63" i="15" s="1"/>
  <c r="AZ184" i="34"/>
  <c r="AV184" i="34"/>
  <c r="BY184" i="34"/>
  <c r="BW64" i="15" s="1"/>
  <c r="BW63" i="15" s="1"/>
  <c r="Y184" i="34"/>
  <c r="BS184" i="34"/>
  <c r="BQ64" i="15" s="1"/>
  <c r="BQ63" i="15" s="1"/>
  <c r="AC184" i="34"/>
  <c r="AG184" i="34"/>
  <c r="BL184" i="34"/>
  <c r="BJ64" i="15" s="1"/>
  <c r="BJ63" i="15" s="1"/>
  <c r="BI184" i="34"/>
  <c r="BG64" i="15" s="1"/>
  <c r="BG63" i="15" s="1"/>
  <c r="AB184" i="34"/>
  <c r="AQ184" i="34"/>
  <c r="AF184" i="34"/>
  <c r="AT184" i="34"/>
  <c r="AR184" i="34"/>
  <c r="AW184" i="34"/>
  <c r="W127" i="34"/>
  <c r="Z71" i="34"/>
  <c r="Z160" i="34" s="1"/>
  <c r="Z161" i="34" s="1"/>
  <c r="Y22" i="15"/>
  <c r="AO184" i="34"/>
  <c r="AD184" i="34"/>
  <c r="BA184" i="34"/>
  <c r="AY64" i="15" s="1"/>
  <c r="AY63" i="15" s="1"/>
  <c r="AN184" i="34"/>
  <c r="AL64" i="15" s="1"/>
  <c r="AL63" i="15" s="1"/>
  <c r="W184" i="34"/>
  <c r="CC184" i="34"/>
  <c r="CA64" i="15" s="1"/>
  <c r="CA63" i="15" s="1"/>
  <c r="BG184" i="34"/>
  <c r="BE64" i="15" s="1"/>
  <c r="V129" i="34"/>
  <c r="T36" i="15" s="1"/>
  <c r="BJ184" i="34"/>
  <c r="Y71" i="34"/>
  <c r="Y206" i="34" s="1"/>
  <c r="BE184" i="34"/>
  <c r="V184" i="34"/>
  <c r="AI184" i="34"/>
  <c r="BV184" i="34"/>
  <c r="BT64" i="15" s="1"/>
  <c r="BT63" i="15" s="1"/>
  <c r="AY184" i="34"/>
  <c r="BD184" i="34"/>
  <c r="BB64" i="15" s="1"/>
  <c r="BB63" i="15" s="1"/>
  <c r="AX184" i="34"/>
  <c r="Y100" i="34"/>
  <c r="Z100" i="34" s="1"/>
  <c r="X134" i="34"/>
  <c r="Y92" i="34"/>
  <c r="Y126" i="34" s="1"/>
  <c r="X126" i="34"/>
  <c r="AE184" i="34"/>
  <c r="BU184" i="34"/>
  <c r="AP184" i="34"/>
  <c r="AH184" i="34"/>
  <c r="BC184" i="34"/>
  <c r="BR184" i="34"/>
  <c r="CA28" i="15"/>
  <c r="BQ184" i="34"/>
  <c r="BW184" i="34"/>
  <c r="AM184" i="34"/>
  <c r="V122" i="34"/>
  <c r="T35" i="15" s="1"/>
  <c r="W22" i="15"/>
  <c r="AJ184" i="34"/>
  <c r="AS184" i="34"/>
  <c r="BX184" i="34"/>
  <c r="V139" i="34"/>
  <c r="T37" i="15" s="1"/>
  <c r="W133" i="34"/>
  <c r="BL28" i="15"/>
  <c r="Y91" i="34"/>
  <c r="X125" i="34"/>
  <c r="Y93" i="34"/>
  <c r="X127" i="34"/>
  <c r="X132" i="34"/>
  <c r="Y98" i="34"/>
  <c r="X133" i="34"/>
  <c r="Y99" i="34"/>
  <c r="X22" i="34"/>
  <c r="V71" i="34"/>
  <c r="AB55" i="34" l="1"/>
  <c r="AD21" i="34"/>
  <c r="AC54" i="34"/>
  <c r="AA26" i="15" s="1"/>
  <c r="AC52" i="34"/>
  <c r="AA24" i="15" s="1"/>
  <c r="AC53" i="34"/>
  <c r="AA25" i="15" s="1"/>
  <c r="AC51" i="34"/>
  <c r="AC38" i="34"/>
  <c r="AA17" i="15" s="1"/>
  <c r="AC36" i="34"/>
  <c r="AA16" i="15" s="1"/>
  <c r="AC34" i="34"/>
  <c r="AC35" i="34"/>
  <c r="AA15" i="15" s="1"/>
  <c r="AC37" i="34"/>
  <c r="BP3" i="18"/>
  <c r="BN3" i="15" s="1"/>
  <c r="BU3" i="18"/>
  <c r="BU3" i="34" s="1"/>
  <c r="AU3" i="15"/>
  <c r="T4" i="15"/>
  <c r="BB3" i="15"/>
  <c r="Y5" i="18"/>
  <c r="W5" i="15" s="1"/>
  <c r="AX3" i="34"/>
  <c r="X5" i="34"/>
  <c r="BI3" i="34"/>
  <c r="AB40" i="34"/>
  <c r="Z13" i="15" s="1"/>
  <c r="X122" i="34"/>
  <c r="X88" i="34"/>
  <c r="AU103" i="34"/>
  <c r="AT137" i="34"/>
  <c r="AU104" i="34"/>
  <c r="AT138" i="34"/>
  <c r="X105" i="34"/>
  <c r="Y102" i="34"/>
  <c r="Y136" i="34" s="1"/>
  <c r="AB86" i="34"/>
  <c r="X160" i="34"/>
  <c r="X161" i="34" s="1"/>
  <c r="V6" i="34"/>
  <c r="BO3" i="18"/>
  <c r="BM3" i="15" s="1"/>
  <c r="X6" i="18"/>
  <c r="V6" i="15" s="1"/>
  <c r="W6" i="34"/>
  <c r="BC3" i="34"/>
  <c r="V156" i="34"/>
  <c r="V157" i="34" s="1"/>
  <c r="W122" i="34"/>
  <c r="U35" i="15" s="1"/>
  <c r="W107" i="34"/>
  <c r="W142" i="34" s="1"/>
  <c r="X128" i="34"/>
  <c r="X129" i="34" s="1"/>
  <c r="Y94" i="34"/>
  <c r="Y95" i="34" s="1"/>
  <c r="Y135" i="34"/>
  <c r="Z101" i="34"/>
  <c r="W160" i="34"/>
  <c r="W161" i="34" s="1"/>
  <c r="Y156" i="34"/>
  <c r="Y157" i="34" s="1"/>
  <c r="W139" i="34"/>
  <c r="U37" i="15" s="1"/>
  <c r="W206" i="34"/>
  <c r="W208" i="34" s="1"/>
  <c r="U58" i="15" s="1"/>
  <c r="AA206" i="34"/>
  <c r="AA160" i="34"/>
  <c r="AA161" i="34" s="1"/>
  <c r="X206" i="34"/>
  <c r="X208" i="34" s="1"/>
  <c r="V58" i="15" s="1"/>
  <c r="Z126" i="34"/>
  <c r="W129" i="34"/>
  <c r="U36" i="15" s="1"/>
  <c r="Y134" i="34"/>
  <c r="Y160" i="34"/>
  <c r="Y161" i="34" s="1"/>
  <c r="BJ3" i="34"/>
  <c r="BV3" i="18"/>
  <c r="BT3" i="15" s="1"/>
  <c r="V8" i="15"/>
  <c r="CB3" i="18"/>
  <c r="BZ3" i="15" s="1"/>
  <c r="AT64" i="15"/>
  <c r="AT63" i="15" s="1"/>
  <c r="Y8" i="34"/>
  <c r="AT3" i="15"/>
  <c r="X8" i="34"/>
  <c r="Z8" i="18"/>
  <c r="X8" i="15" s="1"/>
  <c r="X4" i="18"/>
  <c r="X4" i="34" s="1"/>
  <c r="Y6" i="18"/>
  <c r="Y6" i="34" s="1"/>
  <c r="AX3" i="15"/>
  <c r="Y4" i="18"/>
  <c r="W4" i="15" s="1"/>
  <c r="BP3" i="34"/>
  <c r="BH3" i="18"/>
  <c r="BT3" i="18" s="1"/>
  <c r="BT3" i="34" s="1"/>
  <c r="BL3" i="18"/>
  <c r="BJ3" i="15" s="1"/>
  <c r="AV3" i="15"/>
  <c r="BN3" i="18"/>
  <c r="AZ3" i="15"/>
  <c r="BG3" i="18"/>
  <c r="BS3" i="18" s="1"/>
  <c r="AI64" i="15"/>
  <c r="AI63" i="15" s="1"/>
  <c r="BL64" i="15"/>
  <c r="BL63" i="15" s="1"/>
  <c r="BS3" i="15"/>
  <c r="AU3" i="34"/>
  <c r="V64" i="15"/>
  <c r="V63" i="15" s="1"/>
  <c r="CC3" i="18"/>
  <c r="BQ3" i="34"/>
  <c r="BO3" i="15"/>
  <c r="AX64" i="15"/>
  <c r="AX63" i="15" s="1"/>
  <c r="BI3" i="15"/>
  <c r="BK3" i="34"/>
  <c r="R8" i="34"/>
  <c r="R4" i="18"/>
  <c r="N8" i="29"/>
  <c r="S8" i="18"/>
  <c r="P8" i="15"/>
  <c r="BV3" i="34"/>
  <c r="AT3" i="34"/>
  <c r="BF3" i="18"/>
  <c r="AR3" i="15"/>
  <c r="O4" i="15"/>
  <c r="Q4" i="34"/>
  <c r="BY3" i="18"/>
  <c r="BM3" i="34"/>
  <c r="BK3" i="15"/>
  <c r="U4" i="15"/>
  <c r="W4" i="34"/>
  <c r="BU3" i="15"/>
  <c r="BW3" i="34"/>
  <c r="S5" i="34"/>
  <c r="Q5" i="15"/>
  <c r="T5" i="18"/>
  <c r="AE64" i="15"/>
  <c r="AE63" i="15" s="1"/>
  <c r="AA64" i="15"/>
  <c r="AA63" i="15" s="1"/>
  <c r="U64" i="15"/>
  <c r="U63" i="15" s="1"/>
  <c r="AZ64" i="15"/>
  <c r="AZ63" i="15" s="1"/>
  <c r="BI64" i="15"/>
  <c r="BI63" i="15" s="1"/>
  <c r="AG64" i="15"/>
  <c r="AG63" i="15" s="1"/>
  <c r="AJ64" i="15"/>
  <c r="AJ63" i="15" s="1"/>
  <c r="V193" i="34"/>
  <c r="T42" i="15" s="1"/>
  <c r="W64" i="15"/>
  <c r="W63" i="15" s="1"/>
  <c r="BH64" i="15"/>
  <c r="BH63" i="15" s="1"/>
  <c r="Y24" i="34"/>
  <c r="AW64" i="15"/>
  <c r="AW63" i="15" s="1"/>
  <c r="AP64" i="15"/>
  <c r="AP63" i="15" s="1"/>
  <c r="V141" i="34"/>
  <c r="T34" i="15" s="1"/>
  <c r="AS64" i="15"/>
  <c r="AS63" i="15" s="1"/>
  <c r="T64" i="15"/>
  <c r="T63" i="15" s="1"/>
  <c r="BD64" i="15"/>
  <c r="BD63" i="15" s="1"/>
  <c r="BF64" i="15"/>
  <c r="BF63" i="15" s="1"/>
  <c r="BM64" i="15"/>
  <c r="BM63" i="15" s="1"/>
  <c r="Z156" i="34"/>
  <c r="Z157" i="34" s="1"/>
  <c r="Z206" i="34"/>
  <c r="BY64" i="15"/>
  <c r="BY63" i="15" s="1"/>
  <c r="Z64" i="15"/>
  <c r="Z63" i="15" s="1"/>
  <c r="AM64" i="15"/>
  <c r="AM63" i="15" s="1"/>
  <c r="AU64" i="15"/>
  <c r="AU63" i="15" s="1"/>
  <c r="AR64" i="15"/>
  <c r="AR63" i="15" s="1"/>
  <c r="AD64" i="15"/>
  <c r="AD63" i="15" s="1"/>
  <c r="Y208" i="34"/>
  <c r="W58" i="15" s="1"/>
  <c r="AO64" i="15"/>
  <c r="AO63" i="15" s="1"/>
  <c r="AB64" i="15"/>
  <c r="AB63" i="15" s="1"/>
  <c r="V202" i="34"/>
  <c r="V203" i="34" s="1"/>
  <c r="V25" i="34"/>
  <c r="T11" i="15"/>
  <c r="T19" i="15" s="1"/>
  <c r="T39" i="15" s="1"/>
  <c r="AV64" i="15"/>
  <c r="AV63" i="15" s="1"/>
  <c r="BC64" i="15"/>
  <c r="BC63" i="15" s="1"/>
  <c r="AF64" i="15"/>
  <c r="AN64" i="15"/>
  <c r="AN63" i="15" s="1"/>
  <c r="BS64" i="15"/>
  <c r="BS63" i="15" s="1"/>
  <c r="AC64" i="15"/>
  <c r="AC63" i="15" s="1"/>
  <c r="BP64" i="15"/>
  <c r="BA64" i="15"/>
  <c r="BA63" i="15" s="1"/>
  <c r="BE63" i="15"/>
  <c r="BV64" i="15"/>
  <c r="BV63" i="15" s="1"/>
  <c r="AQ64" i="15"/>
  <c r="AQ63" i="15" s="1"/>
  <c r="AH64" i="15"/>
  <c r="AH63" i="15" s="1"/>
  <c r="AK64" i="15"/>
  <c r="AK63" i="15" s="1"/>
  <c r="BU64" i="15"/>
  <c r="BU63" i="15" s="1"/>
  <c r="BO64" i="15"/>
  <c r="BO63" i="15" s="1"/>
  <c r="Y22" i="34"/>
  <c r="V160" i="34"/>
  <c r="Z98" i="34"/>
  <c r="Y132" i="34"/>
  <c r="Y125" i="34"/>
  <c r="X139" i="34"/>
  <c r="Y127" i="34"/>
  <c r="Z134" i="34"/>
  <c r="AA100" i="34"/>
  <c r="V11" i="15"/>
  <c r="Y133" i="34"/>
  <c r="Z99" i="34"/>
  <c r="Z22" i="34"/>
  <c r="W25" i="34"/>
  <c r="U11" i="15"/>
  <c r="U19" i="15" s="1"/>
  <c r="U39" i="15" s="1"/>
  <c r="W202" i="34"/>
  <c r="W152" i="34"/>
  <c r="W153" i="34" s="1"/>
  <c r="W228" i="34"/>
  <c r="AA23" i="15" l="1"/>
  <c r="AC55" i="34"/>
  <c r="AA14" i="15"/>
  <c r="AC40" i="34"/>
  <c r="AE21" i="34"/>
  <c r="AD37" i="34"/>
  <c r="AD35" i="34"/>
  <c r="AB15" i="15" s="1"/>
  <c r="AD54" i="34"/>
  <c r="AB26" i="15" s="1"/>
  <c r="AD52" i="34"/>
  <c r="AB24" i="15" s="1"/>
  <c r="AD53" i="34"/>
  <c r="AB25" i="15" s="1"/>
  <c r="AD38" i="34"/>
  <c r="AB17" i="15" s="1"/>
  <c r="AD36" i="34"/>
  <c r="AB16" i="15" s="1"/>
  <c r="AD34" i="34"/>
  <c r="AD51" i="34"/>
  <c r="X234" i="34"/>
  <c r="V19" i="15"/>
  <c r="V39" i="15" s="1"/>
  <c r="Z22" i="15"/>
  <c r="AB71" i="34"/>
  <c r="AB160" i="34" s="1"/>
  <c r="AB161" i="34" s="1"/>
  <c r="T43" i="15"/>
  <c r="T45" i="15" s="1"/>
  <c r="Z5" i="18"/>
  <c r="CA3" i="18"/>
  <c r="CA3" i="34" s="1"/>
  <c r="Y5" i="34"/>
  <c r="X6" i="34"/>
  <c r="CB3" i="34"/>
  <c r="AA87" i="34"/>
  <c r="Z88" i="34"/>
  <c r="Y88" i="34"/>
  <c r="Y105" i="34"/>
  <c r="AV104" i="34"/>
  <c r="AU138" i="34"/>
  <c r="X107" i="34"/>
  <c r="X142" i="34" s="1"/>
  <c r="AV103" i="34"/>
  <c r="AU137" i="34"/>
  <c r="Z102" i="34"/>
  <c r="Z136" i="34" s="1"/>
  <c r="W193" i="34"/>
  <c r="U42" i="15" s="1"/>
  <c r="U43" i="15" s="1"/>
  <c r="U45" i="15" s="1"/>
  <c r="AA92" i="34"/>
  <c r="AA126" i="34" s="1"/>
  <c r="Z4" i="18"/>
  <c r="X4" i="15" s="1"/>
  <c r="Z6" i="18"/>
  <c r="Z6" i="34" s="1"/>
  <c r="BX3" i="18"/>
  <c r="BX3" i="34" s="1"/>
  <c r="BL3" i="34"/>
  <c r="BO3" i="34"/>
  <c r="AA8" i="18"/>
  <c r="AA6" i="18" s="1"/>
  <c r="Z8" i="34"/>
  <c r="Y122" i="34"/>
  <c r="AA208" i="34"/>
  <c r="AA85" i="34"/>
  <c r="Y128" i="34"/>
  <c r="Y129" i="34" s="1"/>
  <c r="W36" i="15" s="1"/>
  <c r="Z95" i="34"/>
  <c r="Z135" i="34"/>
  <c r="AA101" i="34"/>
  <c r="W141" i="34"/>
  <c r="U34" i="15" s="1"/>
  <c r="Y4" i="34"/>
  <c r="BH3" i="34"/>
  <c r="BR3" i="15"/>
  <c r="W6" i="15"/>
  <c r="BY3" i="15"/>
  <c r="BF3" i="15"/>
  <c r="V4" i="15"/>
  <c r="Z208" i="34"/>
  <c r="X58" i="15" s="1"/>
  <c r="BG3" i="34"/>
  <c r="BE3" i="15"/>
  <c r="BZ3" i="18"/>
  <c r="BN3" i="34"/>
  <c r="BL3" i="15"/>
  <c r="CC3" i="34"/>
  <c r="CA3" i="15"/>
  <c r="BR3" i="18"/>
  <c r="BD3" i="15"/>
  <c r="BF3" i="34"/>
  <c r="T5" i="34"/>
  <c r="R5" i="15"/>
  <c r="X5" i="15"/>
  <c r="AA5" i="18"/>
  <c r="Z5" i="34"/>
  <c r="BS3" i="34"/>
  <c r="BQ3" i="15"/>
  <c r="T8" i="18"/>
  <c r="Q8" i="15"/>
  <c r="O8" i="29"/>
  <c r="S8" i="34"/>
  <c r="S4" i="18"/>
  <c r="BY3" i="34"/>
  <c r="BW3" i="15"/>
  <c r="P4" i="15"/>
  <c r="R4" i="34"/>
  <c r="Z24" i="34"/>
  <c r="V204" i="34"/>
  <c r="T57" i="15"/>
  <c r="X202" i="34"/>
  <c r="X203" i="34" s="1"/>
  <c r="V57" i="15" s="1"/>
  <c r="V224" i="34"/>
  <c r="V225" i="34" s="1"/>
  <c r="T20" i="15"/>
  <c r="V228" i="34"/>
  <c r="V234" i="34"/>
  <c r="X224" i="34"/>
  <c r="X225" i="34" s="1"/>
  <c r="BP63" i="15"/>
  <c r="AF63" i="15"/>
  <c r="V20" i="15"/>
  <c r="X228" i="34"/>
  <c r="X152" i="34"/>
  <c r="X25" i="34"/>
  <c r="V161" i="34"/>
  <c r="V37" i="15"/>
  <c r="Z133" i="34"/>
  <c r="AA99" i="34"/>
  <c r="X141" i="34"/>
  <c r="V35" i="15"/>
  <c r="V36" i="15"/>
  <c r="AA83" i="34"/>
  <c r="AA84" i="34"/>
  <c r="Z125" i="34"/>
  <c r="AA91" i="34"/>
  <c r="AB100" i="34"/>
  <c r="AA134" i="34"/>
  <c r="Z127" i="34"/>
  <c r="AA93" i="34"/>
  <c r="Y139" i="34"/>
  <c r="W37" i="15" s="1"/>
  <c r="Z132" i="34"/>
  <c r="AA98" i="34"/>
  <c r="AA82" i="34"/>
  <c r="AA22" i="34"/>
  <c r="Y25" i="34"/>
  <c r="Y152" i="34"/>
  <c r="Y228" i="34"/>
  <c r="Y202" i="34"/>
  <c r="Y203" i="34" s="1"/>
  <c r="W57" i="15" s="1"/>
  <c r="W11" i="15"/>
  <c r="W19" i="15" s="1"/>
  <c r="W39" i="15" s="1"/>
  <c r="W203" i="34"/>
  <c r="W224" i="34"/>
  <c r="W234" i="34"/>
  <c r="AB156" i="34" l="1"/>
  <c r="AB157" i="34" s="1"/>
  <c r="Y58" i="15"/>
  <c r="AA209" i="34"/>
  <c r="AB206" i="34"/>
  <c r="AB208" i="34" s="1"/>
  <c r="Z58" i="15" s="1"/>
  <c r="AF21" i="34"/>
  <c r="AE37" i="34"/>
  <c r="AE35" i="34"/>
  <c r="AC15" i="15" s="1"/>
  <c r="AE54" i="34"/>
  <c r="AC26" i="15" s="1"/>
  <c r="AE52" i="34"/>
  <c r="AC24" i="15" s="1"/>
  <c r="AE51" i="34"/>
  <c r="AE38" i="34"/>
  <c r="AC17" i="15" s="1"/>
  <c r="AE36" i="34"/>
  <c r="AC16" i="15" s="1"/>
  <c r="AE34" i="34"/>
  <c r="AE53" i="34"/>
  <c r="AC25" i="15" s="1"/>
  <c r="AA13" i="15"/>
  <c r="AC160" i="34"/>
  <c r="AC161" i="34" s="1"/>
  <c r="AB23" i="15"/>
  <c r="AD55" i="34"/>
  <c r="AA22" i="15"/>
  <c r="AC71" i="34"/>
  <c r="AC156" i="34" s="1"/>
  <c r="AC157" i="34" s="1"/>
  <c r="AB14" i="15"/>
  <c r="AD40" i="34"/>
  <c r="Y193" i="34"/>
  <c r="X193" i="34"/>
  <c r="V42" i="15" s="1"/>
  <c r="V43" i="15" s="1"/>
  <c r="V45" i="15" s="1"/>
  <c r="X6" i="15"/>
  <c r="BV3" i="15"/>
  <c r="Z4" i="34"/>
  <c r="AB8" i="18"/>
  <c r="AB4" i="18" s="1"/>
  <c r="Y8" i="15"/>
  <c r="AB87" i="34"/>
  <c r="AA88" i="34"/>
  <c r="Z105" i="34"/>
  <c r="Z107" i="34" s="1"/>
  <c r="Z142" i="34" s="1"/>
  <c r="AW104" i="34"/>
  <c r="AV138" i="34"/>
  <c r="AW103" i="34"/>
  <c r="AV137" i="34"/>
  <c r="Y107" i="34"/>
  <c r="Y142" i="34" s="1"/>
  <c r="AA102" i="34"/>
  <c r="AA136" i="34" s="1"/>
  <c r="AD86" i="34"/>
  <c r="AB92" i="34"/>
  <c r="AC92" i="34" s="1"/>
  <c r="AA8" i="34"/>
  <c r="AA4" i="18"/>
  <c r="AA4" i="34" s="1"/>
  <c r="X153" i="34"/>
  <c r="V61" i="15" s="1"/>
  <c r="Y153" i="34"/>
  <c r="AB85" i="34"/>
  <c r="Z128" i="34"/>
  <c r="Z129" i="34" s="1"/>
  <c r="X36" i="15" s="1"/>
  <c r="AA94" i="34"/>
  <c r="AA95" i="34" s="1"/>
  <c r="AA135" i="34"/>
  <c r="AB101" i="34"/>
  <c r="BX3" i="15"/>
  <c r="BZ3" i="34"/>
  <c r="AB8" i="34"/>
  <c r="Z8" i="15"/>
  <c r="AA6" i="34"/>
  <c r="Y6" i="15"/>
  <c r="Q4" i="15"/>
  <c r="S4" i="34"/>
  <c r="Y5" i="15"/>
  <c r="AA5" i="34"/>
  <c r="AB5" i="18"/>
  <c r="BR3" i="34"/>
  <c r="BP3" i="15"/>
  <c r="T8" i="34"/>
  <c r="T4" i="18"/>
  <c r="P8" i="29"/>
  <c r="R8" i="15"/>
  <c r="AB22" i="34"/>
  <c r="AA24" i="34"/>
  <c r="AB84" i="34"/>
  <c r="V34" i="15"/>
  <c r="AA133" i="34"/>
  <c r="AB99" i="34"/>
  <c r="AB83" i="34"/>
  <c r="Z122" i="34"/>
  <c r="AB93" i="34"/>
  <c r="AA127" i="34"/>
  <c r="W35" i="15"/>
  <c r="Y141" i="34"/>
  <c r="W34" i="15" s="1"/>
  <c r="AA132" i="34"/>
  <c r="AB98" i="34"/>
  <c r="AC100" i="34"/>
  <c r="AB134" i="34"/>
  <c r="AB82" i="34"/>
  <c r="V211" i="34"/>
  <c r="V213" i="34" s="1"/>
  <c r="T59" i="15" s="1"/>
  <c r="Z139" i="34"/>
  <c r="X37" i="15" s="1"/>
  <c r="AB91" i="34"/>
  <c r="AA125" i="34"/>
  <c r="X204" i="34"/>
  <c r="U57" i="15"/>
  <c r="W204" i="34"/>
  <c r="Y204" i="34"/>
  <c r="Y224" i="34"/>
  <c r="Y225" i="34" s="1"/>
  <c r="Y234" i="34"/>
  <c r="U20" i="15"/>
  <c r="W225" i="34"/>
  <c r="Z228" i="34"/>
  <c r="Z152" i="34"/>
  <c r="X11" i="15"/>
  <c r="X19" i="15" s="1"/>
  <c r="X39" i="15" s="1"/>
  <c r="Z202" i="34"/>
  <c r="Z25" i="34"/>
  <c r="AB209" i="34" l="1"/>
  <c r="T61" i="15"/>
  <c r="AB13" i="15"/>
  <c r="AE40" i="34"/>
  <c r="AC14" i="15"/>
  <c r="AB22" i="15"/>
  <c r="AD71" i="34"/>
  <c r="AD160" i="34" s="1"/>
  <c r="AD161" i="34" s="1"/>
  <c r="AC23" i="15"/>
  <c r="AE55" i="34"/>
  <c r="AC206" i="34"/>
  <c r="AC208" i="34" s="1"/>
  <c r="AG21" i="34"/>
  <c r="AF37" i="34"/>
  <c r="AF35" i="34"/>
  <c r="AD15" i="15" s="1"/>
  <c r="AF54" i="34"/>
  <c r="AD26" i="15" s="1"/>
  <c r="AF52" i="34"/>
  <c r="AD24" i="15" s="1"/>
  <c r="AF53" i="34"/>
  <c r="AD25" i="15" s="1"/>
  <c r="AF34" i="34"/>
  <c r="AF38" i="34"/>
  <c r="AD17" i="15" s="1"/>
  <c r="AF51" i="34"/>
  <c r="AF36" i="34"/>
  <c r="AD16" i="15" s="1"/>
  <c r="T40" i="15"/>
  <c r="AB6" i="18"/>
  <c r="Z6" i="15" s="1"/>
  <c r="AC8" i="18"/>
  <c r="AA8" i="15" s="1"/>
  <c r="Y4" i="15"/>
  <c r="AB88" i="34"/>
  <c r="AA105" i="34"/>
  <c r="AA107" i="34" s="1"/>
  <c r="AA142" i="34" s="1"/>
  <c r="AX103" i="34"/>
  <c r="AW137" i="34"/>
  <c r="AX104" i="34"/>
  <c r="AW138" i="34"/>
  <c r="AB102" i="34"/>
  <c r="AB136" i="34" s="1"/>
  <c r="AE86" i="34"/>
  <c r="W61" i="15"/>
  <c r="AB126" i="34"/>
  <c r="Z153" i="34"/>
  <c r="X61" i="15" s="1"/>
  <c r="AA128" i="34"/>
  <c r="AA129" i="34" s="1"/>
  <c r="Y36" i="15" s="1"/>
  <c r="AB94" i="34"/>
  <c r="AB95" i="34" s="1"/>
  <c r="AB135" i="34"/>
  <c r="AC101" i="34"/>
  <c r="U61" i="15"/>
  <c r="T56" i="15"/>
  <c r="W42" i="15"/>
  <c r="W43" i="15" s="1"/>
  <c r="W45" i="15" s="1"/>
  <c r="Z5" i="15"/>
  <c r="AC5" i="18"/>
  <c r="AB5" i="34"/>
  <c r="Z4" i="15"/>
  <c r="AB4" i="34"/>
  <c r="R4" i="15"/>
  <c r="T4" i="34"/>
  <c r="Z193" i="34"/>
  <c r="X42" i="15" s="1"/>
  <c r="X43" i="15" s="1"/>
  <c r="X45" i="15" s="1"/>
  <c r="AB24" i="34"/>
  <c r="Y211" i="34"/>
  <c r="W211" i="34"/>
  <c r="W213" i="34" s="1"/>
  <c r="U59" i="15" s="1"/>
  <c r="X211" i="34"/>
  <c r="AC99" i="34"/>
  <c r="AB133" i="34"/>
  <c r="AA122" i="34"/>
  <c r="AC82" i="34"/>
  <c r="AC93" i="34"/>
  <c r="AB127" i="34"/>
  <c r="AC134" i="34"/>
  <c r="AD100" i="34"/>
  <c r="X35" i="15"/>
  <c r="Z141" i="34"/>
  <c r="AC126" i="34"/>
  <c r="AC98" i="34"/>
  <c r="AB132" i="34"/>
  <c r="AC91" i="34"/>
  <c r="AB125" i="34"/>
  <c r="AA139" i="34"/>
  <c r="Y37" i="15" s="1"/>
  <c r="AC22" i="34"/>
  <c r="Z224" i="34"/>
  <c r="Z234" i="34"/>
  <c r="U56" i="15"/>
  <c r="U40" i="15"/>
  <c r="Z203" i="34"/>
  <c r="AA202" i="34"/>
  <c r="AA203" i="34" s="1"/>
  <c r="Y57" i="15" s="1"/>
  <c r="AA25" i="34"/>
  <c r="Y11" i="15"/>
  <c r="Y19" i="15" s="1"/>
  <c r="Y39" i="15" s="1"/>
  <c r="AA228" i="34"/>
  <c r="AA152" i="34"/>
  <c r="AA153" i="34" s="1"/>
  <c r="AA163" i="34" s="1"/>
  <c r="AA165" i="34" s="1"/>
  <c r="W20" i="15"/>
  <c r="AC209" i="34" l="1"/>
  <c r="AA58" i="15"/>
  <c r="AH21" i="34"/>
  <c r="AG37" i="34"/>
  <c r="AG35" i="34"/>
  <c r="AE15" i="15" s="1"/>
  <c r="AG54" i="34"/>
  <c r="AE26" i="15" s="1"/>
  <c r="AG52" i="34"/>
  <c r="AE24" i="15" s="1"/>
  <c r="AG34" i="34"/>
  <c r="AG36" i="34"/>
  <c r="AE16" i="15" s="1"/>
  <c r="AG53" i="34"/>
  <c r="AE25" i="15" s="1"/>
  <c r="AG51" i="34"/>
  <c r="AG38" i="34"/>
  <c r="AE17" i="15" s="1"/>
  <c r="AD14" i="15"/>
  <c r="AF40" i="34"/>
  <c r="AD206" i="34"/>
  <c r="AD208" i="34" s="1"/>
  <c r="AC22" i="15"/>
  <c r="AE71" i="34"/>
  <c r="AE156" i="34" s="1"/>
  <c r="AE157" i="34" s="1"/>
  <c r="AD23" i="15"/>
  <c r="AF55" i="34"/>
  <c r="AD156" i="34"/>
  <c r="AD157" i="34" s="1"/>
  <c r="AC13" i="15"/>
  <c r="AE206" i="34"/>
  <c r="AE208" i="34" s="1"/>
  <c r="AC58" i="15" s="1"/>
  <c r="AB6" i="34"/>
  <c r="AC6" i="18"/>
  <c r="AC6" i="34" s="1"/>
  <c r="AC4" i="18"/>
  <c r="AD8" i="18"/>
  <c r="AD4" i="18" s="1"/>
  <c r="AC8" i="34"/>
  <c r="AD87" i="34"/>
  <c r="AC88" i="34"/>
  <c r="AB105" i="34"/>
  <c r="AB107" i="34" s="1"/>
  <c r="AB142" i="34" s="1"/>
  <c r="AY103" i="34"/>
  <c r="AX137" i="34"/>
  <c r="AY104" i="34"/>
  <c r="AX138" i="34"/>
  <c r="AC102" i="34"/>
  <c r="AC136" i="34" s="1"/>
  <c r="X213" i="34"/>
  <c r="V59" i="15" s="1"/>
  <c r="AF86" i="34"/>
  <c r="Y213" i="34"/>
  <c r="W59" i="15" s="1"/>
  <c r="AD85" i="34"/>
  <c r="AB128" i="34"/>
  <c r="AB129" i="34" s="1"/>
  <c r="Z36" i="15" s="1"/>
  <c r="AC94" i="34"/>
  <c r="AC95" i="34" s="1"/>
  <c r="AC135" i="34"/>
  <c r="AD101" i="34"/>
  <c r="AC5" i="34"/>
  <c r="AD5" i="18"/>
  <c r="AA5" i="15"/>
  <c r="AC4" i="34"/>
  <c r="AA4" i="15"/>
  <c r="AA193" i="34"/>
  <c r="Y42" i="15" s="1"/>
  <c r="Y43" i="15" s="1"/>
  <c r="Y45" i="15" s="1"/>
  <c r="AE8" i="18"/>
  <c r="AC24" i="34"/>
  <c r="V40" i="15"/>
  <c r="V56" i="15"/>
  <c r="AE92" i="34"/>
  <c r="AD126" i="34"/>
  <c r="AD84" i="34"/>
  <c r="AA141" i="34"/>
  <c r="Y34" i="15" s="1"/>
  <c r="Y35" i="15"/>
  <c r="AD83" i="34"/>
  <c r="AD99" i="34"/>
  <c r="AC133" i="34"/>
  <c r="AE100" i="34"/>
  <c r="AD134" i="34"/>
  <c r="X34" i="15"/>
  <c r="AC127" i="34"/>
  <c r="AC132" i="34"/>
  <c r="AD98" i="34"/>
  <c r="AB122" i="34"/>
  <c r="AB139" i="34"/>
  <c r="Z37" i="15" s="1"/>
  <c r="AC125" i="34"/>
  <c r="AD91" i="34"/>
  <c r="AD82" i="34"/>
  <c r="AD22" i="34"/>
  <c r="X20" i="15"/>
  <c r="W40" i="15"/>
  <c r="W56" i="15"/>
  <c r="Y61" i="15"/>
  <c r="AA234" i="34"/>
  <c r="AA224" i="34"/>
  <c r="AA225" i="34" s="1"/>
  <c r="AB25" i="34"/>
  <c r="AB228" i="34"/>
  <c r="AB152" i="34"/>
  <c r="Z11" i="15"/>
  <c r="Z19" i="15" s="1"/>
  <c r="Z39" i="15" s="1"/>
  <c r="AB202" i="34"/>
  <c r="AB203" i="34" s="1"/>
  <c r="Z57" i="15" s="1"/>
  <c r="Z225" i="34"/>
  <c r="X57" i="15"/>
  <c r="AA204" i="34"/>
  <c r="AA211" i="34" s="1"/>
  <c r="Z204" i="34"/>
  <c r="Z211" i="34" s="1"/>
  <c r="Z213" i="34" s="1"/>
  <c r="X59" i="15" s="1"/>
  <c r="AD209" i="34" l="1"/>
  <c r="AB58" i="15"/>
  <c r="AE209" i="34"/>
  <c r="AG40" i="34"/>
  <c r="AE14" i="15"/>
  <c r="AD22" i="15"/>
  <c r="AF71" i="34"/>
  <c r="AF156" i="34" s="1"/>
  <c r="AF157" i="34" s="1"/>
  <c r="AE160" i="34"/>
  <c r="AE161" i="34" s="1"/>
  <c r="AD13" i="15"/>
  <c r="AE23" i="15"/>
  <c r="AG55" i="34"/>
  <c r="AI21" i="34"/>
  <c r="AH54" i="34"/>
  <c r="AF26" i="15" s="1"/>
  <c r="AH37" i="34"/>
  <c r="AH35" i="34"/>
  <c r="AF15" i="15" s="1"/>
  <c r="AH52" i="34"/>
  <c r="AF24" i="15" s="1"/>
  <c r="AH51" i="34"/>
  <c r="AH38" i="34"/>
  <c r="AF17" i="15" s="1"/>
  <c r="AH34" i="34"/>
  <c r="AH36" i="34"/>
  <c r="AF16" i="15" s="1"/>
  <c r="AH53" i="34"/>
  <c r="AF25" i="15" s="1"/>
  <c r="AA6" i="15"/>
  <c r="AD8" i="34"/>
  <c r="AB8" i="15"/>
  <c r="AD6" i="18"/>
  <c r="AD6" i="34" s="1"/>
  <c r="AE87" i="34"/>
  <c r="AD88" i="34"/>
  <c r="AZ104" i="34"/>
  <c r="AY138" i="34"/>
  <c r="AZ103" i="34"/>
  <c r="AY137" i="34"/>
  <c r="AC105" i="34"/>
  <c r="AC107" i="34"/>
  <c r="AC142" i="34" s="1"/>
  <c r="AD102" i="34"/>
  <c r="AD136" i="34" s="1"/>
  <c r="AG86" i="34"/>
  <c r="AA213" i="34"/>
  <c r="Y59" i="15" s="1"/>
  <c r="AB153" i="34"/>
  <c r="AE85" i="34"/>
  <c r="AC128" i="34"/>
  <c r="AC129" i="34" s="1"/>
  <c r="AD95" i="34"/>
  <c r="AD135" i="34"/>
  <c r="AE101" i="34"/>
  <c r="AB4" i="15"/>
  <c r="AD4" i="34"/>
  <c r="AC8" i="15"/>
  <c r="AF8" i="18"/>
  <c r="AE8" i="34"/>
  <c r="AE6" i="18"/>
  <c r="AE4" i="18"/>
  <c r="AD5" i="34"/>
  <c r="AE5" i="18"/>
  <c r="AB5" i="15"/>
  <c r="AB193" i="34"/>
  <c r="AD24" i="34"/>
  <c r="AC139" i="34"/>
  <c r="AA37" i="15" s="1"/>
  <c r="AE84" i="34"/>
  <c r="AE93" i="34"/>
  <c r="AD127" i="34"/>
  <c r="AE83" i="34"/>
  <c r="AC122" i="34"/>
  <c r="AE91" i="34"/>
  <c r="AD125" i="34"/>
  <c r="AF92" i="34"/>
  <c r="AE126" i="34"/>
  <c r="AE98" i="34"/>
  <c r="AD132" i="34"/>
  <c r="AE99" i="34"/>
  <c r="AD133" i="34"/>
  <c r="AE82" i="34"/>
  <c r="AF100" i="34"/>
  <c r="AE134" i="34"/>
  <c r="AB141" i="34"/>
  <c r="Z34" i="15" s="1"/>
  <c r="Z35" i="15"/>
  <c r="AE22" i="34"/>
  <c r="AB204" i="34"/>
  <c r="AB211" i="34" s="1"/>
  <c r="AC25" i="34"/>
  <c r="AA11" i="15"/>
  <c r="AA19" i="15" s="1"/>
  <c r="AA39" i="15" s="1"/>
  <c r="AC228" i="34"/>
  <c r="AC152" i="34"/>
  <c r="AC153" i="34" s="1"/>
  <c r="AC163" i="34" s="1"/>
  <c r="AC202" i="34"/>
  <c r="AB234" i="34"/>
  <c r="AB224" i="34"/>
  <c r="AB225" i="34" s="1"/>
  <c r="Y20" i="15"/>
  <c r="AB163" i="34" l="1"/>
  <c r="AB165" i="34" s="1"/>
  <c r="AC165" i="34"/>
  <c r="AJ21" i="34"/>
  <c r="AI53" i="34"/>
  <c r="AG25" i="15" s="1"/>
  <c r="AI51" i="34"/>
  <c r="AI37" i="34"/>
  <c r="AI54" i="34"/>
  <c r="AG26" i="15" s="1"/>
  <c r="AI52" i="34"/>
  <c r="AG24" i="15" s="1"/>
  <c r="AI35" i="34"/>
  <c r="AG15" i="15" s="1"/>
  <c r="AI36" i="34"/>
  <c r="AG16" i="15" s="1"/>
  <c r="AI38" i="34"/>
  <c r="AG17" i="15" s="1"/>
  <c r="AI34" i="34"/>
  <c r="AE22" i="15"/>
  <c r="AG71" i="34"/>
  <c r="AG206" i="34" s="1"/>
  <c r="AG208" i="34" s="1"/>
  <c r="AE58" i="15" s="1"/>
  <c r="AF23" i="15"/>
  <c r="AH55" i="34"/>
  <c r="AF206" i="34"/>
  <c r="AF208" i="34" s="1"/>
  <c r="AH40" i="34"/>
  <c r="AF14" i="15"/>
  <c r="AF160" i="34"/>
  <c r="AF161" i="34" s="1"/>
  <c r="AE13" i="15"/>
  <c r="AB6" i="15"/>
  <c r="X56" i="15"/>
  <c r="AF87" i="34"/>
  <c r="AE88" i="34"/>
  <c r="BA103" i="34"/>
  <c r="AZ137" i="34"/>
  <c r="BA104" i="34"/>
  <c r="AZ138" i="34"/>
  <c r="AD105" i="34"/>
  <c r="AD107" i="34" s="1"/>
  <c r="AD142" i="34" s="1"/>
  <c r="AE102" i="34"/>
  <c r="AE136" i="34" s="1"/>
  <c r="AH86" i="34"/>
  <c r="AB213" i="34"/>
  <c r="Z59" i="15" s="1"/>
  <c r="AF85" i="34"/>
  <c r="AD128" i="34"/>
  <c r="AD129" i="34" s="1"/>
  <c r="AB36" i="15" s="1"/>
  <c r="AE94" i="34"/>
  <c r="AE95" i="34" s="1"/>
  <c r="AE135" i="34"/>
  <c r="AF101" i="34"/>
  <c r="AF5" i="18"/>
  <c r="AC5" i="15"/>
  <c r="AE5" i="34"/>
  <c r="AE4" i="34"/>
  <c r="AC4" i="15"/>
  <c r="AC6" i="15"/>
  <c r="AE6" i="34"/>
  <c r="Z42" i="15"/>
  <c r="Z43" i="15" s="1"/>
  <c r="Z45" i="15" s="1"/>
  <c r="AG8" i="18"/>
  <c r="AF4" i="18"/>
  <c r="AF6" i="18"/>
  <c r="AF8" i="34"/>
  <c r="AD8" i="15"/>
  <c r="AC193" i="34"/>
  <c r="AA42" i="15" s="1"/>
  <c r="AA43" i="15" s="1"/>
  <c r="AA45" i="15" s="1"/>
  <c r="AE24" i="34"/>
  <c r="X40" i="15"/>
  <c r="AG92" i="34"/>
  <c r="AF126" i="34"/>
  <c r="AA36" i="15"/>
  <c r="AF99" i="34"/>
  <c r="AE133" i="34"/>
  <c r="AF82" i="34"/>
  <c r="AD139" i="34"/>
  <c r="AB37" i="15" s="1"/>
  <c r="AE132" i="34"/>
  <c r="AF98" i="34"/>
  <c r="AF93" i="34"/>
  <c r="AE127" i="34"/>
  <c r="AE125" i="34"/>
  <c r="AF91" i="34"/>
  <c r="AC141" i="34"/>
  <c r="AA35" i="15"/>
  <c r="AF134" i="34"/>
  <c r="AG100" i="34"/>
  <c r="AF84" i="34"/>
  <c r="AF83" i="34"/>
  <c r="AD122" i="34"/>
  <c r="AF22" i="34"/>
  <c r="AA61" i="15"/>
  <c r="AC234" i="34"/>
  <c r="AC224" i="34"/>
  <c r="AC225" i="34" s="1"/>
  <c r="AC203" i="34"/>
  <c r="Y56" i="15"/>
  <c r="Y40" i="15"/>
  <c r="AD228" i="34"/>
  <c r="AD202" i="34"/>
  <c r="AD203" i="34" s="1"/>
  <c r="AB57" i="15" s="1"/>
  <c r="AB11" i="15"/>
  <c r="AB19" i="15" s="1"/>
  <c r="AB39" i="15" s="1"/>
  <c r="AD152" i="34"/>
  <c r="AD25" i="34"/>
  <c r="Z20" i="15"/>
  <c r="AD58" i="15" l="1"/>
  <c r="AG209" i="34"/>
  <c r="AF209" i="34"/>
  <c r="Z61" i="15"/>
  <c r="AG156" i="34"/>
  <c r="AG157" i="34" s="1"/>
  <c r="AG14" i="15"/>
  <c r="AI40" i="34"/>
  <c r="AG160" i="34"/>
  <c r="AG161" i="34" s="1"/>
  <c r="AG23" i="15"/>
  <c r="AI55" i="34"/>
  <c r="AF13" i="15"/>
  <c r="AH156" i="34"/>
  <c r="AH157" i="34" s="1"/>
  <c r="AH206" i="34"/>
  <c r="AH208" i="34" s="1"/>
  <c r="AF58" i="15" s="1"/>
  <c r="AF22" i="15"/>
  <c r="AH71" i="34"/>
  <c r="AH160" i="34" s="1"/>
  <c r="AH161" i="34" s="1"/>
  <c r="AK21" i="34"/>
  <c r="AJ38" i="34"/>
  <c r="AH17" i="15" s="1"/>
  <c r="AJ36" i="34"/>
  <c r="AH16" i="15" s="1"/>
  <c r="AJ34" i="34"/>
  <c r="AJ53" i="34"/>
  <c r="AH25" i="15" s="1"/>
  <c r="AJ51" i="34"/>
  <c r="AJ35" i="34"/>
  <c r="AH15" i="15" s="1"/>
  <c r="AJ37" i="34"/>
  <c r="AJ52" i="34"/>
  <c r="AH24" i="15" s="1"/>
  <c r="AJ54" i="34"/>
  <c r="AH26" i="15" s="1"/>
  <c r="AG87" i="34"/>
  <c r="AF88" i="34"/>
  <c r="BB103" i="34"/>
  <c r="BA137" i="34"/>
  <c r="BB104" i="34"/>
  <c r="BA138" i="34"/>
  <c r="AE105" i="34"/>
  <c r="AE107" i="34" s="1"/>
  <c r="AE142" i="34" s="1"/>
  <c r="AF102" i="34"/>
  <c r="AF136" i="34" s="1"/>
  <c r="AI86" i="34"/>
  <c r="AD153" i="34"/>
  <c r="AG85" i="34"/>
  <c r="AE128" i="34"/>
  <c r="AE129" i="34" s="1"/>
  <c r="AC36" i="15" s="1"/>
  <c r="AF94" i="34"/>
  <c r="AF95" i="34" s="1"/>
  <c r="AF135" i="34"/>
  <c r="AG101" i="34"/>
  <c r="AE139" i="34"/>
  <c r="AC37" i="15" s="1"/>
  <c r="AH8" i="18"/>
  <c r="AG6" i="18"/>
  <c r="AG8" i="34"/>
  <c r="AG4" i="18"/>
  <c r="AE8" i="15"/>
  <c r="AD193" i="34"/>
  <c r="AB42" i="15" s="1"/>
  <c r="AB43" i="15" s="1"/>
  <c r="AB45" i="15" s="1"/>
  <c r="AF5" i="34"/>
  <c r="AG5" i="18"/>
  <c r="AD5" i="15"/>
  <c r="AF6" i="34"/>
  <c r="AD6" i="15"/>
  <c r="AF4" i="34"/>
  <c r="AD4" i="15"/>
  <c r="AF24" i="34"/>
  <c r="AH100" i="34"/>
  <c r="AG134" i="34"/>
  <c r="AG99" i="34"/>
  <c r="AF133" i="34"/>
  <c r="AG93" i="34"/>
  <c r="AF127" i="34"/>
  <c r="AG98" i="34"/>
  <c r="AF132" i="34"/>
  <c r="AG82" i="34"/>
  <c r="AA34" i="15"/>
  <c r="AB35" i="15"/>
  <c r="AD141" i="34"/>
  <c r="AB34" i="15" s="1"/>
  <c r="AE122" i="34"/>
  <c r="AG83" i="34"/>
  <c r="AF125" i="34"/>
  <c r="AG91" i="34"/>
  <c r="AH92" i="34"/>
  <c r="AG126" i="34"/>
  <c r="AG84" i="34"/>
  <c r="AG22" i="34"/>
  <c r="AE202" i="34"/>
  <c r="AE152" i="34"/>
  <c r="AE153" i="34" s="1"/>
  <c r="AE163" i="34" s="1"/>
  <c r="AE228" i="34"/>
  <c r="AC11" i="15"/>
  <c r="AC19" i="15" s="1"/>
  <c r="AC39" i="15" s="1"/>
  <c r="AE25" i="34"/>
  <c r="AA20" i="15"/>
  <c r="Z40" i="15"/>
  <c r="Z56" i="15"/>
  <c r="AA57" i="15"/>
  <c r="AD204" i="34"/>
  <c r="AD211" i="34" s="1"/>
  <c r="AC204" i="34"/>
  <c r="AC211" i="34" s="1"/>
  <c r="AC213" i="34" s="1"/>
  <c r="AA59" i="15" s="1"/>
  <c r="AD224" i="34"/>
  <c r="AD234" i="34"/>
  <c r="AH209" i="34" l="1"/>
  <c r="AE165" i="34"/>
  <c r="AC61" i="15" s="1"/>
  <c r="AD163" i="34"/>
  <c r="AD165" i="34" s="1"/>
  <c r="AI209" i="34"/>
  <c r="AH23" i="15"/>
  <c r="AJ55" i="34"/>
  <c r="AG22" i="15"/>
  <c r="AI71" i="34"/>
  <c r="AI206" i="34" s="1"/>
  <c r="AI208" i="34" s="1"/>
  <c r="AL21" i="34"/>
  <c r="AK38" i="34"/>
  <c r="AI17" i="15" s="1"/>
  <c r="AK36" i="34"/>
  <c r="AI16" i="15" s="1"/>
  <c r="AK34" i="34"/>
  <c r="AK53" i="34"/>
  <c r="AI25" i="15" s="1"/>
  <c r="AK51" i="34"/>
  <c r="AK35" i="34"/>
  <c r="AI15" i="15" s="1"/>
  <c r="AK54" i="34"/>
  <c r="AI26" i="15" s="1"/>
  <c r="AK52" i="34"/>
  <c r="AI24" i="15" s="1"/>
  <c r="AK37" i="34"/>
  <c r="AG13" i="15"/>
  <c r="AJ40" i="34"/>
  <c r="AH14" i="15"/>
  <c r="AH87" i="34"/>
  <c r="AG88" i="34"/>
  <c r="BC104" i="34"/>
  <c r="BB138" i="34"/>
  <c r="BC103" i="34"/>
  <c r="BB137" i="34"/>
  <c r="AF105" i="34"/>
  <c r="AF107" i="34" s="1"/>
  <c r="AF142" i="34" s="1"/>
  <c r="AG102" i="34"/>
  <c r="AG136" i="34" s="1"/>
  <c r="AJ86" i="34"/>
  <c r="AD213" i="34"/>
  <c r="AB59" i="15" s="1"/>
  <c r="AH85" i="34"/>
  <c r="AF128" i="34"/>
  <c r="AF129" i="34" s="1"/>
  <c r="AD36" i="15" s="1"/>
  <c r="AG94" i="34"/>
  <c r="AG95" i="34" s="1"/>
  <c r="AH101" i="34"/>
  <c r="AG135" i="34"/>
  <c r="AE193" i="34"/>
  <c r="AC42" i="15" s="1"/>
  <c r="AC43" i="15" s="1"/>
  <c r="AC45" i="15" s="1"/>
  <c r="AE4" i="15"/>
  <c r="AG4" i="34"/>
  <c r="AH5" i="18"/>
  <c r="AE5" i="15"/>
  <c r="AG5" i="34"/>
  <c r="AG6" i="34"/>
  <c r="AE6" i="15"/>
  <c r="AI8" i="18"/>
  <c r="AH8" i="34"/>
  <c r="AF8" i="15"/>
  <c r="AH4" i="18"/>
  <c r="AH6" i="18"/>
  <c r="AF139" i="34"/>
  <c r="AD37" i="15" s="1"/>
  <c r="AG24" i="34"/>
  <c r="AH98" i="34"/>
  <c r="AG132" i="34"/>
  <c r="AG127" i="34"/>
  <c r="AH93" i="34"/>
  <c r="AH99" i="34"/>
  <c r="AG133" i="34"/>
  <c r="AH83" i="34"/>
  <c r="AE141" i="34"/>
  <c r="AC34" i="15" s="1"/>
  <c r="AC35" i="15"/>
  <c r="AI92" i="34"/>
  <c r="AH126" i="34"/>
  <c r="AH82" i="34"/>
  <c r="AH84" i="34"/>
  <c r="AF122" i="34"/>
  <c r="AH91" i="34"/>
  <c r="AG125" i="34"/>
  <c r="AI100" i="34"/>
  <c r="AH134" i="34"/>
  <c r="AH22" i="34"/>
  <c r="AB20" i="15"/>
  <c r="AA40" i="15"/>
  <c r="AA56" i="15"/>
  <c r="AD225" i="34"/>
  <c r="AE224" i="34"/>
  <c r="AE225" i="34" s="1"/>
  <c r="AE234" i="34"/>
  <c r="AF25" i="34"/>
  <c r="AF202" i="34"/>
  <c r="AF203" i="34" s="1"/>
  <c r="AD57" i="15" s="1"/>
  <c r="AD11" i="15"/>
  <c r="AD19" i="15" s="1"/>
  <c r="AD39" i="15" s="1"/>
  <c r="AF228" i="34"/>
  <c r="AF152" i="34"/>
  <c r="AE203" i="34"/>
  <c r="AB61" i="15" l="1"/>
  <c r="AG58" i="15"/>
  <c r="AH13" i="15"/>
  <c r="AM21" i="34"/>
  <c r="AL38" i="34"/>
  <c r="AJ17" i="15" s="1"/>
  <c r="AL36" i="34"/>
  <c r="AJ16" i="15" s="1"/>
  <c r="AL34" i="34"/>
  <c r="AL53" i="34"/>
  <c r="AJ25" i="15" s="1"/>
  <c r="AL51" i="34"/>
  <c r="AL35" i="34"/>
  <c r="AJ15" i="15" s="1"/>
  <c r="AL52" i="34"/>
  <c r="AJ24" i="15" s="1"/>
  <c r="AL37" i="34"/>
  <c r="AL54" i="34"/>
  <c r="AJ26" i="15" s="1"/>
  <c r="AI23" i="15"/>
  <c r="AK55" i="34"/>
  <c r="AI160" i="34"/>
  <c r="AI161" i="34" s="1"/>
  <c r="AJ71" i="34"/>
  <c r="AJ206" i="34" s="1"/>
  <c r="AJ208" i="34" s="1"/>
  <c r="AH22" i="15"/>
  <c r="AI156" i="34"/>
  <c r="AI157" i="34" s="1"/>
  <c r="AI14" i="15"/>
  <c r="AK40" i="34"/>
  <c r="AI87" i="34"/>
  <c r="AH88" i="34"/>
  <c r="BD103" i="34"/>
  <c r="BC137" i="34"/>
  <c r="BD104" i="34"/>
  <c r="BC138" i="34"/>
  <c r="AG105" i="34"/>
  <c r="AG107" i="34" s="1"/>
  <c r="AH102" i="34"/>
  <c r="AH136" i="34" s="1"/>
  <c r="AK86" i="34"/>
  <c r="AF153" i="34"/>
  <c r="AI85" i="34"/>
  <c r="AH94" i="34"/>
  <c r="AH95" i="34" s="1"/>
  <c r="AG128" i="34"/>
  <c r="AG129" i="34" s="1"/>
  <c r="AE36" i="15" s="1"/>
  <c r="AI101" i="34"/>
  <c r="AH135" i="34"/>
  <c r="AF193" i="34"/>
  <c r="AD42" i="15" s="1"/>
  <c r="AD43" i="15" s="1"/>
  <c r="AD45" i="15" s="1"/>
  <c r="AJ8" i="18"/>
  <c r="AI8" i="34"/>
  <c r="AG8" i="15"/>
  <c r="AI4" i="18"/>
  <c r="AI6" i="18"/>
  <c r="AI5" i="18"/>
  <c r="AH5" i="34"/>
  <c r="AF5" i="15"/>
  <c r="AH6" i="34"/>
  <c r="AF6" i="15"/>
  <c r="AF4" i="15"/>
  <c r="AH4" i="34"/>
  <c r="AH24" i="34"/>
  <c r="AI93" i="34"/>
  <c r="AH127" i="34"/>
  <c r="AJ92" i="34"/>
  <c r="AI126" i="34"/>
  <c r="AJ100" i="34"/>
  <c r="AI134" i="34"/>
  <c r="AI99" i="34"/>
  <c r="AH133" i="34"/>
  <c r="AG139" i="34"/>
  <c r="AE37" i="15" s="1"/>
  <c r="AI98" i="34"/>
  <c r="AH132" i="34"/>
  <c r="AI84" i="34"/>
  <c r="AI82" i="34"/>
  <c r="AI91" i="34"/>
  <c r="AH125" i="34"/>
  <c r="AF141" i="34"/>
  <c r="AD34" i="15" s="1"/>
  <c r="AD35" i="15"/>
  <c r="AI83" i="34"/>
  <c r="AG122" i="34"/>
  <c r="AI22" i="34"/>
  <c r="AC57" i="15"/>
  <c r="AF204" i="34"/>
  <c r="AF211" i="34" s="1"/>
  <c r="AE204" i="34"/>
  <c r="AE211" i="34" s="1"/>
  <c r="AE213" i="34" s="1"/>
  <c r="AC59" i="15" s="1"/>
  <c r="AB56" i="15"/>
  <c r="AB40" i="15"/>
  <c r="AC20" i="15"/>
  <c r="AE11" i="15"/>
  <c r="AE19" i="15" s="1"/>
  <c r="AE39" i="15" s="1"/>
  <c r="AG202" i="34"/>
  <c r="AG203" i="34" s="1"/>
  <c r="AE57" i="15" s="1"/>
  <c r="AG152" i="34"/>
  <c r="AG153" i="34" s="1"/>
  <c r="AG163" i="34" s="1"/>
  <c r="AG228" i="34"/>
  <c r="AG25" i="34"/>
  <c r="AF234" i="34"/>
  <c r="AF224" i="34"/>
  <c r="AF225" i="34" s="1"/>
  <c r="AF163" i="34" l="1"/>
  <c r="AF165" i="34" s="1"/>
  <c r="AD61" i="15" s="1"/>
  <c r="AH58" i="15"/>
  <c r="AJ209" i="34"/>
  <c r="AI22" i="15"/>
  <c r="AK71" i="34"/>
  <c r="AK160" i="34" s="1"/>
  <c r="AK161" i="34" s="1"/>
  <c r="AJ156" i="34"/>
  <c r="AJ157" i="34" s="1"/>
  <c r="AN21" i="34"/>
  <c r="AM38" i="34"/>
  <c r="AK17" i="15" s="1"/>
  <c r="AM36" i="34"/>
  <c r="AK16" i="15" s="1"/>
  <c r="AM34" i="34"/>
  <c r="AM53" i="34"/>
  <c r="AK25" i="15" s="1"/>
  <c r="AM51" i="34"/>
  <c r="AM52" i="34"/>
  <c r="AK24" i="15" s="1"/>
  <c r="AM37" i="34"/>
  <c r="AM35" i="34"/>
  <c r="AK15" i="15" s="1"/>
  <c r="AM54" i="34"/>
  <c r="AK26" i="15" s="1"/>
  <c r="AJ160" i="34"/>
  <c r="AJ161" i="34" s="1"/>
  <c r="AJ14" i="15"/>
  <c r="AL40" i="34"/>
  <c r="AJ23" i="15"/>
  <c r="AL55" i="34"/>
  <c r="AI13" i="15"/>
  <c r="AJ87" i="34"/>
  <c r="AI88" i="34"/>
  <c r="AH105" i="34"/>
  <c r="AH107" i="34" s="1"/>
  <c r="AH142" i="34" s="1"/>
  <c r="BE104" i="34"/>
  <c r="BD138" i="34"/>
  <c r="BE103" i="34"/>
  <c r="BD137" i="34"/>
  <c r="AI102" i="34"/>
  <c r="AI136" i="34" s="1"/>
  <c r="AL86" i="34"/>
  <c r="AF213" i="34"/>
  <c r="AD59" i="15" s="1"/>
  <c r="AJ85" i="34"/>
  <c r="AI94" i="34"/>
  <c r="AI95" i="34" s="1"/>
  <c r="AH128" i="34"/>
  <c r="AH129" i="34" s="1"/>
  <c r="AJ101" i="34"/>
  <c r="AI135" i="34"/>
  <c r="AG193" i="34"/>
  <c r="AE42" i="15" s="1"/>
  <c r="AE43" i="15" s="1"/>
  <c r="AE45" i="15" s="1"/>
  <c r="AG6" i="15"/>
  <c r="AI6" i="34"/>
  <c r="AI4" i="34"/>
  <c r="AG4" i="15"/>
  <c r="AK8" i="18"/>
  <c r="AH8" i="15"/>
  <c r="AJ4" i="18"/>
  <c r="AJ6" i="18"/>
  <c r="AJ8" i="34"/>
  <c r="AJ5" i="18"/>
  <c r="AG5" i="15"/>
  <c r="AI5" i="34"/>
  <c r="AI24" i="34"/>
  <c r="AK100" i="34"/>
  <c r="AJ134" i="34"/>
  <c r="AH139" i="34"/>
  <c r="AJ91" i="34"/>
  <c r="AI125" i="34"/>
  <c r="AH122" i="34"/>
  <c r="AJ84" i="34"/>
  <c r="AE35" i="15"/>
  <c r="AG141" i="34"/>
  <c r="AE34" i="15" s="1"/>
  <c r="AK92" i="34"/>
  <c r="AJ126" i="34"/>
  <c r="AJ98" i="34"/>
  <c r="AI132" i="34"/>
  <c r="AJ93" i="34"/>
  <c r="AI127" i="34"/>
  <c r="AJ82" i="34"/>
  <c r="AJ83" i="34"/>
  <c r="AJ99" i="34"/>
  <c r="AI133" i="34"/>
  <c r="AG142" i="34"/>
  <c r="AJ22" i="34"/>
  <c r="AG204" i="34"/>
  <c r="AG211" i="34" s="1"/>
  <c r="AG213" i="34" s="1"/>
  <c r="AE59" i="15" s="1"/>
  <c r="AD20" i="15"/>
  <c r="AH152" i="34"/>
  <c r="AH153" i="34" s="1"/>
  <c r="AH163" i="34" s="1"/>
  <c r="AH165" i="34" s="1"/>
  <c r="AH202" i="34"/>
  <c r="AH228" i="34"/>
  <c r="AH25" i="34"/>
  <c r="AF11" i="15"/>
  <c r="AF19" i="15" s="1"/>
  <c r="AF39" i="15" s="1"/>
  <c r="AC40" i="15"/>
  <c r="AC56" i="15"/>
  <c r="AG234" i="34"/>
  <c r="AG224" i="34"/>
  <c r="AG225" i="34" s="1"/>
  <c r="AG165" i="34" l="1"/>
  <c r="AJ22" i="15"/>
  <c r="AL71" i="34"/>
  <c r="AL156" i="34" s="1"/>
  <c r="AL157" i="34" s="1"/>
  <c r="AK14" i="15"/>
  <c r="AM40" i="34"/>
  <c r="AO21" i="34"/>
  <c r="AN53" i="34"/>
  <c r="AL25" i="15" s="1"/>
  <c r="AN51" i="34"/>
  <c r="AN38" i="34"/>
  <c r="AL17" i="15" s="1"/>
  <c r="AN36" i="34"/>
  <c r="AL16" i="15" s="1"/>
  <c r="AN34" i="34"/>
  <c r="AN54" i="34"/>
  <c r="AL26" i="15" s="1"/>
  <c r="AN37" i="34"/>
  <c r="AN52" i="34"/>
  <c r="AL24" i="15" s="1"/>
  <c r="AN35" i="34"/>
  <c r="AL15" i="15" s="1"/>
  <c r="AJ13" i="15"/>
  <c r="AL206" i="34"/>
  <c r="AL208" i="34" s="1"/>
  <c r="AL160" i="34"/>
  <c r="AL161" i="34" s="1"/>
  <c r="AK156" i="34"/>
  <c r="AK157" i="34" s="1"/>
  <c r="AK23" i="15"/>
  <c r="AM55" i="34"/>
  <c r="AK206" i="34"/>
  <c r="AK208" i="34" s="1"/>
  <c r="AK87" i="34"/>
  <c r="AJ88" i="34"/>
  <c r="BE137" i="34"/>
  <c r="BF103" i="34"/>
  <c r="AI105" i="34"/>
  <c r="BE138" i="34"/>
  <c r="BF104" i="34"/>
  <c r="AI107" i="34"/>
  <c r="AI142" i="34" s="1"/>
  <c r="AJ102" i="34"/>
  <c r="AJ136" i="34" s="1"/>
  <c r="AM86" i="34"/>
  <c r="AK85" i="34"/>
  <c r="AJ94" i="34"/>
  <c r="AJ95" i="34" s="1"/>
  <c r="AI128" i="34"/>
  <c r="AI129" i="34" s="1"/>
  <c r="AG36" i="15" s="1"/>
  <c r="AK101" i="34"/>
  <c r="AJ135" i="34"/>
  <c r="AI139" i="34"/>
  <c r="AG37" i="15" s="1"/>
  <c r="AH193" i="34"/>
  <c r="AF42" i="15" s="1"/>
  <c r="AF43" i="15" s="1"/>
  <c r="AF45" i="15" s="1"/>
  <c r="AJ6" i="34"/>
  <c r="AH6" i="15"/>
  <c r="AJ4" i="34"/>
  <c r="AH4" i="15"/>
  <c r="AL8" i="18"/>
  <c r="AI8" i="15"/>
  <c r="AK8" i="34"/>
  <c r="AK4" i="18"/>
  <c r="AK6" i="18"/>
  <c r="AK5" i="18"/>
  <c r="AH5" i="15"/>
  <c r="AJ5" i="34"/>
  <c r="AJ24" i="34"/>
  <c r="AJ127" i="34"/>
  <c r="AK93" i="34"/>
  <c r="AK91" i="34"/>
  <c r="AJ125" i="34"/>
  <c r="AF37" i="15"/>
  <c r="AK98" i="34"/>
  <c r="AJ132" i="34"/>
  <c r="AF36" i="15"/>
  <c r="AF35" i="15"/>
  <c r="AH141" i="34"/>
  <c r="AK83" i="34"/>
  <c r="AL92" i="34"/>
  <c r="AK126" i="34"/>
  <c r="AL100" i="34"/>
  <c r="AK134" i="34"/>
  <c r="AI122" i="34"/>
  <c r="AK84" i="34"/>
  <c r="AK99" i="34"/>
  <c r="AJ133" i="34"/>
  <c r="AK82" i="34"/>
  <c r="AK22" i="34"/>
  <c r="AF61" i="15"/>
  <c r="AD40" i="15"/>
  <c r="AD56" i="15"/>
  <c r="AE20" i="15"/>
  <c r="AE61" i="15"/>
  <c r="AH203" i="34"/>
  <c r="AI228" i="34"/>
  <c r="AI202" i="34"/>
  <c r="AI203" i="34" s="1"/>
  <c r="AG11" i="15"/>
  <c r="AG19" i="15" s="1"/>
  <c r="AG39" i="15" s="1"/>
  <c r="AI25" i="34"/>
  <c r="AI152" i="34"/>
  <c r="AH234" i="34"/>
  <c r="AH224" i="34"/>
  <c r="U44" i="15"/>
  <c r="AI58" i="15" l="1"/>
  <c r="AK209" i="34"/>
  <c r="AJ58" i="15"/>
  <c r="AL209" i="34"/>
  <c r="AL23" i="15"/>
  <c r="AN55" i="34"/>
  <c r="AK13" i="15"/>
  <c r="AM156" i="34"/>
  <c r="AM157" i="34" s="1"/>
  <c r="AM206" i="34"/>
  <c r="AM208" i="34" s="1"/>
  <c r="AL14" i="15"/>
  <c r="AN40" i="34"/>
  <c r="AK22" i="15"/>
  <c r="AM71" i="34"/>
  <c r="AM160" i="34" s="1"/>
  <c r="AM161" i="34" s="1"/>
  <c r="AP21" i="34"/>
  <c r="AO54" i="34"/>
  <c r="AM26" i="15" s="1"/>
  <c r="AO52" i="34"/>
  <c r="AM24" i="15" s="1"/>
  <c r="AO51" i="34"/>
  <c r="AO38" i="34"/>
  <c r="AM17" i="15" s="1"/>
  <c r="AO36" i="34"/>
  <c r="AM16" i="15" s="1"/>
  <c r="AO34" i="34"/>
  <c r="AO53" i="34"/>
  <c r="AM25" i="15" s="1"/>
  <c r="AO37" i="34"/>
  <c r="AO35" i="34"/>
  <c r="AM15" i="15" s="1"/>
  <c r="AL87" i="34"/>
  <c r="AK88" i="34"/>
  <c r="BG104" i="34"/>
  <c r="BF138" i="34"/>
  <c r="AJ105" i="34"/>
  <c r="BG103" i="34"/>
  <c r="BF137" i="34"/>
  <c r="AK102" i="34"/>
  <c r="AK136" i="34" s="1"/>
  <c r="AN86" i="34"/>
  <c r="AI153" i="34"/>
  <c r="AL85" i="34"/>
  <c r="AK94" i="34"/>
  <c r="AK95" i="34" s="1"/>
  <c r="AJ128" i="34"/>
  <c r="AJ129" i="34" s="1"/>
  <c r="AH36" i="15" s="1"/>
  <c r="AL101" i="34"/>
  <c r="AK135" i="34"/>
  <c r="AI193" i="34"/>
  <c r="AG42" i="15" s="1"/>
  <c r="AG43" i="15" s="1"/>
  <c r="AG45" i="15" s="1"/>
  <c r="AK5" i="34"/>
  <c r="AL5" i="18"/>
  <c r="AI5" i="15"/>
  <c r="AK6" i="34"/>
  <c r="AI6" i="15"/>
  <c r="AK4" i="34"/>
  <c r="AI4" i="15"/>
  <c r="AM8" i="18"/>
  <c r="AL6" i="18"/>
  <c r="AL8" i="34"/>
  <c r="AL4" i="18"/>
  <c r="AJ8" i="15"/>
  <c r="AK24" i="34"/>
  <c r="AI141" i="34"/>
  <c r="AG34" i="15" s="1"/>
  <c r="AG35" i="15"/>
  <c r="AM92" i="34"/>
  <c r="AL126" i="34"/>
  <c r="AL91" i="34"/>
  <c r="AK125" i="34"/>
  <c r="AJ139" i="34"/>
  <c r="AJ122" i="34"/>
  <c r="AK127" i="34"/>
  <c r="AL93" i="34"/>
  <c r="AJ107" i="34"/>
  <c r="AJ142" i="34" s="1"/>
  <c r="AL83" i="34"/>
  <c r="AM100" i="34"/>
  <c r="AL134" i="34"/>
  <c r="AL82" i="34"/>
  <c r="AL99" i="34"/>
  <c r="AK133" i="34"/>
  <c r="AL98" i="34"/>
  <c r="AK132" i="34"/>
  <c r="AF34" i="15"/>
  <c r="AL84" i="34"/>
  <c r="AL22" i="34"/>
  <c r="AE56" i="15"/>
  <c r="AE40" i="15"/>
  <c r="AI224" i="34"/>
  <c r="AI225" i="34" s="1"/>
  <c r="AI234" i="34"/>
  <c r="AG57" i="15"/>
  <c r="AI204" i="34"/>
  <c r="AI211" i="34" s="1"/>
  <c r="AF57" i="15"/>
  <c r="AH204" i="34"/>
  <c r="AH211" i="34" s="1"/>
  <c r="AH213" i="34" s="1"/>
  <c r="AF59" i="15" s="1"/>
  <c r="AH225" i="34"/>
  <c r="AH11" i="15"/>
  <c r="AH19" i="15" s="1"/>
  <c r="AH39" i="15" s="1"/>
  <c r="AJ152" i="34"/>
  <c r="AJ25" i="34"/>
  <c r="AJ228" i="34"/>
  <c r="AJ202" i="34"/>
  <c r="AF20" i="15"/>
  <c r="W235" i="34"/>
  <c r="W236" i="34" s="1"/>
  <c r="W237" i="34" s="1"/>
  <c r="W229" i="34"/>
  <c r="AI163" i="34" l="1"/>
  <c r="AI165" i="34" s="1"/>
  <c r="AG61" i="15" s="1"/>
  <c r="AK58" i="15"/>
  <c r="AM209" i="34"/>
  <c r="AM14" i="15"/>
  <c r="AO40" i="34"/>
  <c r="AM23" i="15"/>
  <c r="AO55" i="34"/>
  <c r="AQ21" i="34"/>
  <c r="AP37" i="34"/>
  <c r="AP35" i="34"/>
  <c r="AN15" i="15" s="1"/>
  <c r="AP54" i="34"/>
  <c r="AN26" i="15" s="1"/>
  <c r="AP52" i="34"/>
  <c r="AN24" i="15" s="1"/>
  <c r="AP34" i="34"/>
  <c r="AP38" i="34"/>
  <c r="AN17" i="15" s="1"/>
  <c r="AP36" i="34"/>
  <c r="AN16" i="15" s="1"/>
  <c r="AP53" i="34"/>
  <c r="AN25" i="15" s="1"/>
  <c r="AP51" i="34"/>
  <c r="AL22" i="15"/>
  <c r="AN71" i="34"/>
  <c r="AL13" i="15"/>
  <c r="AN156" i="34"/>
  <c r="AN157" i="34" s="1"/>
  <c r="AN206" i="34"/>
  <c r="AN208" i="34" s="1"/>
  <c r="AN160" i="34"/>
  <c r="AN161" i="34" s="1"/>
  <c r="AM87" i="34"/>
  <c r="AL88" i="34"/>
  <c r="BH103" i="34"/>
  <c r="BG137" i="34"/>
  <c r="AK105" i="34"/>
  <c r="AK107" i="34" s="1"/>
  <c r="AK142" i="34" s="1"/>
  <c r="BH104" i="34"/>
  <c r="BG138" i="34"/>
  <c r="AL102" i="34"/>
  <c r="AL136" i="34" s="1"/>
  <c r="AO86" i="34"/>
  <c r="AI213" i="34"/>
  <c r="AG59" i="15" s="1"/>
  <c r="AJ153" i="34"/>
  <c r="AM85" i="34"/>
  <c r="AK139" i="34"/>
  <c r="AI37" i="15" s="1"/>
  <c r="AK128" i="34"/>
  <c r="AK129" i="34" s="1"/>
  <c r="AL94" i="34"/>
  <c r="AL95" i="34" s="1"/>
  <c r="AM101" i="34"/>
  <c r="AL135" i="34"/>
  <c r="AK122" i="34"/>
  <c r="AI35" i="15" s="1"/>
  <c r="AN8" i="18"/>
  <c r="AM8" i="34"/>
  <c r="AM4" i="18"/>
  <c r="AK8" i="15"/>
  <c r="AM6" i="18"/>
  <c r="AL6" i="34"/>
  <c r="AJ6" i="15"/>
  <c r="AJ193" i="34"/>
  <c r="AH42" i="15" s="1"/>
  <c r="AH43" i="15" s="1"/>
  <c r="AH45" i="15" s="1"/>
  <c r="AL4" i="34"/>
  <c r="AJ4" i="15"/>
  <c r="AM5" i="18"/>
  <c r="AJ5" i="15"/>
  <c r="AL5" i="34"/>
  <c r="AL24" i="34"/>
  <c r="AM91" i="34"/>
  <c r="AL125" i="34"/>
  <c r="AH37" i="15"/>
  <c r="AM84" i="34"/>
  <c r="AM83" i="34"/>
  <c r="AN92" i="34"/>
  <c r="AM126" i="34"/>
  <c r="AL127" i="34"/>
  <c r="AM93" i="34"/>
  <c r="AM98" i="34"/>
  <c r="AL132" i="34"/>
  <c r="AH35" i="15"/>
  <c r="AJ141" i="34"/>
  <c r="AN100" i="34"/>
  <c r="AM134" i="34"/>
  <c r="AM82" i="34"/>
  <c r="AM99" i="34"/>
  <c r="AL133" i="34"/>
  <c r="AM22" i="34"/>
  <c r="AI11" i="15"/>
  <c r="AI19" i="15" s="1"/>
  <c r="AI39" i="15" s="1"/>
  <c r="AK25" i="34"/>
  <c r="AK152" i="34"/>
  <c r="AK202" i="34"/>
  <c r="AK203" i="34" s="1"/>
  <c r="AK228" i="34"/>
  <c r="AG20" i="15"/>
  <c r="AJ234" i="34"/>
  <c r="AJ224" i="34"/>
  <c r="AJ203" i="34"/>
  <c r="AJ163" i="34" l="1"/>
  <c r="AJ165" i="34" s="1"/>
  <c r="AH61" i="15" s="1"/>
  <c r="AL58" i="15"/>
  <c r="AN209" i="34"/>
  <c r="AN14" i="15"/>
  <c r="AP40" i="34"/>
  <c r="AM22" i="15"/>
  <c r="AO71" i="34"/>
  <c r="AR21" i="34"/>
  <c r="AQ37" i="34"/>
  <c r="AQ35" i="34"/>
  <c r="AO15" i="15" s="1"/>
  <c r="AQ54" i="34"/>
  <c r="AO26" i="15" s="1"/>
  <c r="AQ52" i="34"/>
  <c r="AO24" i="15" s="1"/>
  <c r="AQ34" i="34"/>
  <c r="AQ51" i="34"/>
  <c r="AQ36" i="34"/>
  <c r="AO16" i="15" s="1"/>
  <c r="AQ53" i="34"/>
  <c r="AO25" i="15" s="1"/>
  <c r="AQ38" i="34"/>
  <c r="AO17" i="15" s="1"/>
  <c r="AP55" i="34"/>
  <c r="AN23" i="15"/>
  <c r="AM13" i="15"/>
  <c r="AO206" i="34"/>
  <c r="AO208" i="34" s="1"/>
  <c r="AO160" i="34"/>
  <c r="AO161" i="34" s="1"/>
  <c r="AO156" i="34"/>
  <c r="AO157" i="34" s="1"/>
  <c r="AF56" i="15"/>
  <c r="AM88" i="34"/>
  <c r="AN87" i="34"/>
  <c r="BI104" i="34"/>
  <c r="BH138" i="34"/>
  <c r="AL105" i="34"/>
  <c r="AL107" i="34" s="1"/>
  <c r="AL142" i="34" s="1"/>
  <c r="BI103" i="34"/>
  <c r="BH137" i="34"/>
  <c r="AM102" i="34"/>
  <c r="AM136" i="34" s="1"/>
  <c r="AP86" i="34"/>
  <c r="AK153" i="34"/>
  <c r="AN85" i="34"/>
  <c r="AL128" i="34"/>
  <c r="AL129" i="34" s="1"/>
  <c r="AJ36" i="15" s="1"/>
  <c r="AM94" i="34"/>
  <c r="AM95" i="34" s="1"/>
  <c r="AN101" i="34"/>
  <c r="AM135" i="34"/>
  <c r="AK193" i="34"/>
  <c r="AI42" i="15" s="1"/>
  <c r="AI43" i="15" s="1"/>
  <c r="AI45" i="15" s="1"/>
  <c r="AM6" i="34"/>
  <c r="AK6" i="15"/>
  <c r="AM5" i="34"/>
  <c r="AK5" i="15"/>
  <c r="AN5" i="18"/>
  <c r="AK4" i="15"/>
  <c r="AM4" i="34"/>
  <c r="AN4" i="18"/>
  <c r="AO8" i="18"/>
  <c r="AN8" i="34"/>
  <c r="AL8" i="15"/>
  <c r="AN6" i="18"/>
  <c r="AM24" i="34"/>
  <c r="AF40" i="15"/>
  <c r="AH34" i="15"/>
  <c r="AL139" i="34"/>
  <c r="AN84" i="34"/>
  <c r="AI36" i="15"/>
  <c r="AO100" i="34"/>
  <c r="AN134" i="34"/>
  <c r="AN83" i="34"/>
  <c r="AN98" i="34"/>
  <c r="AM132" i="34"/>
  <c r="AN91" i="34"/>
  <c r="AM125" i="34"/>
  <c r="AL122" i="34"/>
  <c r="AN82" i="34"/>
  <c r="AK141" i="34"/>
  <c r="AI34" i="15" s="1"/>
  <c r="AO92" i="34"/>
  <c r="AN126" i="34"/>
  <c r="AN99" i="34"/>
  <c r="AM133" i="34"/>
  <c r="AM127" i="34"/>
  <c r="AN93" i="34"/>
  <c r="AN22" i="34"/>
  <c r="AL25" i="34"/>
  <c r="AL152" i="34"/>
  <c r="AL153" i="34" s="1"/>
  <c r="AL163" i="34" s="1"/>
  <c r="AL228" i="34"/>
  <c r="AL202" i="34"/>
  <c r="AJ11" i="15"/>
  <c r="AJ19" i="15" s="1"/>
  <c r="AJ39" i="15" s="1"/>
  <c r="AJ225" i="34"/>
  <c r="AI57" i="15"/>
  <c r="AK204" i="34"/>
  <c r="AK211" i="34" s="1"/>
  <c r="AK234" i="34"/>
  <c r="AK224" i="34"/>
  <c r="AK225" i="34" s="1"/>
  <c r="AH57" i="15"/>
  <c r="AJ204" i="34"/>
  <c r="AJ211" i="34" s="1"/>
  <c r="AJ213" i="34" s="1"/>
  <c r="AH59" i="15" s="1"/>
  <c r="AH20" i="15"/>
  <c r="AG56" i="15"/>
  <c r="AG40" i="15"/>
  <c r="AM58" i="15" l="1"/>
  <c r="AO209" i="34"/>
  <c r="AK163" i="34"/>
  <c r="AK165" i="34" s="1"/>
  <c r="AI61" i="15" s="1"/>
  <c r="AL165" i="34"/>
  <c r="AS21" i="34"/>
  <c r="AR37" i="34"/>
  <c r="AR35" i="34"/>
  <c r="AP15" i="15" s="1"/>
  <c r="AR54" i="34"/>
  <c r="AP26" i="15" s="1"/>
  <c r="AR52" i="34"/>
  <c r="AP24" i="15" s="1"/>
  <c r="AR38" i="34"/>
  <c r="AP17" i="15" s="1"/>
  <c r="AR36" i="34"/>
  <c r="AP16" i="15" s="1"/>
  <c r="AR53" i="34"/>
  <c r="AP25" i="15" s="1"/>
  <c r="AR34" i="34"/>
  <c r="AR51" i="34"/>
  <c r="AO14" i="15"/>
  <c r="AQ40" i="34"/>
  <c r="AN22" i="15"/>
  <c r="AP71" i="34"/>
  <c r="AN13" i="15"/>
  <c r="AP206" i="34"/>
  <c r="AP208" i="34" s="1"/>
  <c r="AP160" i="34"/>
  <c r="AP161" i="34" s="1"/>
  <c r="AP156" i="34"/>
  <c r="AP157" i="34" s="1"/>
  <c r="AQ55" i="34"/>
  <c r="AO23" i="15"/>
  <c r="AO87" i="34"/>
  <c r="AN88" i="34"/>
  <c r="BJ103" i="34"/>
  <c r="BI137" i="34"/>
  <c r="BJ104" i="34"/>
  <c r="BI138" i="34"/>
  <c r="AM105" i="34"/>
  <c r="AM107" i="34" s="1"/>
  <c r="AM142" i="34" s="1"/>
  <c r="AN102" i="34"/>
  <c r="AN136" i="34" s="1"/>
  <c r="AQ86" i="34"/>
  <c r="AK213" i="34"/>
  <c r="AI59" i="15" s="1"/>
  <c r="AO85" i="34"/>
  <c r="AM128" i="34"/>
  <c r="AM129" i="34" s="1"/>
  <c r="AN94" i="34"/>
  <c r="AN95" i="34" s="1"/>
  <c r="AN135" i="34"/>
  <c r="AO101" i="34"/>
  <c r="AL6" i="15"/>
  <c r="AN6" i="34"/>
  <c r="AP8" i="18"/>
  <c r="AM8" i="15"/>
  <c r="AO6" i="18"/>
  <c r="AO4" i="18"/>
  <c r="AO8" i="34"/>
  <c r="AL4" i="15"/>
  <c r="AN4" i="34"/>
  <c r="AL193" i="34"/>
  <c r="AJ42" i="15" s="1"/>
  <c r="AJ43" i="15" s="1"/>
  <c r="AJ45" i="15" s="1"/>
  <c r="AO5" i="18"/>
  <c r="AL5" i="15"/>
  <c r="AN5" i="34"/>
  <c r="AN24" i="34"/>
  <c r="AO98" i="34"/>
  <c r="AN132" i="34"/>
  <c r="AO83" i="34"/>
  <c r="AP100" i="34"/>
  <c r="AO134" i="34"/>
  <c r="AO93" i="34"/>
  <c r="AN127" i="34"/>
  <c r="AO84" i="34"/>
  <c r="AM122" i="34"/>
  <c r="AJ35" i="15"/>
  <c r="AL141" i="34"/>
  <c r="AJ34" i="15" s="1"/>
  <c r="AO82" i="34"/>
  <c r="AO99" i="34"/>
  <c r="AN133" i="34"/>
  <c r="AO91" i="34"/>
  <c r="AN125" i="34"/>
  <c r="AJ37" i="15"/>
  <c r="AP92" i="34"/>
  <c r="AO126" i="34"/>
  <c r="AM139" i="34"/>
  <c r="AK37" i="15" s="1"/>
  <c r="AO22" i="34"/>
  <c r="AI20" i="15"/>
  <c r="AJ61" i="15"/>
  <c r="AM228" i="34"/>
  <c r="AM202" i="34"/>
  <c r="AM203" i="34" s="1"/>
  <c r="AK11" i="15"/>
  <c r="AK19" i="15" s="1"/>
  <c r="AK39" i="15" s="1"/>
  <c r="AM25" i="34"/>
  <c r="AM152" i="34"/>
  <c r="AL234" i="34"/>
  <c r="AL224" i="34"/>
  <c r="AL225" i="34" s="1"/>
  <c r="AH56" i="15"/>
  <c r="AH40" i="15"/>
  <c r="AL203" i="34"/>
  <c r="AN58" i="15" l="1"/>
  <c r="AP209" i="34"/>
  <c r="AP14" i="15"/>
  <c r="AR40" i="34"/>
  <c r="AR55" i="34"/>
  <c r="AP23" i="15"/>
  <c r="AO22" i="15"/>
  <c r="AQ71" i="34"/>
  <c r="AO13" i="15"/>
  <c r="AQ156" i="34"/>
  <c r="AQ157" i="34" s="1"/>
  <c r="AQ160" i="34"/>
  <c r="AQ161" i="34" s="1"/>
  <c r="AQ206" i="34"/>
  <c r="AQ208" i="34" s="1"/>
  <c r="AT21" i="34"/>
  <c r="AS37" i="34"/>
  <c r="AS35" i="34"/>
  <c r="AQ15" i="15" s="1"/>
  <c r="AS54" i="34"/>
  <c r="AQ26" i="15" s="1"/>
  <c r="AS52" i="34"/>
  <c r="AQ24" i="15" s="1"/>
  <c r="AS38" i="34"/>
  <c r="AQ17" i="15" s="1"/>
  <c r="AS53" i="34"/>
  <c r="AQ25" i="15" s="1"/>
  <c r="AS51" i="34"/>
  <c r="AS34" i="34"/>
  <c r="AS36" i="34"/>
  <c r="AQ16" i="15" s="1"/>
  <c r="AP87" i="34"/>
  <c r="AO88" i="34"/>
  <c r="BK104" i="34"/>
  <c r="BJ138" i="34"/>
  <c r="AN105" i="34"/>
  <c r="BK103" i="34"/>
  <c r="BJ137" i="34"/>
  <c r="AO102" i="34"/>
  <c r="AO136" i="34" s="1"/>
  <c r="AR86" i="34"/>
  <c r="AM153" i="34"/>
  <c r="AP85" i="34"/>
  <c r="AN128" i="34"/>
  <c r="AN129" i="34" s="1"/>
  <c r="AL36" i="15" s="1"/>
  <c r="AO94" i="34"/>
  <c r="AO95" i="34" s="1"/>
  <c r="AO135" i="34"/>
  <c r="AP101" i="34"/>
  <c r="AO4" i="34"/>
  <c r="AM4" i="15"/>
  <c r="AM6" i="15"/>
  <c r="AO6" i="34"/>
  <c r="AQ8" i="18"/>
  <c r="AP4" i="18"/>
  <c r="AP8" i="34"/>
  <c r="AP6" i="18"/>
  <c r="AN8" i="15"/>
  <c r="AM5" i="15"/>
  <c r="AO5" i="34"/>
  <c r="AP5" i="18"/>
  <c r="AM193" i="34"/>
  <c r="AK42" i="15" s="1"/>
  <c r="AK43" i="15" s="1"/>
  <c r="AK45" i="15" s="1"/>
  <c r="AO24" i="34"/>
  <c r="AQ92" i="34"/>
  <c r="AP126" i="34"/>
  <c r="AP99" i="34"/>
  <c r="AO133" i="34"/>
  <c r="AQ100" i="34"/>
  <c r="AP134" i="34"/>
  <c r="AP91" i="34"/>
  <c r="AO125" i="34"/>
  <c r="AN107" i="34"/>
  <c r="AN142" i="34" s="1"/>
  <c r="AN122" i="34"/>
  <c r="AP83" i="34"/>
  <c r="AP82" i="34"/>
  <c r="AP84" i="34"/>
  <c r="AO127" i="34"/>
  <c r="AP93" i="34"/>
  <c r="AN139" i="34"/>
  <c r="AM141" i="34"/>
  <c r="AK35" i="15"/>
  <c r="AK36" i="15"/>
  <c r="AP98" i="34"/>
  <c r="AO132" i="34"/>
  <c r="AP22" i="34"/>
  <c r="AJ57" i="15"/>
  <c r="AL204" i="34"/>
  <c r="AL211" i="34" s="1"/>
  <c r="AL213" i="34" s="1"/>
  <c r="AJ59" i="15" s="1"/>
  <c r="AM224" i="34"/>
  <c r="AM234" i="34"/>
  <c r="AJ20" i="15"/>
  <c r="AK57" i="15"/>
  <c r="AM204" i="34"/>
  <c r="AM211" i="34" s="1"/>
  <c r="AI56" i="15"/>
  <c r="AI40" i="15"/>
  <c r="AN25" i="34"/>
  <c r="AN228" i="34"/>
  <c r="AN152" i="34"/>
  <c r="AN202" i="34"/>
  <c r="AL11" i="15"/>
  <c r="AL19" i="15" s="1"/>
  <c r="AL39" i="15" s="1"/>
  <c r="AO58" i="15" l="1"/>
  <c r="AQ209" i="34"/>
  <c r="AM163" i="34"/>
  <c r="AM165" i="34" s="1"/>
  <c r="AK61" i="15" s="1"/>
  <c r="AQ23" i="15"/>
  <c r="AS55" i="34"/>
  <c r="AP22" i="15"/>
  <c r="AR71" i="34"/>
  <c r="AP13" i="15"/>
  <c r="AR206" i="34"/>
  <c r="AR208" i="34" s="1"/>
  <c r="AR156" i="34"/>
  <c r="AR157" i="34" s="1"/>
  <c r="AR160" i="34"/>
  <c r="AR161" i="34" s="1"/>
  <c r="AQ14" i="15"/>
  <c r="AS40" i="34"/>
  <c r="AU21" i="34"/>
  <c r="AT52" i="34"/>
  <c r="AR24" i="15" s="1"/>
  <c r="AT37" i="34"/>
  <c r="AT35" i="34"/>
  <c r="AR15" i="15" s="1"/>
  <c r="AT54" i="34"/>
  <c r="AR26" i="15" s="1"/>
  <c r="AT38" i="34"/>
  <c r="AR17" i="15" s="1"/>
  <c r="AT53" i="34"/>
  <c r="AR25" i="15" s="1"/>
  <c r="AT36" i="34"/>
  <c r="AR16" i="15" s="1"/>
  <c r="AT34" i="34"/>
  <c r="AT51" i="34"/>
  <c r="AP88" i="34"/>
  <c r="AQ87" i="34"/>
  <c r="BL103" i="34"/>
  <c r="BK137" i="34"/>
  <c r="BL104" i="34"/>
  <c r="BK138" i="34"/>
  <c r="AO105" i="34"/>
  <c r="AO107" i="34" s="1"/>
  <c r="AO142" i="34" s="1"/>
  <c r="AP102" i="34"/>
  <c r="AP136" i="34" s="1"/>
  <c r="AS86" i="34"/>
  <c r="AM213" i="34"/>
  <c r="AK59" i="15" s="1"/>
  <c r="AN153" i="34"/>
  <c r="AQ85" i="34"/>
  <c r="AO128" i="34"/>
  <c r="AO129" i="34" s="1"/>
  <c r="AP94" i="34"/>
  <c r="AP95" i="34" s="1"/>
  <c r="AP135" i="34"/>
  <c r="AQ101" i="34"/>
  <c r="AN193" i="34"/>
  <c r="AL42" i="15" s="1"/>
  <c r="AL43" i="15" s="1"/>
  <c r="AL45" i="15" s="1"/>
  <c r="AN5" i="15"/>
  <c r="AQ5" i="18"/>
  <c r="AP5" i="34"/>
  <c r="AP4" i="34"/>
  <c r="AN4" i="15"/>
  <c r="AQ6" i="18"/>
  <c r="AR8" i="18"/>
  <c r="AO8" i="15"/>
  <c r="AQ4" i="18"/>
  <c r="AQ8" i="34"/>
  <c r="AN6" i="15"/>
  <c r="AP6" i="34"/>
  <c r="AP24" i="34"/>
  <c r="AN141" i="34"/>
  <c r="AL34" i="15" s="1"/>
  <c r="AL35" i="15"/>
  <c r="AQ91" i="34"/>
  <c r="AP125" i="34"/>
  <c r="AK34" i="15"/>
  <c r="AQ99" i="34"/>
  <c r="AP133" i="34"/>
  <c r="AR100" i="34"/>
  <c r="AQ134" i="34"/>
  <c r="AQ84" i="34"/>
  <c r="AP127" i="34"/>
  <c r="AQ93" i="34"/>
  <c r="AR92" i="34"/>
  <c r="AQ126" i="34"/>
  <c r="AO122" i="34"/>
  <c r="AQ82" i="34"/>
  <c r="AL37" i="15"/>
  <c r="AO139" i="34"/>
  <c r="AM37" i="15" s="1"/>
  <c r="AQ98" i="34"/>
  <c r="AP132" i="34"/>
  <c r="AQ83" i="34"/>
  <c r="AQ22" i="34"/>
  <c r="AM225" i="34"/>
  <c r="AK20" i="15"/>
  <c r="AN224" i="34"/>
  <c r="AN225" i="34" s="1"/>
  <c r="AN234" i="34"/>
  <c r="AN203" i="34"/>
  <c r="AJ40" i="15"/>
  <c r="AJ56" i="15"/>
  <c r="AO202" i="34"/>
  <c r="AO203" i="34" s="1"/>
  <c r="AM11" i="15"/>
  <c r="AM19" i="15" s="1"/>
  <c r="AM39" i="15" s="1"/>
  <c r="AO228" i="34"/>
  <c r="AO25" i="34"/>
  <c r="AO152" i="34"/>
  <c r="AP58" i="15" l="1"/>
  <c r="AR209" i="34"/>
  <c r="AN163" i="34"/>
  <c r="AN165" i="34" s="1"/>
  <c r="AL61" i="15" s="1"/>
  <c r="AQ13" i="15"/>
  <c r="AT55" i="34"/>
  <c r="AR23" i="15"/>
  <c r="AR14" i="15"/>
  <c r="AT40" i="34"/>
  <c r="AQ22" i="15"/>
  <c r="AS71" i="34"/>
  <c r="AS206" i="34" s="1"/>
  <c r="AS208" i="34" s="1"/>
  <c r="AV21" i="34"/>
  <c r="AU53" i="34"/>
  <c r="AS25" i="15" s="1"/>
  <c r="AU51" i="34"/>
  <c r="AU35" i="34"/>
  <c r="AS15" i="15" s="1"/>
  <c r="AU54" i="34"/>
  <c r="AS26" i="15" s="1"/>
  <c r="AU37" i="34"/>
  <c r="AU52" i="34"/>
  <c r="AS24" i="15" s="1"/>
  <c r="AU38" i="34"/>
  <c r="AS17" i="15" s="1"/>
  <c r="AU36" i="34"/>
  <c r="AS16" i="15" s="1"/>
  <c r="AU34" i="34"/>
  <c r="AR87" i="34"/>
  <c r="AQ88" i="34"/>
  <c r="AP105" i="34"/>
  <c r="BM104" i="34"/>
  <c r="BL138" i="34"/>
  <c r="BM103" i="34"/>
  <c r="BL137" i="34"/>
  <c r="AP107" i="34"/>
  <c r="AP142" i="34" s="1"/>
  <c r="AQ102" i="34"/>
  <c r="AQ136" i="34" s="1"/>
  <c r="AT86" i="34"/>
  <c r="AO153" i="34"/>
  <c r="AR85" i="34"/>
  <c r="AP128" i="34"/>
  <c r="AP129" i="34" s="1"/>
  <c r="AN36" i="15" s="1"/>
  <c r="AQ94" i="34"/>
  <c r="AQ135" i="34"/>
  <c r="AR101" i="34"/>
  <c r="AO193" i="34"/>
  <c r="AM42" i="15" s="1"/>
  <c r="AM43" i="15" s="1"/>
  <c r="AM45" i="15" s="1"/>
  <c r="AS8" i="18"/>
  <c r="AR8" i="34"/>
  <c r="AR4" i="18"/>
  <c r="AP8" i="15"/>
  <c r="AR6" i="18"/>
  <c r="AQ6" i="34"/>
  <c r="AO6" i="15"/>
  <c r="AO5" i="15"/>
  <c r="AQ5" i="34"/>
  <c r="AR5" i="18"/>
  <c r="AQ4" i="34"/>
  <c r="AO4" i="15"/>
  <c r="AQ24" i="34"/>
  <c r="AR84" i="34"/>
  <c r="AS100" i="34"/>
  <c r="AR134" i="34"/>
  <c r="AP122" i="34"/>
  <c r="AM36" i="15"/>
  <c r="AO141" i="34"/>
  <c r="AM35" i="15"/>
  <c r="AR82" i="34"/>
  <c r="AR83" i="34"/>
  <c r="AR98" i="34"/>
  <c r="AQ132" i="34"/>
  <c r="AS92" i="34"/>
  <c r="AR126" i="34"/>
  <c r="AR91" i="34"/>
  <c r="AQ95" i="34"/>
  <c r="AQ125" i="34"/>
  <c r="AP139" i="34"/>
  <c r="AR99" i="34"/>
  <c r="AQ133" i="34"/>
  <c r="AR93" i="34"/>
  <c r="AQ127" i="34"/>
  <c r="AR22" i="34"/>
  <c r="AL57" i="15"/>
  <c r="AN204" i="34"/>
  <c r="AN211" i="34" s="1"/>
  <c r="AN213" i="34" s="1"/>
  <c r="AL59" i="15" s="1"/>
  <c r="AL20" i="15"/>
  <c r="AO224" i="34"/>
  <c r="AO225" i="34" s="1"/>
  <c r="AO234" i="34"/>
  <c r="AM57" i="15"/>
  <c r="AO204" i="34"/>
  <c r="AO211" i="34" s="1"/>
  <c r="AP228" i="34"/>
  <c r="AP25" i="34"/>
  <c r="AN11" i="15"/>
  <c r="AN19" i="15" s="1"/>
  <c r="AN39" i="15" s="1"/>
  <c r="AP152" i="34"/>
  <c r="AP202" i="34"/>
  <c r="AQ58" i="15" l="1"/>
  <c r="AS209" i="34"/>
  <c r="AO163" i="34"/>
  <c r="AO165" i="34" s="1"/>
  <c r="AM61" i="15" s="1"/>
  <c r="AW21" i="34"/>
  <c r="AV38" i="34"/>
  <c r="AT17" i="15" s="1"/>
  <c r="AV36" i="34"/>
  <c r="AT16" i="15" s="1"/>
  <c r="AV34" i="34"/>
  <c r="AV53" i="34"/>
  <c r="AT25" i="15" s="1"/>
  <c r="AV51" i="34"/>
  <c r="AV54" i="34"/>
  <c r="AT26" i="15" s="1"/>
  <c r="AV35" i="34"/>
  <c r="AT15" i="15" s="1"/>
  <c r="AV37" i="34"/>
  <c r="AV52" i="34"/>
  <c r="AT24" i="15" s="1"/>
  <c r="AR22" i="15"/>
  <c r="AT71" i="34"/>
  <c r="AT206" i="34" s="1"/>
  <c r="AT208" i="34" s="1"/>
  <c r="AU40" i="34"/>
  <c r="AS14" i="15"/>
  <c r="AS156" i="34"/>
  <c r="AS157" i="34" s="1"/>
  <c r="AS160" i="34"/>
  <c r="AS161" i="34" s="1"/>
  <c r="AS23" i="15"/>
  <c r="AU55" i="34"/>
  <c r="AR13" i="15"/>
  <c r="AK40" i="15"/>
  <c r="AS87" i="34"/>
  <c r="AR88" i="34"/>
  <c r="BN103" i="34"/>
  <c r="BM137" i="34"/>
  <c r="BN104" i="34"/>
  <c r="BM138" i="34"/>
  <c r="AQ105" i="34"/>
  <c r="AQ107" i="34" s="1"/>
  <c r="AQ142" i="34" s="1"/>
  <c r="AR102" i="34"/>
  <c r="AR136" i="34" s="1"/>
  <c r="AU86" i="34"/>
  <c r="AO213" i="34"/>
  <c r="AM59" i="15" s="1"/>
  <c r="AP153" i="34"/>
  <c r="AS85" i="34"/>
  <c r="AQ128" i="34"/>
  <c r="AQ129" i="34" s="1"/>
  <c r="AO36" i="15" s="1"/>
  <c r="AR94" i="34"/>
  <c r="AR95" i="34" s="1"/>
  <c r="AR135" i="34"/>
  <c r="AS101" i="34"/>
  <c r="AK56" i="15"/>
  <c r="AP193" i="34"/>
  <c r="AN42" i="15" s="1"/>
  <c r="AN43" i="15" s="1"/>
  <c r="AN45" i="15" s="1"/>
  <c r="AP6" i="15"/>
  <c r="AR6" i="34"/>
  <c r="AP4" i="15"/>
  <c r="AR4" i="34"/>
  <c r="AT8" i="18"/>
  <c r="AS4" i="18"/>
  <c r="AS6" i="18"/>
  <c r="AS8" i="34"/>
  <c r="AQ8" i="15"/>
  <c r="AR5" i="34"/>
  <c r="AS5" i="18"/>
  <c r="AP5" i="15"/>
  <c r="AR24" i="34"/>
  <c r="AS83" i="34"/>
  <c r="AS99" i="34"/>
  <c r="AR133" i="34"/>
  <c r="AQ122" i="34"/>
  <c r="AS82" i="34"/>
  <c r="AN37" i="15"/>
  <c r="AP141" i="34"/>
  <c r="AN34" i="15" s="1"/>
  <c r="AN35" i="15"/>
  <c r="AM34" i="15"/>
  <c r="AT100" i="34"/>
  <c r="AS134" i="34"/>
  <c r="AQ139" i="34"/>
  <c r="AO37" i="15" s="1"/>
  <c r="AS98" i="34"/>
  <c r="AR132" i="34"/>
  <c r="AS91" i="34"/>
  <c r="AR125" i="34"/>
  <c r="AT92" i="34"/>
  <c r="AS126" i="34"/>
  <c r="AR127" i="34"/>
  <c r="AS93" i="34"/>
  <c r="AS84" i="34"/>
  <c r="AS22" i="34"/>
  <c r="AM20" i="15"/>
  <c r="AP234" i="34"/>
  <c r="AP224" i="34"/>
  <c r="AP225" i="34" s="1"/>
  <c r="AQ202" i="34"/>
  <c r="AQ203" i="34" s="1"/>
  <c r="AQ152" i="34"/>
  <c r="AO11" i="15"/>
  <c r="AO19" i="15" s="1"/>
  <c r="AO39" i="15" s="1"/>
  <c r="AQ25" i="34"/>
  <c r="AQ228" i="34"/>
  <c r="AP203" i="34"/>
  <c r="AL56" i="15"/>
  <c r="AL40" i="15"/>
  <c r="AP163" i="34" l="1"/>
  <c r="AP165" i="34" s="1"/>
  <c r="AN61" i="15" s="1"/>
  <c r="AR58" i="15"/>
  <c r="AT209" i="34"/>
  <c r="AT160" i="34"/>
  <c r="AT161" i="34" s="1"/>
  <c r="AS22" i="15"/>
  <c r="AU71" i="34"/>
  <c r="AU156" i="34" s="1"/>
  <c r="AU157" i="34" s="1"/>
  <c r="AV40" i="34"/>
  <c r="AT14" i="15"/>
  <c r="AT156" i="34"/>
  <c r="AT157" i="34" s="1"/>
  <c r="AT23" i="15"/>
  <c r="AV55" i="34"/>
  <c r="AS13" i="15"/>
  <c r="AX21" i="34"/>
  <c r="AW38" i="34"/>
  <c r="AU17" i="15" s="1"/>
  <c r="AW36" i="34"/>
  <c r="AU16" i="15" s="1"/>
  <c r="AW34" i="34"/>
  <c r="AW53" i="34"/>
  <c r="AU25" i="15" s="1"/>
  <c r="AW51" i="34"/>
  <c r="AW35" i="34"/>
  <c r="AU15" i="15" s="1"/>
  <c r="AW54" i="34"/>
  <c r="AU26" i="15" s="1"/>
  <c r="AW52" i="34"/>
  <c r="AU24" i="15" s="1"/>
  <c r="AW37" i="34"/>
  <c r="AT87" i="34"/>
  <c r="AS88" i="34"/>
  <c r="BO104" i="34"/>
  <c r="BN138" i="34"/>
  <c r="BO103" i="34"/>
  <c r="BN137" i="34"/>
  <c r="AR105" i="34"/>
  <c r="AR107" i="34" s="1"/>
  <c r="AR142" i="34" s="1"/>
  <c r="AS102" i="34"/>
  <c r="AS136" i="34" s="1"/>
  <c r="AV86" i="34"/>
  <c r="AQ153" i="34"/>
  <c r="AT85" i="34"/>
  <c r="AR128" i="34"/>
  <c r="AR129" i="34" s="1"/>
  <c r="AP36" i="15" s="1"/>
  <c r="AS94" i="34"/>
  <c r="AS95" i="34" s="1"/>
  <c r="AS135" i="34"/>
  <c r="AT101" i="34"/>
  <c r="AR122" i="34"/>
  <c r="AP35" i="15" s="1"/>
  <c r="AQ193" i="34"/>
  <c r="AO42" i="15" s="1"/>
  <c r="AO43" i="15" s="1"/>
  <c r="AO45" i="15" s="1"/>
  <c r="AQ4" i="15"/>
  <c r="AS4" i="34"/>
  <c r="AU8" i="18"/>
  <c r="AT8" i="34"/>
  <c r="AT4" i="18"/>
  <c r="AR8" i="15"/>
  <c r="AT6" i="18"/>
  <c r="AS6" i="34"/>
  <c r="AQ6" i="15"/>
  <c r="AT5" i="18"/>
  <c r="AS5" i="34"/>
  <c r="AQ5" i="15"/>
  <c r="AS24" i="34"/>
  <c r="AR139" i="34"/>
  <c r="AP37" i="15" s="1"/>
  <c r="AT82" i="34"/>
  <c r="AO35" i="15"/>
  <c r="AQ141" i="34"/>
  <c r="AO34" i="15" s="1"/>
  <c r="AT84" i="34"/>
  <c r="AT98" i="34"/>
  <c r="AS132" i="34"/>
  <c r="AT99" i="34"/>
  <c r="AS133" i="34"/>
  <c r="AT83" i="34"/>
  <c r="AU92" i="34"/>
  <c r="AT126" i="34"/>
  <c r="AT91" i="34"/>
  <c r="AS125" i="34"/>
  <c r="AT93" i="34"/>
  <c r="AS127" i="34"/>
  <c r="AU100" i="34"/>
  <c r="AT134" i="34"/>
  <c r="AT22" i="34"/>
  <c r="AN57" i="15"/>
  <c r="AP204" i="34"/>
  <c r="AP211" i="34" s="1"/>
  <c r="AP213" i="34" s="1"/>
  <c r="AN59" i="15" s="1"/>
  <c r="AQ224" i="34"/>
  <c r="AQ225" i="34" s="1"/>
  <c r="AQ234" i="34"/>
  <c r="AO57" i="15"/>
  <c r="AQ204" i="34"/>
  <c r="AQ211" i="34" s="1"/>
  <c r="AR25" i="34"/>
  <c r="AR202" i="34"/>
  <c r="AR203" i="34" s="1"/>
  <c r="AP11" i="15"/>
  <c r="AP19" i="15" s="1"/>
  <c r="AP39" i="15" s="1"/>
  <c r="AR152" i="34"/>
  <c r="AR228" i="34"/>
  <c r="AN20" i="15"/>
  <c r="AM56" i="15"/>
  <c r="AM40" i="15"/>
  <c r="AQ163" i="34" l="1"/>
  <c r="AQ165" i="34" s="1"/>
  <c r="AO61" i="15" s="1"/>
  <c r="AU206" i="34"/>
  <c r="AU208" i="34" s="1"/>
  <c r="AU14" i="15"/>
  <c r="AW40" i="34"/>
  <c r="AT13" i="15"/>
  <c r="AU23" i="15"/>
  <c r="AW55" i="34"/>
  <c r="AY21" i="34"/>
  <c r="AX38" i="34"/>
  <c r="AV17" i="15" s="1"/>
  <c r="AX36" i="34"/>
  <c r="AV16" i="15" s="1"/>
  <c r="AX34" i="34"/>
  <c r="AX53" i="34"/>
  <c r="AV25" i="15" s="1"/>
  <c r="AX51" i="34"/>
  <c r="AX54" i="34"/>
  <c r="AV26" i="15" s="1"/>
  <c r="AX52" i="34"/>
  <c r="AV24" i="15" s="1"/>
  <c r="AX37" i="34"/>
  <c r="AX35" i="34"/>
  <c r="AV15" i="15" s="1"/>
  <c r="AT22" i="15"/>
  <c r="AV71" i="34"/>
  <c r="AV156" i="34" s="1"/>
  <c r="AV157" i="34" s="1"/>
  <c r="AU160" i="34"/>
  <c r="AU161" i="34" s="1"/>
  <c r="AU87" i="34"/>
  <c r="AT88" i="34"/>
  <c r="AQ213" i="34"/>
  <c r="AO59" i="15" s="1"/>
  <c r="BP103" i="34"/>
  <c r="BO137" i="34"/>
  <c r="AS105" i="34"/>
  <c r="AS107" i="34" s="1"/>
  <c r="BP104" i="34"/>
  <c r="BO138" i="34"/>
  <c r="AT102" i="34"/>
  <c r="AT136" i="34" s="1"/>
  <c r="AW86" i="34"/>
  <c r="AR141" i="34"/>
  <c r="AP34" i="15" s="1"/>
  <c r="AR153" i="34"/>
  <c r="AU85" i="34"/>
  <c r="AS128" i="34"/>
  <c r="AS129" i="34" s="1"/>
  <c r="AQ36" i="15" s="1"/>
  <c r="AT94" i="34"/>
  <c r="AT95" i="34" s="1"/>
  <c r="AT135" i="34"/>
  <c r="AU101" i="34"/>
  <c r="AR193" i="34"/>
  <c r="AP42" i="15" s="1"/>
  <c r="AP43" i="15" s="1"/>
  <c r="AP45" i="15" s="1"/>
  <c r="AR6" i="15"/>
  <c r="AT6" i="34"/>
  <c r="AT5" i="34"/>
  <c r="AR5" i="15"/>
  <c r="AU5" i="18"/>
  <c r="AR4" i="15"/>
  <c r="AT4" i="34"/>
  <c r="AS8" i="15"/>
  <c r="AU8" i="34"/>
  <c r="AV8" i="18"/>
  <c r="AU4" i="18"/>
  <c r="AU6" i="18"/>
  <c r="AT24" i="34"/>
  <c r="AU98" i="34"/>
  <c r="AT132" i="34"/>
  <c r="AU84" i="34"/>
  <c r="AS122" i="34"/>
  <c r="AV92" i="34"/>
  <c r="AU126" i="34"/>
  <c r="AU83" i="34"/>
  <c r="AU82" i="34"/>
  <c r="AU88" i="34" s="1"/>
  <c r="AV100" i="34"/>
  <c r="AU134" i="34"/>
  <c r="AU99" i="34"/>
  <c r="AT133" i="34"/>
  <c r="AU91" i="34"/>
  <c r="AT125" i="34"/>
  <c r="AU93" i="34"/>
  <c r="AT127" i="34"/>
  <c r="AS139" i="34"/>
  <c r="AQ37" i="15" s="1"/>
  <c r="AU22" i="34"/>
  <c r="AN56" i="15"/>
  <c r="AN40" i="15"/>
  <c r="AR224" i="34"/>
  <c r="AR225" i="34" s="1"/>
  <c r="AR234" i="34"/>
  <c r="AP57" i="15"/>
  <c r="AR204" i="34"/>
  <c r="AR211" i="34" s="1"/>
  <c r="AS25" i="34"/>
  <c r="AS202" i="34"/>
  <c r="AS203" i="34" s="1"/>
  <c r="AQ11" i="15"/>
  <c r="AQ19" i="15" s="1"/>
  <c r="AQ39" i="15" s="1"/>
  <c r="AS152" i="34"/>
  <c r="AS153" i="34" s="1"/>
  <c r="AS163" i="34" s="1"/>
  <c r="AS228" i="34"/>
  <c r="AO20" i="15"/>
  <c r="AR163" i="34" l="1"/>
  <c r="AR165" i="34" s="1"/>
  <c r="AP61" i="15" s="1"/>
  <c r="AS165" i="34"/>
  <c r="AS58" i="15"/>
  <c r="AU209" i="34"/>
  <c r="AX40" i="34"/>
  <c r="AV14" i="15"/>
  <c r="AZ21" i="34"/>
  <c r="AY38" i="34"/>
  <c r="AW17" i="15" s="1"/>
  <c r="AY36" i="34"/>
  <c r="AW16" i="15" s="1"/>
  <c r="AY34" i="34"/>
  <c r="AY53" i="34"/>
  <c r="AW25" i="15" s="1"/>
  <c r="AY51" i="34"/>
  <c r="AY37" i="34"/>
  <c r="AY35" i="34"/>
  <c r="AW15" i="15" s="1"/>
  <c r="AY54" i="34"/>
  <c r="AW26" i="15" s="1"/>
  <c r="AY52" i="34"/>
  <c r="AW24" i="15" s="1"/>
  <c r="AU22" i="15"/>
  <c r="AW71" i="34"/>
  <c r="AW206" i="34" s="1"/>
  <c r="AW208" i="34" s="1"/>
  <c r="AU13" i="15"/>
  <c r="AW156" i="34"/>
  <c r="AW157" i="34" s="1"/>
  <c r="AW160" i="34"/>
  <c r="AW161" i="34" s="1"/>
  <c r="AV206" i="34"/>
  <c r="AV208" i="34" s="1"/>
  <c r="AV160" i="34"/>
  <c r="AV161" i="34" s="1"/>
  <c r="AV23" i="15"/>
  <c r="AX55" i="34"/>
  <c r="AV87" i="34"/>
  <c r="BQ104" i="34"/>
  <c r="BP138" i="34"/>
  <c r="BQ103" i="34"/>
  <c r="BP137" i="34"/>
  <c r="AT105" i="34"/>
  <c r="AT107" i="34" s="1"/>
  <c r="AT142" i="34" s="1"/>
  <c r="AU102" i="34"/>
  <c r="AU136" i="34" s="1"/>
  <c r="AX86" i="34"/>
  <c r="AR213" i="34"/>
  <c r="AP59" i="15" s="1"/>
  <c r="AV85" i="34"/>
  <c r="AT128" i="34"/>
  <c r="AT129" i="34" s="1"/>
  <c r="AU94" i="34"/>
  <c r="AU95" i="34" s="1"/>
  <c r="AU135" i="34"/>
  <c r="AV101" i="34"/>
  <c r="AS193" i="34"/>
  <c r="AQ42" i="15" s="1"/>
  <c r="AQ43" i="15" s="1"/>
  <c r="AQ45" i="15" s="1"/>
  <c r="AU5" i="34"/>
  <c r="AS5" i="15"/>
  <c r="AV5" i="18"/>
  <c r="AS6" i="15"/>
  <c r="AU6" i="34"/>
  <c r="AS4" i="15"/>
  <c r="AU4" i="34"/>
  <c r="AW8" i="18"/>
  <c r="AV8" i="34"/>
  <c r="AV6" i="18"/>
  <c r="AT8" i="15"/>
  <c r="AV4" i="18"/>
  <c r="AU24" i="34"/>
  <c r="AQ35" i="15"/>
  <c r="AS141" i="34"/>
  <c r="AQ34" i="15" s="1"/>
  <c r="AW92" i="34"/>
  <c r="AV126" i="34"/>
  <c r="AS142" i="34"/>
  <c r="AV99" i="34"/>
  <c r="AU133" i="34"/>
  <c r="AV84" i="34"/>
  <c r="AV91" i="34"/>
  <c r="AU125" i="34"/>
  <c r="AW100" i="34"/>
  <c r="AV134" i="34"/>
  <c r="AT122" i="34"/>
  <c r="AV93" i="34"/>
  <c r="AU127" i="34"/>
  <c r="AV82" i="34"/>
  <c r="AT139" i="34"/>
  <c r="AV83" i="34"/>
  <c r="AV98" i="34"/>
  <c r="AU132" i="34"/>
  <c r="AV22" i="34"/>
  <c r="AQ57" i="15"/>
  <c r="AS204" i="34"/>
  <c r="AO40" i="15"/>
  <c r="AO56" i="15"/>
  <c r="AT25" i="34"/>
  <c r="AR11" i="15"/>
  <c r="AR19" i="15" s="1"/>
  <c r="AR39" i="15" s="1"/>
  <c r="AT228" i="34"/>
  <c r="AT152" i="34"/>
  <c r="AT153" i="34" s="1"/>
  <c r="AT163" i="34" s="1"/>
  <c r="AT165" i="34" s="1"/>
  <c r="AT202" i="34"/>
  <c r="AS224" i="34"/>
  <c r="AS225" i="34" s="1"/>
  <c r="AS234" i="34"/>
  <c r="AP20" i="15"/>
  <c r="AU58" i="15" l="1"/>
  <c r="AW209" i="34"/>
  <c r="AT58" i="15"/>
  <c r="AV209" i="34"/>
  <c r="AV22" i="15"/>
  <c r="AX71" i="34"/>
  <c r="AX156" i="34" s="1"/>
  <c r="AX157" i="34" s="1"/>
  <c r="BA21" i="34"/>
  <c r="AZ38" i="34"/>
  <c r="AX17" i="15" s="1"/>
  <c r="AZ36" i="34"/>
  <c r="AX16" i="15" s="1"/>
  <c r="AZ34" i="34"/>
  <c r="AZ53" i="34"/>
  <c r="AX25" i="15" s="1"/>
  <c r="AZ51" i="34"/>
  <c r="AZ35" i="34"/>
  <c r="AX15" i="15" s="1"/>
  <c r="AZ37" i="34"/>
  <c r="AZ54" i="34"/>
  <c r="AX26" i="15" s="1"/>
  <c r="AZ52" i="34"/>
  <c r="AX24" i="15" s="1"/>
  <c r="AW23" i="15"/>
  <c r="AY55" i="34"/>
  <c r="AW14" i="15"/>
  <c r="AY40" i="34"/>
  <c r="AV13" i="15"/>
  <c r="AX160" i="34"/>
  <c r="AX161" i="34" s="1"/>
  <c r="AX206" i="34"/>
  <c r="AX208" i="34" s="1"/>
  <c r="AW87" i="34"/>
  <c r="AV88" i="34"/>
  <c r="BQ137" i="34"/>
  <c r="BR103" i="34"/>
  <c r="BQ138" i="34"/>
  <c r="BR104" i="34"/>
  <c r="AU105" i="34"/>
  <c r="AU107" i="34" s="1"/>
  <c r="AU142" i="34" s="1"/>
  <c r="AV102" i="34"/>
  <c r="AV136" i="34" s="1"/>
  <c r="AY86" i="34"/>
  <c r="AW85" i="34"/>
  <c r="AU128" i="34"/>
  <c r="AU129" i="34" s="1"/>
  <c r="AS36" i="15" s="1"/>
  <c r="AV94" i="34"/>
  <c r="AV95" i="34" s="1"/>
  <c r="AV135" i="34"/>
  <c r="AW101" i="34"/>
  <c r="AT4" i="15"/>
  <c r="AV4" i="34"/>
  <c r="AW5" i="18"/>
  <c r="AV5" i="34"/>
  <c r="AT5" i="15"/>
  <c r="AT193" i="34"/>
  <c r="AR42" i="15" s="1"/>
  <c r="AR43" i="15" s="1"/>
  <c r="AR45" i="15" s="1"/>
  <c r="AV6" i="34"/>
  <c r="AT6" i="15"/>
  <c r="AW6" i="18"/>
  <c r="AU8" i="15"/>
  <c r="AX8" i="18"/>
  <c r="AW4" i="18"/>
  <c r="AW8" i="34"/>
  <c r="AV24" i="34"/>
  <c r="AU139" i="34"/>
  <c r="AS37" i="15" s="1"/>
  <c r="AT141" i="34"/>
  <c r="AR35" i="15"/>
  <c r="AW98" i="34"/>
  <c r="AV132" i="34"/>
  <c r="AW83" i="34"/>
  <c r="AX100" i="34"/>
  <c r="AW134" i="34"/>
  <c r="AW91" i="34"/>
  <c r="AV125" i="34"/>
  <c r="AX92" i="34"/>
  <c r="AW126" i="34"/>
  <c r="AR36" i="15"/>
  <c r="AR37" i="15"/>
  <c r="AW84" i="34"/>
  <c r="AU122" i="34"/>
  <c r="AW99" i="34"/>
  <c r="AV133" i="34"/>
  <c r="AW82" i="34"/>
  <c r="AW93" i="34"/>
  <c r="AV127" i="34"/>
  <c r="AW22" i="34"/>
  <c r="AT224" i="34"/>
  <c r="AT234" i="34"/>
  <c r="AQ20" i="15"/>
  <c r="AP56" i="15"/>
  <c r="AP40" i="15"/>
  <c r="AU25" i="34"/>
  <c r="AS11" i="15"/>
  <c r="AS19" i="15" s="1"/>
  <c r="AS39" i="15" s="1"/>
  <c r="AU228" i="34"/>
  <c r="AU152" i="34"/>
  <c r="AU202" i="34"/>
  <c r="AU203" i="34" s="1"/>
  <c r="AQ61" i="15"/>
  <c r="AT203" i="34"/>
  <c r="AR61" i="15"/>
  <c r="AS211" i="34"/>
  <c r="AS213" i="34" s="1"/>
  <c r="AQ59" i="15" s="1"/>
  <c r="V44" i="15"/>
  <c r="AV58" i="15" l="1"/>
  <c r="AX209" i="34"/>
  <c r="AX14" i="15"/>
  <c r="AZ40" i="34"/>
  <c r="AX23" i="15"/>
  <c r="AZ55" i="34"/>
  <c r="BB21" i="34"/>
  <c r="BA54" i="34"/>
  <c r="AY26" i="15" s="1"/>
  <c r="BA52" i="34"/>
  <c r="AY24" i="15" s="1"/>
  <c r="BA36" i="34"/>
  <c r="AY16" i="15" s="1"/>
  <c r="BA34" i="34"/>
  <c r="BA51" i="34"/>
  <c r="BA38" i="34"/>
  <c r="AY17" i="15" s="1"/>
  <c r="BA53" i="34"/>
  <c r="AY25" i="15" s="1"/>
  <c r="BA35" i="34"/>
  <c r="AY15" i="15" s="1"/>
  <c r="BA37" i="34"/>
  <c r="AW22" i="15"/>
  <c r="AY71" i="34"/>
  <c r="AW13" i="15"/>
  <c r="AY206" i="34"/>
  <c r="AY208" i="34" s="1"/>
  <c r="AY160" i="34"/>
  <c r="AY161" i="34" s="1"/>
  <c r="AY156" i="34"/>
  <c r="AY157" i="34" s="1"/>
  <c r="AW88" i="34"/>
  <c r="AX87" i="34"/>
  <c r="BS104" i="34"/>
  <c r="BR138" i="34"/>
  <c r="BS103" i="34"/>
  <c r="BR137" i="34"/>
  <c r="AV105" i="34"/>
  <c r="AV107" i="34" s="1"/>
  <c r="AV142" i="34" s="1"/>
  <c r="AW102" i="34"/>
  <c r="AW136" i="34" s="1"/>
  <c r="AZ86" i="34"/>
  <c r="AU153" i="34"/>
  <c r="AX85" i="34"/>
  <c r="AV128" i="34"/>
  <c r="AV129" i="34" s="1"/>
  <c r="AW94" i="34"/>
  <c r="AW95" i="34" s="1"/>
  <c r="AX101" i="34"/>
  <c r="AW135" i="34"/>
  <c r="AU193" i="34"/>
  <c r="AS42" i="15" s="1"/>
  <c r="AS43" i="15" s="1"/>
  <c r="AS45" i="15" s="1"/>
  <c r="AU6" i="15"/>
  <c r="AW6" i="34"/>
  <c r="AX5" i="18"/>
  <c r="AW5" i="34"/>
  <c r="AU5" i="15"/>
  <c r="AW4" i="34"/>
  <c r="AU4" i="15"/>
  <c r="AX8" i="34"/>
  <c r="AY8" i="18"/>
  <c r="AV8" i="15"/>
  <c r="AX4" i="18"/>
  <c r="AX6" i="18"/>
  <c r="AW24" i="34"/>
  <c r="AV139" i="34"/>
  <c r="AT37" i="15" s="1"/>
  <c r="AX83" i="34"/>
  <c r="AX98" i="34"/>
  <c r="AW132" i="34"/>
  <c r="AX82" i="34"/>
  <c r="AY92" i="34"/>
  <c r="AX126" i="34"/>
  <c r="AR34" i="15"/>
  <c r="AX93" i="34"/>
  <c r="AW127" i="34"/>
  <c r="AX91" i="34"/>
  <c r="AW125" i="34"/>
  <c r="AX99" i="34"/>
  <c r="AW133" i="34"/>
  <c r="AY100" i="34"/>
  <c r="AX134" i="34"/>
  <c r="AV122" i="34"/>
  <c r="AU141" i="34"/>
  <c r="AS34" i="15" s="1"/>
  <c r="AS35" i="15"/>
  <c r="AX84" i="34"/>
  <c r="AX22" i="34"/>
  <c r="AS57" i="15"/>
  <c r="AU204" i="34"/>
  <c r="AU211" i="34" s="1"/>
  <c r="AQ56" i="15"/>
  <c r="AQ40" i="15"/>
  <c r="AR20" i="15"/>
  <c r="AU234" i="34"/>
  <c r="AU224" i="34"/>
  <c r="AU225" i="34" s="1"/>
  <c r="AR57" i="15"/>
  <c r="AT204" i="34"/>
  <c r="AT211" i="34" s="1"/>
  <c r="AT213" i="34" s="1"/>
  <c r="AR59" i="15" s="1"/>
  <c r="AV228" i="34"/>
  <c r="AV152" i="34"/>
  <c r="AV25" i="34"/>
  <c r="AV202" i="34"/>
  <c r="AV203" i="34" s="1"/>
  <c r="AT11" i="15"/>
  <c r="AT19" i="15" s="1"/>
  <c r="AT39" i="15" s="1"/>
  <c r="AT225" i="34"/>
  <c r="X235" i="34"/>
  <c r="X236" i="34" s="1"/>
  <c r="X237" i="34" s="1"/>
  <c r="X229" i="34"/>
  <c r="AU163" i="34" l="1"/>
  <c r="AU165" i="34" s="1"/>
  <c r="AS61" i="15" s="1"/>
  <c r="AW58" i="15"/>
  <c r="AY209" i="34"/>
  <c r="AX22" i="15"/>
  <c r="AZ71" i="34"/>
  <c r="AZ206" i="34" s="1"/>
  <c r="AZ208" i="34" s="1"/>
  <c r="AY14" i="15"/>
  <c r="BA40" i="34"/>
  <c r="BA55" i="34"/>
  <c r="AY23" i="15"/>
  <c r="BC21" i="34"/>
  <c r="BB37" i="34"/>
  <c r="BB35" i="34"/>
  <c r="AZ15" i="15" s="1"/>
  <c r="BB36" i="34"/>
  <c r="AZ16" i="15" s="1"/>
  <c r="BB54" i="34"/>
  <c r="AZ26" i="15" s="1"/>
  <c r="BB52" i="34"/>
  <c r="AZ24" i="15" s="1"/>
  <c r="BB38" i="34"/>
  <c r="AZ17" i="15" s="1"/>
  <c r="BB34" i="34"/>
  <c r="BB53" i="34"/>
  <c r="AZ25" i="15" s="1"/>
  <c r="BB51" i="34"/>
  <c r="AX13" i="15"/>
  <c r="AZ156" i="34"/>
  <c r="AZ157" i="34" s="1"/>
  <c r="AZ160" i="34"/>
  <c r="AZ161" i="34" s="1"/>
  <c r="AY87" i="34"/>
  <c r="AX88" i="34"/>
  <c r="BT103" i="34"/>
  <c r="BS137" i="34"/>
  <c r="BT104" i="34"/>
  <c r="BS138" i="34"/>
  <c r="AW105" i="34"/>
  <c r="AW107" i="34" s="1"/>
  <c r="AW142" i="34" s="1"/>
  <c r="AX102" i="34"/>
  <c r="AX136" i="34" s="1"/>
  <c r="BA86" i="34"/>
  <c r="AU213" i="34"/>
  <c r="AS59" i="15" s="1"/>
  <c r="AV153" i="34"/>
  <c r="AY85" i="34"/>
  <c r="AX94" i="34"/>
  <c r="AX95" i="34" s="1"/>
  <c r="AW128" i="34"/>
  <c r="AW129" i="34" s="1"/>
  <c r="AU36" i="15" s="1"/>
  <c r="AY101" i="34"/>
  <c r="AX135" i="34"/>
  <c r="AV4" i="15"/>
  <c r="AX4" i="34"/>
  <c r="AV5" i="15"/>
  <c r="AX5" i="34"/>
  <c r="AY5" i="18"/>
  <c r="AZ8" i="18"/>
  <c r="AY6" i="18"/>
  <c r="AY8" i="34"/>
  <c r="AY4" i="18"/>
  <c r="AW8" i="15"/>
  <c r="AV193" i="34"/>
  <c r="AT42" i="15" s="1"/>
  <c r="AT43" i="15" s="1"/>
  <c r="AT45" i="15" s="1"/>
  <c r="AV6" i="15"/>
  <c r="AX6" i="34"/>
  <c r="AX24" i="34"/>
  <c r="AW122" i="34"/>
  <c r="AU35" i="15" s="1"/>
  <c r="AY82" i="34"/>
  <c r="AZ92" i="34"/>
  <c r="AY126" i="34"/>
  <c r="AW139" i="34"/>
  <c r="AY91" i="34"/>
  <c r="AX125" i="34"/>
  <c r="AY98" i="34"/>
  <c r="AX132" i="34"/>
  <c r="AZ100" i="34"/>
  <c r="AY134" i="34"/>
  <c r="AY84" i="34"/>
  <c r="AT36" i="15"/>
  <c r="AY93" i="34"/>
  <c r="AX127" i="34"/>
  <c r="AY83" i="34"/>
  <c r="AY99" i="34"/>
  <c r="AX133" i="34"/>
  <c r="AT35" i="15"/>
  <c r="AV141" i="34"/>
  <c r="AY22" i="34"/>
  <c r="AR40" i="15"/>
  <c r="AR56" i="15"/>
  <c r="AW228" i="34"/>
  <c r="AW202" i="34"/>
  <c r="AW203" i="34" s="1"/>
  <c r="AU11" i="15"/>
  <c r="AU19" i="15" s="1"/>
  <c r="AU39" i="15" s="1"/>
  <c r="AW152" i="34"/>
  <c r="AW25" i="34"/>
  <c r="AT57" i="15"/>
  <c r="AV204" i="34"/>
  <c r="AV211" i="34" s="1"/>
  <c r="AV234" i="34"/>
  <c r="AV224" i="34"/>
  <c r="AS20" i="15"/>
  <c r="AX58" i="15" l="1"/>
  <c r="AZ209" i="34"/>
  <c r="AV163" i="34"/>
  <c r="AV165" i="34" s="1"/>
  <c r="AT61" i="15" s="1"/>
  <c r="AZ14" i="15"/>
  <c r="BB40" i="34"/>
  <c r="AY13" i="15"/>
  <c r="BB55" i="34"/>
  <c r="AZ23" i="15"/>
  <c r="BD21" i="34"/>
  <c r="BC37" i="34"/>
  <c r="BC35" i="34"/>
  <c r="BA15" i="15" s="1"/>
  <c r="BC54" i="34"/>
  <c r="BA26" i="15" s="1"/>
  <c r="BC52" i="34"/>
  <c r="BA24" i="15" s="1"/>
  <c r="BC36" i="34"/>
  <c r="BA16" i="15" s="1"/>
  <c r="BC53" i="34"/>
  <c r="BA25" i="15" s="1"/>
  <c r="BC51" i="34"/>
  <c r="BC38" i="34"/>
  <c r="BA17" i="15" s="1"/>
  <c r="BC34" i="34"/>
  <c r="AY22" i="15"/>
  <c r="BA71" i="34"/>
  <c r="BA206" i="34" s="1"/>
  <c r="BA208" i="34" s="1"/>
  <c r="AZ87" i="34"/>
  <c r="AY88" i="34"/>
  <c r="BU104" i="34"/>
  <c r="BT138" i="34"/>
  <c r="AX105" i="34"/>
  <c r="BU103" i="34"/>
  <c r="BT137" i="34"/>
  <c r="AY102" i="34"/>
  <c r="AY136" i="34" s="1"/>
  <c r="BB86" i="34"/>
  <c r="AV213" i="34"/>
  <c r="AT59" i="15" s="1"/>
  <c r="AW153" i="34"/>
  <c r="AZ85" i="34"/>
  <c r="AW141" i="34"/>
  <c r="AU34" i="15" s="1"/>
  <c r="AY94" i="34"/>
  <c r="AY95" i="34" s="1"/>
  <c r="AX128" i="34"/>
  <c r="AX129" i="34" s="1"/>
  <c r="AV36" i="15" s="1"/>
  <c r="AZ101" i="34"/>
  <c r="AY135" i="34"/>
  <c r="AW193" i="34"/>
  <c r="AU42" i="15" s="1"/>
  <c r="AU43" i="15" s="1"/>
  <c r="AU45" i="15" s="1"/>
  <c r="AX8" i="15"/>
  <c r="AZ8" i="34"/>
  <c r="BA8" i="18"/>
  <c r="AZ4" i="18"/>
  <c r="AZ6" i="18"/>
  <c r="AW5" i="15"/>
  <c r="AZ5" i="18"/>
  <c r="AY5" i="34"/>
  <c r="AW6" i="15"/>
  <c r="AY6" i="34"/>
  <c r="AW4" i="15"/>
  <c r="AY4" i="34"/>
  <c r="AY24" i="34"/>
  <c r="AZ98" i="34"/>
  <c r="AY132" i="34"/>
  <c r="AY127" i="34"/>
  <c r="AZ93" i="34"/>
  <c r="AX139" i="34"/>
  <c r="AV37" i="15" s="1"/>
  <c r="AZ91" i="34"/>
  <c r="AY125" i="34"/>
  <c r="AZ83" i="34"/>
  <c r="AU37" i="15"/>
  <c r="AZ84" i="34"/>
  <c r="BA92" i="34"/>
  <c r="AZ126" i="34"/>
  <c r="AX122" i="34"/>
  <c r="BA100" i="34"/>
  <c r="AZ134" i="34"/>
  <c r="AZ99" i="34"/>
  <c r="AY133" i="34"/>
  <c r="AT34" i="15"/>
  <c r="AX107" i="34"/>
  <c r="AX142" i="34" s="1"/>
  <c r="AZ82" i="34"/>
  <c r="AZ22" i="34"/>
  <c r="AT20" i="15"/>
  <c r="AV225" i="34"/>
  <c r="AW234" i="34"/>
  <c r="AW224" i="34"/>
  <c r="AW225" i="34" s="1"/>
  <c r="AX25" i="34"/>
  <c r="AV11" i="15"/>
  <c r="AV19" i="15" s="1"/>
  <c r="AV39" i="15" s="1"/>
  <c r="AX202" i="34"/>
  <c r="AX228" i="34"/>
  <c r="AX152" i="34"/>
  <c r="AX153" i="34" s="1"/>
  <c r="AX163" i="34" s="1"/>
  <c r="AU57" i="15"/>
  <c r="AW204" i="34"/>
  <c r="AW211" i="34" s="1"/>
  <c r="AW213" i="34" s="1"/>
  <c r="AU59" i="15" s="1"/>
  <c r="AS56" i="15"/>
  <c r="AS40" i="15"/>
  <c r="AW163" i="34" l="1"/>
  <c r="AW165" i="34" s="1"/>
  <c r="AU61" i="15" s="1"/>
  <c r="AY58" i="15"/>
  <c r="BA209" i="34"/>
  <c r="AX165" i="34"/>
  <c r="AV61" i="15" s="1"/>
  <c r="BA14" i="15"/>
  <c r="BC40" i="34"/>
  <c r="BA156" i="34"/>
  <c r="BA157" i="34" s="1"/>
  <c r="AZ22" i="15"/>
  <c r="BB71" i="34"/>
  <c r="BB206" i="34" s="1"/>
  <c r="BB208" i="34" s="1"/>
  <c r="BA160" i="34"/>
  <c r="BA161" i="34" s="1"/>
  <c r="AZ13" i="15"/>
  <c r="BE21" i="34"/>
  <c r="BD37" i="34"/>
  <c r="BD35" i="34"/>
  <c r="BB15" i="15" s="1"/>
  <c r="BD54" i="34"/>
  <c r="BB26" i="15" s="1"/>
  <c r="BD52" i="34"/>
  <c r="BB24" i="15" s="1"/>
  <c r="BD51" i="34"/>
  <c r="BD36" i="34"/>
  <c r="BB16" i="15" s="1"/>
  <c r="BD38" i="34"/>
  <c r="BB17" i="15" s="1"/>
  <c r="BD53" i="34"/>
  <c r="BB25" i="15" s="1"/>
  <c r="BD34" i="34"/>
  <c r="BA23" i="15"/>
  <c r="BC55" i="34"/>
  <c r="BA87" i="34"/>
  <c r="AZ88" i="34"/>
  <c r="AY105" i="34"/>
  <c r="AY107" i="34" s="1"/>
  <c r="AY142" i="34" s="1"/>
  <c r="BV104" i="34"/>
  <c r="BU138" i="34"/>
  <c r="BV103" i="34"/>
  <c r="BU137" i="34"/>
  <c r="AZ102" i="34"/>
  <c r="AZ136" i="34" s="1"/>
  <c r="BC86" i="34"/>
  <c r="BA85" i="34"/>
  <c r="AZ94" i="34"/>
  <c r="AZ95" i="34" s="1"/>
  <c r="AY128" i="34"/>
  <c r="AY129" i="34" s="1"/>
  <c r="BA101" i="34"/>
  <c r="AZ135" i="34"/>
  <c r="AX193" i="34"/>
  <c r="AV42" i="15" s="1"/>
  <c r="AV43" i="15" s="1"/>
  <c r="AV45" i="15" s="1"/>
  <c r="AX6" i="15"/>
  <c r="AZ6" i="34"/>
  <c r="BB8" i="18"/>
  <c r="AY8" i="15"/>
  <c r="BA8" i="34"/>
  <c r="BA4" i="18"/>
  <c r="BA6" i="18"/>
  <c r="AZ5" i="34"/>
  <c r="BA5" i="18"/>
  <c r="AX5" i="15"/>
  <c r="AZ4" i="34"/>
  <c r="AX4" i="15"/>
  <c r="AZ24" i="34"/>
  <c r="BA99" i="34"/>
  <c r="AZ133" i="34"/>
  <c r="BA83" i="34"/>
  <c r="BA91" i="34"/>
  <c r="AZ125" i="34"/>
  <c r="AV35" i="15"/>
  <c r="AX141" i="34"/>
  <c r="BB92" i="34"/>
  <c r="BA126" i="34"/>
  <c r="BA84" i="34"/>
  <c r="AY122" i="34"/>
  <c r="BA82" i="34"/>
  <c r="BA93" i="34"/>
  <c r="AZ127" i="34"/>
  <c r="BB100" i="34"/>
  <c r="BA134" i="34"/>
  <c r="AY139" i="34"/>
  <c r="AW37" i="15" s="1"/>
  <c r="BA98" i="34"/>
  <c r="AZ132" i="34"/>
  <c r="BA22" i="34"/>
  <c r="AU20" i="15"/>
  <c r="AY228" i="34"/>
  <c r="AW11" i="15"/>
  <c r="AW19" i="15" s="1"/>
  <c r="AW39" i="15" s="1"/>
  <c r="AY25" i="34"/>
  <c r="AY202" i="34"/>
  <c r="AY203" i="34" s="1"/>
  <c r="AY152" i="34"/>
  <c r="AX203" i="34"/>
  <c r="AT56" i="15"/>
  <c r="AT40" i="15"/>
  <c r="AX234" i="34"/>
  <c r="AX224" i="34"/>
  <c r="AX225" i="34" s="1"/>
  <c r="AZ58" i="15" l="1"/>
  <c r="BB209" i="34"/>
  <c r="BB156" i="34"/>
  <c r="BB157" i="34" s="1"/>
  <c r="BB160" i="34"/>
  <c r="BB161" i="34" s="1"/>
  <c r="BA22" i="15"/>
  <c r="BC71" i="34"/>
  <c r="BC206" i="34" s="1"/>
  <c r="BC208" i="34" s="1"/>
  <c r="BB14" i="15"/>
  <c r="BD40" i="34"/>
  <c r="BD55" i="34"/>
  <c r="BB23" i="15"/>
  <c r="BA13" i="15"/>
  <c r="BC160" i="34"/>
  <c r="BC161" i="34" s="1"/>
  <c r="BF21" i="34"/>
  <c r="BE37" i="34"/>
  <c r="BE35" i="34"/>
  <c r="BC15" i="15" s="1"/>
  <c r="BE54" i="34"/>
  <c r="BC26" i="15" s="1"/>
  <c r="BE52" i="34"/>
  <c r="BC24" i="15" s="1"/>
  <c r="BE53" i="34"/>
  <c r="BC25" i="15" s="1"/>
  <c r="BE51" i="34"/>
  <c r="BE36" i="34"/>
  <c r="BC16" i="15" s="1"/>
  <c r="BE38" i="34"/>
  <c r="BC17" i="15" s="1"/>
  <c r="BE34" i="34"/>
  <c r="BB87" i="34"/>
  <c r="BA88" i="34"/>
  <c r="AZ105" i="34"/>
  <c r="AZ107" i="34" s="1"/>
  <c r="AZ142" i="34" s="1"/>
  <c r="BW103" i="34"/>
  <c r="BV137" i="34"/>
  <c r="BW104" i="34"/>
  <c r="BV138" i="34"/>
  <c r="BA102" i="34"/>
  <c r="BA136" i="34" s="1"/>
  <c r="BD86" i="34"/>
  <c r="AY153" i="34"/>
  <c r="BB85" i="34"/>
  <c r="BA94" i="34"/>
  <c r="BA95" i="34" s="1"/>
  <c r="AZ128" i="34"/>
  <c r="BB101" i="34"/>
  <c r="BA135" i="34"/>
  <c r="AY193" i="34"/>
  <c r="AW42" i="15" s="1"/>
  <c r="AW43" i="15" s="1"/>
  <c r="AW45" i="15" s="1"/>
  <c r="AY6" i="15"/>
  <c r="BA6" i="34"/>
  <c r="BC8" i="18"/>
  <c r="BB8" i="34"/>
  <c r="BB6" i="18"/>
  <c r="BB4" i="18"/>
  <c r="AZ8" i="15"/>
  <c r="AY5" i="15"/>
  <c r="BB5" i="18"/>
  <c r="BA5" i="34"/>
  <c r="BA4" i="34"/>
  <c r="AY4" i="15"/>
  <c r="BA24" i="34"/>
  <c r="BA127" i="34"/>
  <c r="BB93" i="34"/>
  <c r="BC100" i="34"/>
  <c r="BB134" i="34"/>
  <c r="AZ139" i="34"/>
  <c r="AZ129" i="34"/>
  <c r="AX36" i="15" s="1"/>
  <c r="BB98" i="34"/>
  <c r="BA132" i="34"/>
  <c r="BB91" i="34"/>
  <c r="BA125" i="34"/>
  <c r="AV34" i="15"/>
  <c r="BB84" i="34"/>
  <c r="AZ122" i="34"/>
  <c r="BB82" i="34"/>
  <c r="AW35" i="15"/>
  <c r="AY141" i="34"/>
  <c r="AW34" i="15" s="1"/>
  <c r="BB83" i="34"/>
  <c r="AW36" i="15"/>
  <c r="BC92" i="34"/>
  <c r="BB126" i="34"/>
  <c r="BB99" i="34"/>
  <c r="BA133" i="34"/>
  <c r="BB22" i="34"/>
  <c r="AV20" i="15"/>
  <c r="AY234" i="34"/>
  <c r="AY224" i="34"/>
  <c r="AX11" i="15"/>
  <c r="AX19" i="15" s="1"/>
  <c r="AX39" i="15" s="1"/>
  <c r="AZ25" i="34"/>
  <c r="AZ228" i="34"/>
  <c r="AZ202" i="34"/>
  <c r="AZ152" i="34"/>
  <c r="AZ153" i="34" s="1"/>
  <c r="AZ163" i="34" s="1"/>
  <c r="AU56" i="15"/>
  <c r="AU40" i="15"/>
  <c r="AW57" i="15"/>
  <c r="AY204" i="34"/>
  <c r="AY211" i="34" s="1"/>
  <c r="AV57" i="15"/>
  <c r="AX204" i="34"/>
  <c r="AX211" i="34" s="1"/>
  <c r="AX213" i="34" s="1"/>
  <c r="AV59" i="15" s="1"/>
  <c r="BA58" i="15" l="1"/>
  <c r="BC209" i="34"/>
  <c r="BC156" i="34"/>
  <c r="BC157" i="34" s="1"/>
  <c r="AY163" i="34"/>
  <c r="AY165" i="34" s="1"/>
  <c r="AW61" i="15" s="1"/>
  <c r="BB13" i="15"/>
  <c r="BB22" i="15"/>
  <c r="BD71" i="34"/>
  <c r="BD206" i="34" s="1"/>
  <c r="BD208" i="34" s="1"/>
  <c r="BE55" i="34"/>
  <c r="BC23" i="15"/>
  <c r="BC14" i="15"/>
  <c r="BE40" i="34"/>
  <c r="BG21" i="34"/>
  <c r="BF54" i="34"/>
  <c r="BD26" i="15" s="1"/>
  <c r="BF37" i="34"/>
  <c r="BF35" i="34"/>
  <c r="BD15" i="15" s="1"/>
  <c r="BF52" i="34"/>
  <c r="BD24" i="15" s="1"/>
  <c r="BF34" i="34"/>
  <c r="BF36" i="34"/>
  <c r="BD16" i="15" s="1"/>
  <c r="BF38" i="34"/>
  <c r="BD17" i="15" s="1"/>
  <c r="BF51" i="34"/>
  <c r="BF53" i="34"/>
  <c r="BD25" i="15" s="1"/>
  <c r="BC87" i="34"/>
  <c r="BB88" i="34"/>
  <c r="BX104" i="34"/>
  <c r="BW138" i="34"/>
  <c r="BA105" i="34"/>
  <c r="BA107" i="34" s="1"/>
  <c r="BA142" i="34" s="1"/>
  <c r="BX103" i="34"/>
  <c r="BW137" i="34"/>
  <c r="BB102" i="34"/>
  <c r="BB136" i="34" s="1"/>
  <c r="BE86" i="34"/>
  <c r="AY213" i="34"/>
  <c r="AW59" i="15" s="1"/>
  <c r="BC85" i="34"/>
  <c r="BA128" i="34"/>
  <c r="BA129" i="34" s="1"/>
  <c r="AY36" i="15" s="1"/>
  <c r="BB94" i="34"/>
  <c r="BB95" i="34" s="1"/>
  <c r="BC101" i="34"/>
  <c r="BB135" i="34"/>
  <c r="BA139" i="34"/>
  <c r="AY37" i="15" s="1"/>
  <c r="BB4" i="34"/>
  <c r="AZ4" i="15"/>
  <c r="BC5" i="18"/>
  <c r="AZ5" i="15"/>
  <c r="BB5" i="34"/>
  <c r="BC4" i="18"/>
  <c r="BA8" i="15"/>
  <c r="BC8" i="34"/>
  <c r="BC6" i="18"/>
  <c r="BD8" i="18"/>
  <c r="AZ193" i="34"/>
  <c r="AX42" i="15" s="1"/>
  <c r="AX43" i="15" s="1"/>
  <c r="AX45" i="15" s="1"/>
  <c r="AZ6" i="15"/>
  <c r="BB6" i="34"/>
  <c r="BB24" i="34"/>
  <c r="BC91" i="34"/>
  <c r="BB125" i="34"/>
  <c r="AX37" i="15"/>
  <c r="BD100" i="34"/>
  <c r="BC134" i="34"/>
  <c r="BA122" i="34"/>
  <c r="BC83" i="34"/>
  <c r="BC82" i="34"/>
  <c r="BC99" i="34"/>
  <c r="BB133" i="34"/>
  <c r="BB127" i="34"/>
  <c r="BC93" i="34"/>
  <c r="BC98" i="34"/>
  <c r="BB132" i="34"/>
  <c r="AZ141" i="34"/>
  <c r="AX34" i="15" s="1"/>
  <c r="AX35" i="15"/>
  <c r="BD92" i="34"/>
  <c r="BC126" i="34"/>
  <c r="BC84" i="34"/>
  <c r="BC22" i="34"/>
  <c r="AY225" i="34"/>
  <c r="BA25" i="34"/>
  <c r="AY11" i="15"/>
  <c r="AY19" i="15" s="1"/>
  <c r="AY39" i="15" s="1"/>
  <c r="BA152" i="34"/>
  <c r="BA202" i="34"/>
  <c r="BA203" i="34" s="1"/>
  <c r="BA228" i="34"/>
  <c r="AZ203" i="34"/>
  <c r="AW20" i="15"/>
  <c r="AZ224" i="34"/>
  <c r="AZ225" i="34" s="1"/>
  <c r="AZ234" i="34"/>
  <c r="BB58" i="15" l="1"/>
  <c r="BD209" i="34"/>
  <c r="AZ165" i="34"/>
  <c r="AX61" i="15" s="1"/>
  <c r="BC22" i="15"/>
  <c r="BE71" i="34"/>
  <c r="BE206" i="34" s="1"/>
  <c r="BE208" i="34" s="1"/>
  <c r="BD14" i="15"/>
  <c r="BF40" i="34"/>
  <c r="BD156" i="34"/>
  <c r="BD157" i="34" s="1"/>
  <c r="BC13" i="15"/>
  <c r="BE156" i="34"/>
  <c r="BE157" i="34" s="1"/>
  <c r="BE160" i="34"/>
  <c r="BE161" i="34" s="1"/>
  <c r="BD160" i="34"/>
  <c r="BD161" i="34" s="1"/>
  <c r="BD23" i="15"/>
  <c r="BF55" i="34"/>
  <c r="BH21" i="34"/>
  <c r="BG53" i="34"/>
  <c r="BE25" i="15" s="1"/>
  <c r="BG51" i="34"/>
  <c r="BG37" i="34"/>
  <c r="BG52" i="34"/>
  <c r="BE24" i="15" s="1"/>
  <c r="BG35" i="34"/>
  <c r="BE15" i="15" s="1"/>
  <c r="BG54" i="34"/>
  <c r="BE26" i="15" s="1"/>
  <c r="BG34" i="34"/>
  <c r="BG36" i="34"/>
  <c r="BE16" i="15" s="1"/>
  <c r="BG38" i="34"/>
  <c r="BE17" i="15" s="1"/>
  <c r="AV56" i="15"/>
  <c r="BC88" i="34"/>
  <c r="BD87" i="34"/>
  <c r="BY104" i="34"/>
  <c r="BX138" i="34"/>
  <c r="BY103" i="34"/>
  <c r="BX137" i="34"/>
  <c r="BB105" i="34"/>
  <c r="BC102" i="34"/>
  <c r="BC136" i="34" s="1"/>
  <c r="BB139" i="34"/>
  <c r="AZ37" i="15" s="1"/>
  <c r="BF86" i="34"/>
  <c r="BA153" i="34"/>
  <c r="BD85" i="34"/>
  <c r="BB128" i="34"/>
  <c r="BB129" i="34" s="1"/>
  <c r="AZ36" i="15" s="1"/>
  <c r="BC94" i="34"/>
  <c r="BC95" i="34" s="1"/>
  <c r="BD101" i="34"/>
  <c r="BC135" i="34"/>
  <c r="BA193" i="34"/>
  <c r="AY42" i="15" s="1"/>
  <c r="AY43" i="15" s="1"/>
  <c r="AY45" i="15" s="1"/>
  <c r="BB8" i="15"/>
  <c r="BE8" i="18"/>
  <c r="BD4" i="18"/>
  <c r="BD6" i="18"/>
  <c r="BD8" i="34"/>
  <c r="BC4" i="34"/>
  <c r="BA4" i="15"/>
  <c r="BD5" i="18"/>
  <c r="BC5" i="34"/>
  <c r="BA5" i="15"/>
  <c r="BA6" i="15"/>
  <c r="BC6" i="34"/>
  <c r="BC24" i="34"/>
  <c r="BD98" i="34"/>
  <c r="BC132" i="34"/>
  <c r="BD83" i="34"/>
  <c r="BE100" i="34"/>
  <c r="BD134" i="34"/>
  <c r="AY35" i="15"/>
  <c r="BA141" i="34"/>
  <c r="BB107" i="34"/>
  <c r="BB142" i="34" s="1"/>
  <c r="BD84" i="34"/>
  <c r="BE92" i="34"/>
  <c r="BD126" i="34"/>
  <c r="BB122" i="34"/>
  <c r="BD99" i="34"/>
  <c r="BC133" i="34"/>
  <c r="AV40" i="15"/>
  <c r="BD82" i="34"/>
  <c r="BD91" i="34"/>
  <c r="BC125" i="34"/>
  <c r="BD93" i="34"/>
  <c r="BC127" i="34"/>
  <c r="BD22" i="34"/>
  <c r="BA234" i="34"/>
  <c r="BA224" i="34"/>
  <c r="BA225" i="34" s="1"/>
  <c r="AW40" i="15"/>
  <c r="AW56" i="15"/>
  <c r="AY57" i="15"/>
  <c r="BA204" i="34"/>
  <c r="BA211" i="34" s="1"/>
  <c r="AX57" i="15"/>
  <c r="AZ204" i="34"/>
  <c r="AZ211" i="34" s="1"/>
  <c r="AZ11" i="15"/>
  <c r="AZ19" i="15" s="1"/>
  <c r="AZ39" i="15" s="1"/>
  <c r="BB25" i="34"/>
  <c r="BB152" i="34"/>
  <c r="BB202" i="34"/>
  <c r="BB203" i="34" s="1"/>
  <c r="BB228" i="34"/>
  <c r="AX20" i="15"/>
  <c r="BA163" i="34" l="1"/>
  <c r="BA165" i="34" s="1"/>
  <c r="AY61" i="15" s="1"/>
  <c r="BC58" i="15"/>
  <c r="BE209" i="34"/>
  <c r="BI21" i="34"/>
  <c r="BH38" i="34"/>
  <c r="BF17" i="15" s="1"/>
  <c r="BH36" i="34"/>
  <c r="BF16" i="15" s="1"/>
  <c r="BH34" i="34"/>
  <c r="BH53" i="34"/>
  <c r="BF25" i="15" s="1"/>
  <c r="BH51" i="34"/>
  <c r="BH37" i="34"/>
  <c r="BH35" i="34"/>
  <c r="BF15" i="15" s="1"/>
  <c r="BH54" i="34"/>
  <c r="BF26" i="15" s="1"/>
  <c r="BH52" i="34"/>
  <c r="BF24" i="15" s="1"/>
  <c r="BE14" i="15"/>
  <c r="BG40" i="34"/>
  <c r="BD13" i="15"/>
  <c r="BE23" i="15"/>
  <c r="BG55" i="34"/>
  <c r="BD22" i="15"/>
  <c r="BF71" i="34"/>
  <c r="BF206" i="34" s="1"/>
  <c r="BF208" i="34" s="1"/>
  <c r="BE87" i="34"/>
  <c r="BD88" i="34"/>
  <c r="BZ103" i="34"/>
  <c r="BY137" i="34"/>
  <c r="BZ104" i="34"/>
  <c r="BY138" i="34"/>
  <c r="BC105" i="34"/>
  <c r="BC107" i="34" s="1"/>
  <c r="BC142" i="34" s="1"/>
  <c r="BD102" i="34"/>
  <c r="BD136" i="34" s="1"/>
  <c r="BG86" i="34"/>
  <c r="BB153" i="34"/>
  <c r="AZ213" i="34"/>
  <c r="AX59" i="15" s="1"/>
  <c r="BA213" i="34"/>
  <c r="AY59" i="15" s="1"/>
  <c r="BE85" i="34"/>
  <c r="BC128" i="34"/>
  <c r="BC129" i="34" s="1"/>
  <c r="BA36" i="15" s="1"/>
  <c r="BD94" i="34"/>
  <c r="BD95" i="34" s="1"/>
  <c r="BD135" i="34"/>
  <c r="BE101" i="34"/>
  <c r="BB193" i="34"/>
  <c r="AZ42" i="15" s="1"/>
  <c r="AZ43" i="15" s="1"/>
  <c r="AZ45" i="15" s="1"/>
  <c r="BB5" i="15"/>
  <c r="BE5" i="18"/>
  <c r="BD5" i="34"/>
  <c r="BB6" i="15"/>
  <c r="BD6" i="34"/>
  <c r="BD4" i="34"/>
  <c r="BB4" i="15"/>
  <c r="BF8" i="18"/>
  <c r="BE6" i="18"/>
  <c r="BE8" i="34"/>
  <c r="BE4" i="18"/>
  <c r="BC8" i="15"/>
  <c r="BD24" i="34"/>
  <c r="BF92" i="34"/>
  <c r="BE126" i="34"/>
  <c r="BE93" i="34"/>
  <c r="BD127" i="34"/>
  <c r="BE82" i="34"/>
  <c r="BE91" i="34"/>
  <c r="BD125" i="34"/>
  <c r="BF100" i="34"/>
  <c r="BE134" i="34"/>
  <c r="BE84" i="34"/>
  <c r="AY34" i="15"/>
  <c r="BE83" i="34"/>
  <c r="BE99" i="34"/>
  <c r="BD133" i="34"/>
  <c r="BC122" i="34"/>
  <c r="BC139" i="34"/>
  <c r="BA37" i="15" s="1"/>
  <c r="AZ35" i="15"/>
  <c r="BB141" i="34"/>
  <c r="AZ34" i="15" s="1"/>
  <c r="BE98" i="34"/>
  <c r="BD132" i="34"/>
  <c r="BE22" i="34"/>
  <c r="AZ57" i="15"/>
  <c r="BB204" i="34"/>
  <c r="BB211" i="34" s="1"/>
  <c r="AY20" i="15"/>
  <c r="AX40" i="15"/>
  <c r="AX56" i="15"/>
  <c r="BB234" i="34"/>
  <c r="BB224" i="34"/>
  <c r="BB225" i="34" s="1"/>
  <c r="BC25" i="34"/>
  <c r="BA11" i="15"/>
  <c r="BA19" i="15" s="1"/>
  <c r="BA39" i="15" s="1"/>
  <c r="BC202" i="34"/>
  <c r="BC203" i="34" s="1"/>
  <c r="BC228" i="34"/>
  <c r="BC152" i="34"/>
  <c r="BD58" i="15" l="1"/>
  <c r="BF209" i="34"/>
  <c r="BB163" i="34"/>
  <c r="BB165" i="34" s="1"/>
  <c r="AZ61" i="15" s="1"/>
  <c r="BH40" i="34"/>
  <c r="BF14" i="15"/>
  <c r="BE22" i="15"/>
  <c r="BG71" i="34"/>
  <c r="BJ21" i="34"/>
  <c r="BI38" i="34"/>
  <c r="BG17" i="15" s="1"/>
  <c r="BI36" i="34"/>
  <c r="BG16" i="15" s="1"/>
  <c r="BI34" i="34"/>
  <c r="BI53" i="34"/>
  <c r="BG25" i="15" s="1"/>
  <c r="BI51" i="34"/>
  <c r="BI35" i="34"/>
  <c r="BG15" i="15" s="1"/>
  <c r="BI54" i="34"/>
  <c r="BG26" i="15" s="1"/>
  <c r="BI52" i="34"/>
  <c r="BG24" i="15" s="1"/>
  <c r="BI37" i="34"/>
  <c r="BF160" i="34"/>
  <c r="BF161" i="34" s="1"/>
  <c r="BE13" i="15"/>
  <c r="BG156" i="34"/>
  <c r="BG157" i="34" s="1"/>
  <c r="BG160" i="34"/>
  <c r="BG161" i="34" s="1"/>
  <c r="BG206" i="34"/>
  <c r="BG208" i="34" s="1"/>
  <c r="BF23" i="15"/>
  <c r="BH55" i="34"/>
  <c r="BF156" i="34"/>
  <c r="BF157" i="34" s="1"/>
  <c r="BF87" i="34"/>
  <c r="BE88" i="34"/>
  <c r="CA104" i="34"/>
  <c r="BZ138" i="34"/>
  <c r="CA103" i="34"/>
  <c r="BZ137" i="34"/>
  <c r="BD105" i="34"/>
  <c r="BD107" i="34" s="1"/>
  <c r="BD142" i="34" s="1"/>
  <c r="BE102" i="34"/>
  <c r="BE136" i="34" s="1"/>
  <c r="BH86" i="34"/>
  <c r="BC153" i="34"/>
  <c r="BB213" i="34"/>
  <c r="AZ59" i="15" s="1"/>
  <c r="BF85" i="34"/>
  <c r="BD128" i="34"/>
  <c r="BD129" i="34" s="1"/>
  <c r="BB36" i="15" s="1"/>
  <c r="BE94" i="34"/>
  <c r="BE95" i="34" s="1"/>
  <c r="BE135" i="34"/>
  <c r="BF101" i="34"/>
  <c r="BC193" i="34"/>
  <c r="BA42" i="15" s="1"/>
  <c r="BA43" i="15" s="1"/>
  <c r="BA45" i="15" s="1"/>
  <c r="BC5" i="15"/>
  <c r="BF5" i="18"/>
  <c r="BE5" i="34"/>
  <c r="BE4" i="34"/>
  <c r="BC4" i="15"/>
  <c r="BE6" i="34"/>
  <c r="BC6" i="15"/>
  <c r="BG8" i="18"/>
  <c r="BF4" i="18"/>
  <c r="BD8" i="15"/>
  <c r="BF6" i="18"/>
  <c r="BF8" i="34"/>
  <c r="BF22" i="34"/>
  <c r="BE24" i="34"/>
  <c r="BF99" i="34"/>
  <c r="BE133" i="34"/>
  <c r="BF91" i="34"/>
  <c r="BE125" i="34"/>
  <c r="BF84" i="34"/>
  <c r="BD122" i="34"/>
  <c r="BA35" i="15"/>
  <c r="BC141" i="34"/>
  <c r="BA34" i="15" s="1"/>
  <c r="BG100" i="34"/>
  <c r="BF134" i="34"/>
  <c r="BF98" i="34"/>
  <c r="BE132" i="34"/>
  <c r="BF82" i="34"/>
  <c r="BD139" i="34"/>
  <c r="BB37" i="15" s="1"/>
  <c r="BF83" i="34"/>
  <c r="BE127" i="34"/>
  <c r="BF93" i="34"/>
  <c r="BG92" i="34"/>
  <c r="BF126" i="34"/>
  <c r="BD152" i="34"/>
  <c r="BD25" i="34"/>
  <c r="BB11" i="15"/>
  <c r="BB19" i="15" s="1"/>
  <c r="BB39" i="15" s="1"/>
  <c r="BD228" i="34"/>
  <c r="BD202" i="34"/>
  <c r="BD203" i="34" s="1"/>
  <c r="AY56" i="15"/>
  <c r="AY40" i="15"/>
  <c r="AZ20" i="15"/>
  <c r="BA57" i="15"/>
  <c r="BC204" i="34"/>
  <c r="BC211" i="34" s="1"/>
  <c r="BC234" i="34"/>
  <c r="BC224" i="34"/>
  <c r="BC225" i="34" s="1"/>
  <c r="BC163" i="34" l="1"/>
  <c r="BC165" i="34" s="1"/>
  <c r="BA61" i="15" s="1"/>
  <c r="BE58" i="15"/>
  <c r="BG209" i="34"/>
  <c r="BF22" i="15"/>
  <c r="BH71" i="34"/>
  <c r="BH160" i="34" s="1"/>
  <c r="BH161" i="34" s="1"/>
  <c r="BI40" i="34"/>
  <c r="BG14" i="15"/>
  <c r="BG23" i="15"/>
  <c r="BI55" i="34"/>
  <c r="BF13" i="15"/>
  <c r="BH206" i="34"/>
  <c r="BH208" i="34" s="1"/>
  <c r="BK21" i="34"/>
  <c r="BJ38" i="34"/>
  <c r="BH17" i="15" s="1"/>
  <c r="BJ36" i="34"/>
  <c r="BH16" i="15" s="1"/>
  <c r="BJ34" i="34"/>
  <c r="BJ53" i="34"/>
  <c r="BH25" i="15" s="1"/>
  <c r="BJ51" i="34"/>
  <c r="BJ35" i="34"/>
  <c r="BH15" i="15" s="1"/>
  <c r="BJ54" i="34"/>
  <c r="BH26" i="15" s="1"/>
  <c r="BJ52" i="34"/>
  <c r="BH24" i="15" s="1"/>
  <c r="BJ37" i="34"/>
  <c r="BG87" i="34"/>
  <c r="BF88" i="34"/>
  <c r="CB103" i="34"/>
  <c r="CA137" i="34"/>
  <c r="BE105" i="34"/>
  <c r="BE107" i="34" s="1"/>
  <c r="CB104" i="34"/>
  <c r="CA138" i="34"/>
  <c r="BF102" i="34"/>
  <c r="BF136" i="34" s="1"/>
  <c r="BI86" i="34"/>
  <c r="BD153" i="34"/>
  <c r="BC213" i="34"/>
  <c r="BA59" i="15" s="1"/>
  <c r="BG85" i="34"/>
  <c r="BE128" i="34"/>
  <c r="BE129" i="34" s="1"/>
  <c r="BC36" i="15" s="1"/>
  <c r="BF94" i="34"/>
  <c r="BF95" i="34" s="1"/>
  <c r="BF135" i="34"/>
  <c r="BG101" i="34"/>
  <c r="BE139" i="34"/>
  <c r="BC37" i="15" s="1"/>
  <c r="BE122" i="34"/>
  <c r="BC35" i="15" s="1"/>
  <c r="BF5" i="34"/>
  <c r="BG5" i="18"/>
  <c r="BD5" i="15"/>
  <c r="BD4" i="15"/>
  <c r="BF4" i="34"/>
  <c r="BD193" i="34"/>
  <c r="BB42" i="15" s="1"/>
  <c r="BB43" i="15" s="1"/>
  <c r="BB45" i="15" s="1"/>
  <c r="BG6" i="18"/>
  <c r="BH8" i="18"/>
  <c r="BE8" i="15"/>
  <c r="BG8" i="34"/>
  <c r="BG4" i="18"/>
  <c r="BD6" i="15"/>
  <c r="BF6" i="34"/>
  <c r="BF24" i="34"/>
  <c r="BG84" i="34"/>
  <c r="BH92" i="34"/>
  <c r="BG126" i="34"/>
  <c r="BG91" i="34"/>
  <c r="BF125" i="34"/>
  <c r="BG82" i="34"/>
  <c r="BG98" i="34"/>
  <c r="BF132" i="34"/>
  <c r="BF127" i="34"/>
  <c r="BG93" i="34"/>
  <c r="BB35" i="15"/>
  <c r="BD141" i="34"/>
  <c r="BB34" i="15" s="1"/>
  <c r="BH100" i="34"/>
  <c r="BG134" i="34"/>
  <c r="BG99" i="34"/>
  <c r="BF133" i="34"/>
  <c r="BG83" i="34"/>
  <c r="BG22" i="34"/>
  <c r="AZ56" i="15"/>
  <c r="AZ40" i="15"/>
  <c r="BD224" i="34"/>
  <c r="BD225" i="34" s="1"/>
  <c r="BD234" i="34"/>
  <c r="BB57" i="15"/>
  <c r="BD204" i="34"/>
  <c r="BD211" i="34" s="1"/>
  <c r="BA20" i="15"/>
  <c r="BE25" i="34"/>
  <c r="BE152" i="34"/>
  <c r="BE153" i="34" s="1"/>
  <c r="BE163" i="34" s="1"/>
  <c r="BC11" i="15"/>
  <c r="BC19" i="15" s="1"/>
  <c r="BC39" i="15" s="1"/>
  <c r="BE228" i="34"/>
  <c r="BE202" i="34"/>
  <c r="BE203" i="34" s="1"/>
  <c r="BF58" i="15" l="1"/>
  <c r="BH209" i="34"/>
  <c r="BD163" i="34"/>
  <c r="BD165" i="34" s="1"/>
  <c r="BB61" i="15" s="1"/>
  <c r="BH156" i="34"/>
  <c r="BH157" i="34" s="1"/>
  <c r="BG22" i="15"/>
  <c r="BI71" i="34"/>
  <c r="BI160" i="34" s="1"/>
  <c r="BI161" i="34" s="1"/>
  <c r="BG13" i="15"/>
  <c r="BI156" i="34"/>
  <c r="BI157" i="34" s="1"/>
  <c r="BI206" i="34"/>
  <c r="BI208" i="34" s="1"/>
  <c r="BL21" i="34"/>
  <c r="BK38" i="34"/>
  <c r="BI17" i="15" s="1"/>
  <c r="BK36" i="34"/>
  <c r="BI16" i="15" s="1"/>
  <c r="BK34" i="34"/>
  <c r="BK53" i="34"/>
  <c r="BI25" i="15" s="1"/>
  <c r="BK51" i="34"/>
  <c r="BK35" i="34"/>
  <c r="BI15" i="15" s="1"/>
  <c r="BK37" i="34"/>
  <c r="BK54" i="34"/>
  <c r="BI26" i="15" s="1"/>
  <c r="BK52" i="34"/>
  <c r="BI24" i="15" s="1"/>
  <c r="BH23" i="15"/>
  <c r="BJ55" i="34"/>
  <c r="BH14" i="15"/>
  <c r="BJ40" i="34"/>
  <c r="BH87" i="34"/>
  <c r="BG88" i="34"/>
  <c r="CC103" i="34"/>
  <c r="CC137" i="34" s="1"/>
  <c r="CB137" i="34"/>
  <c r="CC104" i="34"/>
  <c r="CC138" i="34" s="1"/>
  <c r="CB138" i="34"/>
  <c r="BF105" i="34"/>
  <c r="BF107" i="34" s="1"/>
  <c r="BF142" i="34" s="1"/>
  <c r="BG102" i="34"/>
  <c r="BG136" i="34" s="1"/>
  <c r="BJ86" i="34"/>
  <c r="BE141" i="34"/>
  <c r="BC34" i="15" s="1"/>
  <c r="BD213" i="34"/>
  <c r="BB59" i="15" s="1"/>
  <c r="BH85" i="34"/>
  <c r="BF128" i="34"/>
  <c r="BF129" i="34" s="1"/>
  <c r="BG94" i="34"/>
  <c r="BG135" i="34"/>
  <c r="BH101" i="34"/>
  <c r="BG4" i="34"/>
  <c r="BE4" i="15"/>
  <c r="BG6" i="34"/>
  <c r="BE6" i="15"/>
  <c r="BI8" i="18"/>
  <c r="BH8" i="34"/>
  <c r="BF8" i="15"/>
  <c r="BH6" i="18"/>
  <c r="BH4" i="18"/>
  <c r="BE193" i="34"/>
  <c r="BC42" i="15" s="1"/>
  <c r="BC43" i="15" s="1"/>
  <c r="BC45" i="15" s="1"/>
  <c r="BG5" i="34"/>
  <c r="BH5" i="18"/>
  <c r="BE5" i="15"/>
  <c r="BG24" i="34"/>
  <c r="BI100" i="34"/>
  <c r="BH134" i="34"/>
  <c r="BE142" i="34"/>
  <c r="BH91" i="34"/>
  <c r="BG125" i="34"/>
  <c r="BG95" i="34"/>
  <c r="BH93" i="34"/>
  <c r="BG127" i="34"/>
  <c r="BI92" i="34"/>
  <c r="BH126" i="34"/>
  <c r="BH82" i="34"/>
  <c r="BF139" i="34"/>
  <c r="BH84" i="34"/>
  <c r="BH98" i="34"/>
  <c r="BG132" i="34"/>
  <c r="BH83" i="34"/>
  <c r="BH99" i="34"/>
  <c r="BG133" i="34"/>
  <c r="BF122" i="34"/>
  <c r="BH22" i="34"/>
  <c r="BB20" i="15"/>
  <c r="BA40" i="15"/>
  <c r="BA56" i="15"/>
  <c r="BF25" i="34"/>
  <c r="BD11" i="15"/>
  <c r="BD19" i="15" s="1"/>
  <c r="BD39" i="15" s="1"/>
  <c r="BF202" i="34"/>
  <c r="BF152" i="34"/>
  <c r="BF153" i="34" s="1"/>
  <c r="BF163" i="34" s="1"/>
  <c r="BF165" i="34" s="1"/>
  <c r="BF228" i="34"/>
  <c r="BC57" i="15"/>
  <c r="BE204" i="34"/>
  <c r="BE224" i="34"/>
  <c r="BE225" i="34" s="1"/>
  <c r="BE234" i="34"/>
  <c r="BE165" i="34" l="1"/>
  <c r="BG58" i="15"/>
  <c r="BI209" i="34"/>
  <c r="BI14" i="15"/>
  <c r="BK40" i="34"/>
  <c r="BH13" i="15"/>
  <c r="BH22" i="15"/>
  <c r="BJ71" i="34"/>
  <c r="BJ160" i="34" s="1"/>
  <c r="BJ161" i="34" s="1"/>
  <c r="BM21" i="34"/>
  <c r="BL51" i="34"/>
  <c r="BL53" i="34"/>
  <c r="BJ25" i="15" s="1"/>
  <c r="BL38" i="34"/>
  <c r="BJ17" i="15" s="1"/>
  <c r="BL36" i="34"/>
  <c r="BJ16" i="15" s="1"/>
  <c r="BL34" i="34"/>
  <c r="BL35" i="34"/>
  <c r="BJ15" i="15" s="1"/>
  <c r="BL54" i="34"/>
  <c r="BJ26" i="15" s="1"/>
  <c r="BL52" i="34"/>
  <c r="BJ24" i="15" s="1"/>
  <c r="BL37" i="34"/>
  <c r="BI23" i="15"/>
  <c r="BK55" i="34"/>
  <c r="BH88" i="34"/>
  <c r="BI87" i="34"/>
  <c r="BG105" i="34"/>
  <c r="BH102" i="34"/>
  <c r="BH136" i="34" s="1"/>
  <c r="BK86" i="34"/>
  <c r="BI85" i="34"/>
  <c r="BG128" i="34"/>
  <c r="BG129" i="34" s="1"/>
  <c r="BE36" i="15" s="1"/>
  <c r="BH94" i="34"/>
  <c r="BH95" i="34" s="1"/>
  <c r="BH135" i="34"/>
  <c r="BI101" i="34"/>
  <c r="BF193" i="34"/>
  <c r="BD42" i="15" s="1"/>
  <c r="BD43" i="15" s="1"/>
  <c r="BD45" i="15" s="1"/>
  <c r="BG8" i="15"/>
  <c r="BI4" i="18"/>
  <c r="BI6" i="18"/>
  <c r="BI8" i="34"/>
  <c r="BJ8" i="18"/>
  <c r="BF4" i="15"/>
  <c r="BH4" i="34"/>
  <c r="BH6" i="34"/>
  <c r="BF6" i="15"/>
  <c r="BI5" i="18"/>
  <c r="BF5" i="15"/>
  <c r="BH5" i="34"/>
  <c r="BH24" i="34"/>
  <c r="BD36" i="15"/>
  <c r="BI93" i="34"/>
  <c r="BH127" i="34"/>
  <c r="BD37" i="15"/>
  <c r="BI91" i="34"/>
  <c r="BH125" i="34"/>
  <c r="BD35" i="15"/>
  <c r="BF141" i="34"/>
  <c r="BI99" i="34"/>
  <c r="BH133" i="34"/>
  <c r="BG122" i="34"/>
  <c r="BJ100" i="34"/>
  <c r="BI134" i="34"/>
  <c r="BG107" i="34"/>
  <c r="BG142" i="34" s="1"/>
  <c r="BJ92" i="34"/>
  <c r="BI126" i="34"/>
  <c r="BI83" i="34"/>
  <c r="BI82" i="34"/>
  <c r="BI98" i="34"/>
  <c r="BH132" i="34"/>
  <c r="BI84" i="34"/>
  <c r="BG139" i="34"/>
  <c r="BE37" i="15" s="1"/>
  <c r="BI22" i="34"/>
  <c r="BF234" i="34"/>
  <c r="BF224" i="34"/>
  <c r="BC20" i="15"/>
  <c r="BD61" i="15"/>
  <c r="BF203" i="34"/>
  <c r="BC61" i="15"/>
  <c r="BB40" i="15"/>
  <c r="BB56" i="15"/>
  <c r="BE11" i="15"/>
  <c r="BE19" i="15" s="1"/>
  <c r="BE39" i="15" s="1"/>
  <c r="BG202" i="34"/>
  <c r="BG203" i="34" s="1"/>
  <c r="BG25" i="34"/>
  <c r="BG152" i="34"/>
  <c r="BG228" i="34"/>
  <c r="BE211" i="34"/>
  <c r="BE213" i="34" s="1"/>
  <c r="BC59" i="15" s="1"/>
  <c r="W44" i="15"/>
  <c r="BI22" i="15" l="1"/>
  <c r="BK71" i="34"/>
  <c r="BK156" i="34" s="1"/>
  <c r="BK157" i="34" s="1"/>
  <c r="BJ23" i="15"/>
  <c r="BL55" i="34"/>
  <c r="BJ156" i="34"/>
  <c r="BJ157" i="34" s="1"/>
  <c r="BI13" i="15"/>
  <c r="BK160" i="34"/>
  <c r="BK161" i="34" s="1"/>
  <c r="BK206" i="34"/>
  <c r="BK208" i="34" s="1"/>
  <c r="BN21" i="34"/>
  <c r="BM54" i="34"/>
  <c r="BK26" i="15" s="1"/>
  <c r="BM52" i="34"/>
  <c r="BK24" i="15" s="1"/>
  <c r="BM38" i="34"/>
  <c r="BK17" i="15" s="1"/>
  <c r="BM53" i="34"/>
  <c r="BK25" i="15" s="1"/>
  <c r="BM36" i="34"/>
  <c r="BK16" i="15" s="1"/>
  <c r="BM34" i="34"/>
  <c r="BM51" i="34"/>
  <c r="BM37" i="34"/>
  <c r="BM35" i="34"/>
  <c r="BK15" i="15" s="1"/>
  <c r="BJ206" i="34"/>
  <c r="BJ208" i="34" s="1"/>
  <c r="BJ14" i="15"/>
  <c r="BL40" i="34"/>
  <c r="BI88" i="34"/>
  <c r="BJ87" i="34"/>
  <c r="BH105" i="34"/>
  <c r="BH107" i="34" s="1"/>
  <c r="BH142" i="34" s="1"/>
  <c r="BI102" i="34"/>
  <c r="BI136" i="34" s="1"/>
  <c r="BL86" i="34"/>
  <c r="BG153" i="34"/>
  <c r="BJ85" i="34"/>
  <c r="BH128" i="34"/>
  <c r="BH129" i="34" s="1"/>
  <c r="BI94" i="34"/>
  <c r="BI95" i="34" s="1"/>
  <c r="BI135" i="34"/>
  <c r="BJ101" i="34"/>
  <c r="BK8" i="18"/>
  <c r="BJ8" i="34"/>
  <c r="BJ6" i="18"/>
  <c r="BH8" i="15"/>
  <c r="BJ4" i="18"/>
  <c r="BI6" i="34"/>
  <c r="BG6" i="15"/>
  <c r="BG5" i="15"/>
  <c r="BJ5" i="18"/>
  <c r="BI5" i="34"/>
  <c r="BI4" i="34"/>
  <c r="BG4" i="15"/>
  <c r="BG193" i="34"/>
  <c r="BE42" i="15" s="1"/>
  <c r="BE43" i="15" s="1"/>
  <c r="BE45" i="15" s="1"/>
  <c r="BI24" i="34"/>
  <c r="BJ91" i="34"/>
  <c r="BI125" i="34"/>
  <c r="BE35" i="15"/>
  <c r="BG141" i="34"/>
  <c r="BE34" i="15" s="1"/>
  <c r="BH139" i="34"/>
  <c r="BJ93" i="34"/>
  <c r="BI127" i="34"/>
  <c r="BK100" i="34"/>
  <c r="BJ134" i="34"/>
  <c r="BJ99" i="34"/>
  <c r="BI133" i="34"/>
  <c r="BJ84" i="34"/>
  <c r="BH122" i="34"/>
  <c r="BJ98" i="34"/>
  <c r="BI132" i="34"/>
  <c r="BD34" i="15"/>
  <c r="BJ82" i="34"/>
  <c r="BJ83" i="34"/>
  <c r="BK92" i="34"/>
  <c r="BJ126" i="34"/>
  <c r="BJ22" i="34"/>
  <c r="BD57" i="15"/>
  <c r="BF204" i="34"/>
  <c r="BF211" i="34" s="1"/>
  <c r="BF213" i="34" s="1"/>
  <c r="BD59" i="15" s="1"/>
  <c r="BF225" i="34"/>
  <c r="BE57" i="15"/>
  <c r="BG204" i="34"/>
  <c r="BG211" i="34" s="1"/>
  <c r="BG234" i="34"/>
  <c r="BG224" i="34"/>
  <c r="BG225" i="34" s="1"/>
  <c r="BD20" i="15"/>
  <c r="BC40" i="15"/>
  <c r="BC56" i="15"/>
  <c r="BH25" i="34"/>
  <c r="BF11" i="15"/>
  <c r="BF19" i="15" s="1"/>
  <c r="BF39" i="15" s="1"/>
  <c r="BH152" i="34"/>
  <c r="BH153" i="34" s="1"/>
  <c r="BH163" i="34" s="1"/>
  <c r="BH228" i="34"/>
  <c r="BH202" i="34"/>
  <c r="Y235" i="34"/>
  <c r="Y236" i="34" s="1"/>
  <c r="Y237" i="34" s="1"/>
  <c r="Y229" i="34"/>
  <c r="BG163" i="34" l="1"/>
  <c r="BG165" i="34" s="1"/>
  <c r="BE61" i="15" s="1"/>
  <c r="BI58" i="15"/>
  <c r="BK209" i="34"/>
  <c r="BH58" i="15"/>
  <c r="BJ209" i="34"/>
  <c r="BO21" i="34"/>
  <c r="BN37" i="34"/>
  <c r="BN35" i="34"/>
  <c r="BL15" i="15" s="1"/>
  <c r="BN34" i="34"/>
  <c r="BN54" i="34"/>
  <c r="BL26" i="15" s="1"/>
  <c r="BN52" i="34"/>
  <c r="BL24" i="15" s="1"/>
  <c r="BN38" i="34"/>
  <c r="BL17" i="15" s="1"/>
  <c r="BN36" i="34"/>
  <c r="BL16" i="15" s="1"/>
  <c r="BN53" i="34"/>
  <c r="BL25" i="15" s="1"/>
  <c r="BN51" i="34"/>
  <c r="BK14" i="15"/>
  <c r="BM40" i="34"/>
  <c r="BK23" i="15"/>
  <c r="BM55" i="34"/>
  <c r="BJ13" i="15"/>
  <c r="BJ22" i="15"/>
  <c r="BL71" i="34"/>
  <c r="BL206" i="34" s="1"/>
  <c r="BL208" i="34" s="1"/>
  <c r="BK87" i="34"/>
  <c r="BJ88" i="34"/>
  <c r="BI105" i="34"/>
  <c r="BJ102" i="34"/>
  <c r="BJ136" i="34" s="1"/>
  <c r="BM86" i="34"/>
  <c r="BG213" i="34"/>
  <c r="BE59" i="15" s="1"/>
  <c r="BK85" i="34"/>
  <c r="BI128" i="34"/>
  <c r="BI129" i="34" s="1"/>
  <c r="BG36" i="15" s="1"/>
  <c r="BJ94" i="34"/>
  <c r="BJ95" i="34" s="1"/>
  <c r="BJ135" i="34"/>
  <c r="BK101" i="34"/>
  <c r="BK5" i="18"/>
  <c r="BJ5" i="34"/>
  <c r="BH5" i="15"/>
  <c r="BJ6" i="34"/>
  <c r="BH6" i="15"/>
  <c r="BH4" i="15"/>
  <c r="BJ4" i="34"/>
  <c r="BL8" i="18"/>
  <c r="BI8" i="15"/>
  <c r="BK6" i="18"/>
  <c r="BK8" i="34"/>
  <c r="BK4" i="18"/>
  <c r="BH193" i="34"/>
  <c r="BF42" i="15" s="1"/>
  <c r="BF43" i="15" s="1"/>
  <c r="BF45" i="15" s="1"/>
  <c r="BJ24" i="34"/>
  <c r="BI139" i="34"/>
  <c r="BG37" i="15" s="1"/>
  <c r="BF37" i="15"/>
  <c r="BK83" i="34"/>
  <c r="BK98" i="34"/>
  <c r="BJ132" i="34"/>
  <c r="BF36" i="15"/>
  <c r="BL92" i="34"/>
  <c r="BK126" i="34"/>
  <c r="BL100" i="34"/>
  <c r="BK134" i="34"/>
  <c r="BI122" i="34"/>
  <c r="BI107" i="34"/>
  <c r="BI142" i="34" s="1"/>
  <c r="BH141" i="34"/>
  <c r="BF34" i="15" s="1"/>
  <c r="BF35" i="15"/>
  <c r="BK93" i="34"/>
  <c r="BJ127" i="34"/>
  <c r="BK82" i="34"/>
  <c r="BK91" i="34"/>
  <c r="BJ125" i="34"/>
  <c r="BK84" i="34"/>
  <c r="BK99" i="34"/>
  <c r="BJ133" i="34"/>
  <c r="BK22" i="34"/>
  <c r="BH224" i="34"/>
  <c r="BH234" i="34"/>
  <c r="BD56" i="15"/>
  <c r="BD40" i="15"/>
  <c r="BG11" i="15"/>
  <c r="BG19" i="15" s="1"/>
  <c r="BG39" i="15" s="1"/>
  <c r="BI25" i="34"/>
  <c r="BI228" i="34"/>
  <c r="BI202" i="34"/>
  <c r="BI203" i="34" s="1"/>
  <c r="BI152" i="34"/>
  <c r="BE20" i="15"/>
  <c r="BH203" i="34"/>
  <c r="BJ58" i="15" l="1"/>
  <c r="BL209" i="34"/>
  <c r="BH165" i="34"/>
  <c r="BF61" i="15" s="1"/>
  <c r="BL160" i="34"/>
  <c r="BL161" i="34" s="1"/>
  <c r="BL156" i="34"/>
  <c r="BL157" i="34" s="1"/>
  <c r="BL23" i="15"/>
  <c r="BN55" i="34"/>
  <c r="BK22" i="15"/>
  <c r="BM71" i="34"/>
  <c r="BK13" i="15"/>
  <c r="BM160" i="34"/>
  <c r="BM161" i="34" s="1"/>
  <c r="BM156" i="34"/>
  <c r="BM157" i="34" s="1"/>
  <c r="BM206" i="34"/>
  <c r="BM208" i="34" s="1"/>
  <c r="BL14" i="15"/>
  <c r="BN40" i="34"/>
  <c r="BP21" i="34"/>
  <c r="BO37" i="34"/>
  <c r="BO35" i="34"/>
  <c r="BM15" i="15" s="1"/>
  <c r="BO54" i="34"/>
  <c r="BM26" i="15" s="1"/>
  <c r="BO52" i="34"/>
  <c r="BM24" i="15" s="1"/>
  <c r="BO51" i="34"/>
  <c r="BO34" i="34"/>
  <c r="BO36" i="34"/>
  <c r="BM16" i="15" s="1"/>
  <c r="BO53" i="34"/>
  <c r="BM25" i="15" s="1"/>
  <c r="BO38" i="34"/>
  <c r="BM17" i="15" s="1"/>
  <c r="BL87" i="34"/>
  <c r="BK88" i="34"/>
  <c r="BJ105" i="34"/>
  <c r="BK102" i="34"/>
  <c r="BK136" i="34" s="1"/>
  <c r="BN86" i="34"/>
  <c r="BI153" i="34"/>
  <c r="BL85" i="34"/>
  <c r="BJ128" i="34"/>
  <c r="BJ129" i="34" s="1"/>
  <c r="BK94" i="34"/>
  <c r="BK95" i="34" s="1"/>
  <c r="BK135" i="34"/>
  <c r="BL101" i="34"/>
  <c r="BM8" i="18"/>
  <c r="BJ8" i="15"/>
  <c r="BL8" i="34"/>
  <c r="BL4" i="18"/>
  <c r="BL6" i="18"/>
  <c r="BK6" i="34"/>
  <c r="BI6" i="15"/>
  <c r="BK4" i="34"/>
  <c r="BI4" i="15"/>
  <c r="BI193" i="34"/>
  <c r="BG42" i="15" s="1"/>
  <c r="BG43" i="15" s="1"/>
  <c r="BG45" i="15" s="1"/>
  <c r="BI5" i="15"/>
  <c r="BL5" i="18"/>
  <c r="BK5" i="34"/>
  <c r="BK24" i="34"/>
  <c r="BJ139" i="34"/>
  <c r="BJ107" i="34"/>
  <c r="BJ142" i="34" s="1"/>
  <c r="BL82" i="34"/>
  <c r="BL98" i="34"/>
  <c r="BK132" i="34"/>
  <c r="BJ122" i="34"/>
  <c r="BL93" i="34"/>
  <c r="BK127" i="34"/>
  <c r="BL83" i="34"/>
  <c r="BM100" i="34"/>
  <c r="BL134" i="34"/>
  <c r="BL99" i="34"/>
  <c r="BK133" i="34"/>
  <c r="BI141" i="34"/>
  <c r="BG35" i="15"/>
  <c r="BL84" i="34"/>
  <c r="BM92" i="34"/>
  <c r="BL126" i="34"/>
  <c r="BL91" i="34"/>
  <c r="BK125" i="34"/>
  <c r="BL22" i="34"/>
  <c r="BH11" i="15"/>
  <c r="BH19" i="15" s="1"/>
  <c r="BH39" i="15" s="1"/>
  <c r="BJ25" i="34"/>
  <c r="BJ202" i="34"/>
  <c r="BJ152" i="34"/>
  <c r="BJ153" i="34" s="1"/>
  <c r="BJ163" i="34" s="1"/>
  <c r="BJ228" i="34"/>
  <c r="BE56" i="15"/>
  <c r="BE40" i="15"/>
  <c r="BF57" i="15"/>
  <c r="BH204" i="34"/>
  <c r="BH211" i="34" s="1"/>
  <c r="BH213" i="34" s="1"/>
  <c r="BF59" i="15" s="1"/>
  <c r="BF20" i="15"/>
  <c r="BG57" i="15"/>
  <c r="BI204" i="34"/>
  <c r="BI211" i="34" s="1"/>
  <c r="BH225" i="34"/>
  <c r="BI234" i="34"/>
  <c r="BI224" i="34"/>
  <c r="BI225" i="34" s="1"/>
  <c r="BK58" i="15" l="1"/>
  <c r="BM209" i="34"/>
  <c r="BI163" i="34"/>
  <c r="BI165" i="34" s="1"/>
  <c r="BG61" i="15" s="1"/>
  <c r="BJ165" i="34"/>
  <c r="BL22" i="15"/>
  <c r="BN71" i="34"/>
  <c r="BN156" i="34" s="1"/>
  <c r="BN157" i="34" s="1"/>
  <c r="BO40" i="34"/>
  <c r="BM14" i="15"/>
  <c r="BL13" i="15"/>
  <c r="BN206" i="34"/>
  <c r="BN208" i="34" s="1"/>
  <c r="BN160" i="34"/>
  <c r="BN161" i="34" s="1"/>
  <c r="BO55" i="34"/>
  <c r="BM23" i="15"/>
  <c r="BQ21" i="34"/>
  <c r="BP37" i="34"/>
  <c r="BP35" i="34"/>
  <c r="BN15" i="15" s="1"/>
  <c r="BP54" i="34"/>
  <c r="BN26" i="15" s="1"/>
  <c r="BP52" i="34"/>
  <c r="BN24" i="15" s="1"/>
  <c r="BP53" i="34"/>
  <c r="BN25" i="15" s="1"/>
  <c r="BP34" i="34"/>
  <c r="BP36" i="34"/>
  <c r="BN16" i="15" s="1"/>
  <c r="BP51" i="34"/>
  <c r="BP38" i="34"/>
  <c r="BN17" i="15" s="1"/>
  <c r="BM87" i="34"/>
  <c r="BL88" i="34"/>
  <c r="BK105" i="34"/>
  <c r="BK107" i="34" s="1"/>
  <c r="BK142" i="34" s="1"/>
  <c r="BL102" i="34"/>
  <c r="BL136" i="34" s="1"/>
  <c r="BO86" i="34"/>
  <c r="BI213" i="34"/>
  <c r="BG59" i="15" s="1"/>
  <c r="BK139" i="34"/>
  <c r="BI37" i="15" s="1"/>
  <c r="BM85" i="34"/>
  <c r="BK128" i="34"/>
  <c r="BK129" i="34" s="1"/>
  <c r="BI36" i="15" s="1"/>
  <c r="BL94" i="34"/>
  <c r="BL95" i="34" s="1"/>
  <c r="BL135" i="34"/>
  <c r="BM101" i="34"/>
  <c r="BJ193" i="34"/>
  <c r="BH42" i="15" s="1"/>
  <c r="BH43" i="15" s="1"/>
  <c r="BH45" i="15" s="1"/>
  <c r="BJ6" i="15"/>
  <c r="BL6" i="34"/>
  <c r="BL4" i="34"/>
  <c r="BJ4" i="15"/>
  <c r="BL5" i="34"/>
  <c r="BJ5" i="15"/>
  <c r="BM5" i="18"/>
  <c r="BK8" i="15"/>
  <c r="BM4" i="18"/>
  <c r="BM8" i="34"/>
  <c r="BM6" i="18"/>
  <c r="BN8" i="18"/>
  <c r="BL24" i="34"/>
  <c r="BK122" i="34"/>
  <c r="BI35" i="15" s="1"/>
  <c r="BM84" i="34"/>
  <c r="BM98" i="34"/>
  <c r="BL132" i="34"/>
  <c r="BM82" i="34"/>
  <c r="BM91" i="34"/>
  <c r="BL125" i="34"/>
  <c r="BH37" i="15"/>
  <c r="BM83" i="34"/>
  <c r="BJ141" i="34"/>
  <c r="BH34" i="15" s="1"/>
  <c r="BH35" i="15"/>
  <c r="BM99" i="34"/>
  <c r="BL133" i="34"/>
  <c r="BN100" i="34"/>
  <c r="BM134" i="34"/>
  <c r="BN92" i="34"/>
  <c r="BM126" i="34"/>
  <c r="BM93" i="34"/>
  <c r="BL127" i="34"/>
  <c r="BG34" i="15"/>
  <c r="BH36" i="15"/>
  <c r="BM22" i="34"/>
  <c r="BK25" i="34"/>
  <c r="BK152" i="34"/>
  <c r="BI11" i="15"/>
  <c r="BI19" i="15" s="1"/>
  <c r="BI39" i="15" s="1"/>
  <c r="BK228" i="34"/>
  <c r="BK202" i="34"/>
  <c r="BK203" i="34" s="1"/>
  <c r="BF56" i="15"/>
  <c r="BF40" i="15"/>
  <c r="BG20" i="15"/>
  <c r="BH61" i="15"/>
  <c r="BJ203" i="34"/>
  <c r="BJ234" i="34"/>
  <c r="BJ224" i="34"/>
  <c r="BJ225" i="34" s="1"/>
  <c r="BL58" i="15" l="1"/>
  <c r="BN209" i="34"/>
  <c r="BM22" i="15"/>
  <c r="BO71" i="34"/>
  <c r="BO156" i="34" s="1"/>
  <c r="BO157" i="34" s="1"/>
  <c r="BN14" i="15"/>
  <c r="BP40" i="34"/>
  <c r="BP55" i="34"/>
  <c r="BN23" i="15"/>
  <c r="BM13" i="15"/>
  <c r="BO206" i="34"/>
  <c r="BO208" i="34" s="1"/>
  <c r="BO160" i="34"/>
  <c r="BO161" i="34" s="1"/>
  <c r="BR21" i="34"/>
  <c r="BQ37" i="34"/>
  <c r="BQ35" i="34"/>
  <c r="BO15" i="15" s="1"/>
  <c r="BQ54" i="34"/>
  <c r="BO26" i="15" s="1"/>
  <c r="BQ52" i="34"/>
  <c r="BO24" i="15" s="1"/>
  <c r="BQ53" i="34"/>
  <c r="BO25" i="15" s="1"/>
  <c r="BQ34" i="34"/>
  <c r="BQ38" i="34"/>
  <c r="BO17" i="15" s="1"/>
  <c r="BQ51" i="34"/>
  <c r="BQ36" i="34"/>
  <c r="BO16" i="15" s="1"/>
  <c r="BN87" i="34"/>
  <c r="BM88" i="34"/>
  <c r="BL105" i="34"/>
  <c r="BL107" i="34" s="1"/>
  <c r="BL142" i="34" s="1"/>
  <c r="BM102" i="34"/>
  <c r="BM136" i="34" s="1"/>
  <c r="BP86" i="34"/>
  <c r="BK153" i="34"/>
  <c r="BN85" i="34"/>
  <c r="BL128" i="34"/>
  <c r="BL129" i="34" s="1"/>
  <c r="BM94" i="34"/>
  <c r="BM95" i="34" s="1"/>
  <c r="BL122" i="34"/>
  <c r="BJ35" i="15" s="1"/>
  <c r="BN101" i="34"/>
  <c r="BM135" i="34"/>
  <c r="BK193" i="34"/>
  <c r="BI42" i="15" s="1"/>
  <c r="BI43" i="15" s="1"/>
  <c r="BI45" i="15" s="1"/>
  <c r="BM6" i="34"/>
  <c r="BK6" i="15"/>
  <c r="BO8" i="18"/>
  <c r="BN8" i="34"/>
  <c r="BN6" i="18"/>
  <c r="BL8" i="15"/>
  <c r="BN4" i="18"/>
  <c r="BM4" i="34"/>
  <c r="BK4" i="15"/>
  <c r="BK5" i="15"/>
  <c r="BM5" i="34"/>
  <c r="BN5" i="18"/>
  <c r="BM24" i="34"/>
  <c r="BN99" i="34"/>
  <c r="BM133" i="34"/>
  <c r="BN83" i="34"/>
  <c r="BK141" i="34"/>
  <c r="BI34" i="15" s="1"/>
  <c r="BO100" i="34"/>
  <c r="BN134" i="34"/>
  <c r="BL139" i="34"/>
  <c r="BN82" i="34"/>
  <c r="BN93" i="34"/>
  <c r="BM127" i="34"/>
  <c r="BN98" i="34"/>
  <c r="BM132" i="34"/>
  <c r="BN91" i="34"/>
  <c r="BM125" i="34"/>
  <c r="BO92" i="34"/>
  <c r="BN126" i="34"/>
  <c r="BN84" i="34"/>
  <c r="BN22" i="34"/>
  <c r="BH20" i="15"/>
  <c r="BG40" i="15"/>
  <c r="BG56" i="15"/>
  <c r="BK224" i="34"/>
  <c r="BK225" i="34" s="1"/>
  <c r="BK234" i="34"/>
  <c r="BH57" i="15"/>
  <c r="BJ204" i="34"/>
  <c r="BJ211" i="34" s="1"/>
  <c r="BJ213" i="34" s="1"/>
  <c r="BH59" i="15" s="1"/>
  <c r="BJ11" i="15"/>
  <c r="BJ19" i="15" s="1"/>
  <c r="BJ39" i="15" s="1"/>
  <c r="BL25" i="34"/>
  <c r="BL228" i="34"/>
  <c r="BL152" i="34"/>
  <c r="BL153" i="34" s="1"/>
  <c r="BL163" i="34" s="1"/>
  <c r="BL202" i="34"/>
  <c r="BI57" i="15"/>
  <c r="BK204" i="34"/>
  <c r="BK211" i="34" s="1"/>
  <c r="BK163" i="34" l="1"/>
  <c r="BK165" i="34" s="1"/>
  <c r="BI61" i="15" s="1"/>
  <c r="BL165" i="34"/>
  <c r="BJ61" i="15" s="1"/>
  <c r="BM58" i="15"/>
  <c r="BO209" i="34"/>
  <c r="BS21" i="34"/>
  <c r="BR52" i="34"/>
  <c r="BP24" i="15" s="1"/>
  <c r="BR54" i="34"/>
  <c r="BP26" i="15" s="1"/>
  <c r="BR37" i="34"/>
  <c r="BR35" i="34"/>
  <c r="BP15" i="15" s="1"/>
  <c r="BR53" i="34"/>
  <c r="BP25" i="15" s="1"/>
  <c r="BR34" i="34"/>
  <c r="BR51" i="34"/>
  <c r="BR36" i="34"/>
  <c r="BP16" i="15" s="1"/>
  <c r="BR38" i="34"/>
  <c r="BP17" i="15" s="1"/>
  <c r="BO23" i="15"/>
  <c r="BQ55" i="34"/>
  <c r="BN22" i="15"/>
  <c r="BP71" i="34"/>
  <c r="BP160" i="34" s="1"/>
  <c r="BP161" i="34" s="1"/>
  <c r="BO14" i="15"/>
  <c r="BQ40" i="34"/>
  <c r="BN13" i="15"/>
  <c r="BP206" i="34"/>
  <c r="BP208" i="34" s="1"/>
  <c r="BP156" i="34"/>
  <c r="BP157" i="34" s="1"/>
  <c r="BO87" i="34"/>
  <c r="BN88" i="34"/>
  <c r="BM105" i="34"/>
  <c r="BM107" i="34" s="1"/>
  <c r="BM142" i="34" s="1"/>
  <c r="BN102" i="34"/>
  <c r="BN136" i="34" s="1"/>
  <c r="BQ86" i="34"/>
  <c r="BK213" i="34"/>
  <c r="BI59" i="15" s="1"/>
  <c r="BM139" i="34"/>
  <c r="BK37" i="15" s="1"/>
  <c r="BO85" i="34"/>
  <c r="BN94" i="34"/>
  <c r="BN95" i="34" s="1"/>
  <c r="BM128" i="34"/>
  <c r="BM129" i="34" s="1"/>
  <c r="BK36" i="15" s="1"/>
  <c r="BO101" i="34"/>
  <c r="BN135" i="34"/>
  <c r="BP8" i="18"/>
  <c r="BM8" i="15"/>
  <c r="BO8" i="34"/>
  <c r="BO4" i="18"/>
  <c r="BO6" i="18"/>
  <c r="BL6" i="15"/>
  <c r="BN6" i="34"/>
  <c r="BL5" i="15"/>
  <c r="BN5" i="34"/>
  <c r="BO5" i="18"/>
  <c r="BN4" i="34"/>
  <c r="BL4" i="15"/>
  <c r="BL193" i="34"/>
  <c r="BJ42" i="15" s="1"/>
  <c r="BJ43" i="15" s="1"/>
  <c r="BJ45" i="15" s="1"/>
  <c r="BM122" i="34"/>
  <c r="BK35" i="15" s="1"/>
  <c r="BN24" i="34"/>
  <c r="BO82" i="34"/>
  <c r="BO93" i="34"/>
  <c r="BN127" i="34"/>
  <c r="BO91" i="34"/>
  <c r="BN125" i="34"/>
  <c r="BJ37" i="15"/>
  <c r="BP100" i="34"/>
  <c r="BO134" i="34"/>
  <c r="BO98" i="34"/>
  <c r="BN132" i="34"/>
  <c r="BO83" i="34"/>
  <c r="BJ36" i="15"/>
  <c r="BL141" i="34"/>
  <c r="BO84" i="34"/>
  <c r="BP92" i="34"/>
  <c r="BO126" i="34"/>
  <c r="BO99" i="34"/>
  <c r="BN133" i="34"/>
  <c r="BO22" i="34"/>
  <c r="BI20" i="15"/>
  <c r="BL203" i="34"/>
  <c r="BK11" i="15"/>
  <c r="BK19" i="15" s="1"/>
  <c r="BK39" i="15" s="1"/>
  <c r="BM25" i="34"/>
  <c r="BM228" i="34"/>
  <c r="BM152" i="34"/>
  <c r="BM202" i="34"/>
  <c r="BM203" i="34" s="1"/>
  <c r="BL234" i="34"/>
  <c r="BL224" i="34"/>
  <c r="BH40" i="15"/>
  <c r="BH56" i="15"/>
  <c r="BN58" i="15" l="1"/>
  <c r="BP209" i="34"/>
  <c r="BO22" i="15"/>
  <c r="BQ71" i="34"/>
  <c r="BQ156" i="34" s="1"/>
  <c r="BQ157" i="34" s="1"/>
  <c r="BP14" i="15"/>
  <c r="BR40" i="34"/>
  <c r="BP23" i="15"/>
  <c r="BR55" i="34"/>
  <c r="BO13" i="15"/>
  <c r="BQ160" i="34"/>
  <c r="BQ161" i="34" s="1"/>
  <c r="BQ206" i="34"/>
  <c r="BQ208" i="34" s="1"/>
  <c r="BT21" i="34"/>
  <c r="BS53" i="34"/>
  <c r="BQ25" i="15" s="1"/>
  <c r="BS51" i="34"/>
  <c r="BS35" i="34"/>
  <c r="BQ15" i="15" s="1"/>
  <c r="BS52" i="34"/>
  <c r="BQ24" i="15" s="1"/>
  <c r="BS54" i="34"/>
  <c r="BQ26" i="15" s="1"/>
  <c r="BS37" i="34"/>
  <c r="BS38" i="34"/>
  <c r="BQ17" i="15" s="1"/>
  <c r="BS34" i="34"/>
  <c r="BS36" i="34"/>
  <c r="BQ16" i="15" s="1"/>
  <c r="BP87" i="34"/>
  <c r="BO88" i="34"/>
  <c r="BN105" i="34"/>
  <c r="BO102" i="34"/>
  <c r="BO136" i="34" s="1"/>
  <c r="BR86" i="34"/>
  <c r="BM153" i="34"/>
  <c r="BP85" i="34"/>
  <c r="BO94" i="34"/>
  <c r="BO95" i="34" s="1"/>
  <c r="BN128" i="34"/>
  <c r="BN129" i="34" s="1"/>
  <c r="BL36" i="15" s="1"/>
  <c r="BP101" i="34"/>
  <c r="BO135" i="34"/>
  <c r="BM141" i="34"/>
  <c r="BK34" i="15" s="1"/>
  <c r="BM193" i="34"/>
  <c r="BK42" i="15" s="1"/>
  <c r="BK43" i="15" s="1"/>
  <c r="BK45" i="15" s="1"/>
  <c r="BO5" i="34"/>
  <c r="BP5" i="18"/>
  <c r="BM5" i="15"/>
  <c r="BM6" i="15"/>
  <c r="BO6" i="34"/>
  <c r="BM4" i="15"/>
  <c r="BO4" i="34"/>
  <c r="BQ8" i="18"/>
  <c r="BP8" i="34"/>
  <c r="BP6" i="18"/>
  <c r="BN8" i="15"/>
  <c r="BP4" i="18"/>
  <c r="BO24" i="34"/>
  <c r="BP84" i="34"/>
  <c r="BJ34" i="15"/>
  <c r="BQ100" i="34"/>
  <c r="BP134" i="34"/>
  <c r="BP91" i="34"/>
  <c r="BO125" i="34"/>
  <c r="BP83" i="34"/>
  <c r="BO127" i="34"/>
  <c r="BP93" i="34"/>
  <c r="BN107" i="34"/>
  <c r="BN142" i="34" s="1"/>
  <c r="BN122" i="34"/>
  <c r="BP99" i="34"/>
  <c r="BO133" i="34"/>
  <c r="BP82" i="34"/>
  <c r="BQ92" i="34"/>
  <c r="BP126" i="34"/>
  <c r="BN139" i="34"/>
  <c r="BP98" i="34"/>
  <c r="BO132" i="34"/>
  <c r="BP22" i="34"/>
  <c r="BL11" i="15"/>
  <c r="BL19" i="15" s="1"/>
  <c r="BL39" i="15" s="1"/>
  <c r="BN25" i="34"/>
  <c r="BN228" i="34"/>
  <c r="BN152" i="34"/>
  <c r="BN202" i="34"/>
  <c r="BM224" i="34"/>
  <c r="BM225" i="34" s="1"/>
  <c r="BM234" i="34"/>
  <c r="BL225" i="34"/>
  <c r="BJ20" i="15"/>
  <c r="BI56" i="15"/>
  <c r="BI40" i="15"/>
  <c r="BJ57" i="15"/>
  <c r="BL204" i="34"/>
  <c r="BL211" i="34" s="1"/>
  <c r="BL213" i="34" s="1"/>
  <c r="BJ59" i="15" s="1"/>
  <c r="BK57" i="15"/>
  <c r="BM204" i="34"/>
  <c r="BM211" i="34" s="1"/>
  <c r="BO58" i="15" l="1"/>
  <c r="BQ209" i="34"/>
  <c r="BM163" i="34"/>
  <c r="BM165" i="34" s="1"/>
  <c r="BK61" i="15" s="1"/>
  <c r="BP13" i="15"/>
  <c r="BQ14" i="15"/>
  <c r="BS40" i="34"/>
  <c r="BP22" i="15"/>
  <c r="BR71" i="34"/>
  <c r="BR156" i="34" s="1"/>
  <c r="BR157" i="34" s="1"/>
  <c r="BQ23" i="15"/>
  <c r="BS55" i="34"/>
  <c r="BU21" i="34"/>
  <c r="BT38" i="34"/>
  <c r="BR17" i="15" s="1"/>
  <c r="BT36" i="34"/>
  <c r="BR16" i="15" s="1"/>
  <c r="BT34" i="34"/>
  <c r="BT35" i="34"/>
  <c r="BR15" i="15" s="1"/>
  <c r="BT54" i="34"/>
  <c r="BR26" i="15" s="1"/>
  <c r="BT53" i="34"/>
  <c r="BR25" i="15" s="1"/>
  <c r="BT51" i="34"/>
  <c r="BT37" i="34"/>
  <c r="BT52" i="34"/>
  <c r="BR24" i="15" s="1"/>
  <c r="BP88" i="34"/>
  <c r="BM213" i="34"/>
  <c r="BK59" i="15" s="1"/>
  <c r="BQ87" i="34"/>
  <c r="BO105" i="34"/>
  <c r="BO107" i="34" s="1"/>
  <c r="BO142" i="34" s="1"/>
  <c r="BP102" i="34"/>
  <c r="BP136" i="34" s="1"/>
  <c r="BS86" i="34"/>
  <c r="BN153" i="34"/>
  <c r="BO139" i="34"/>
  <c r="BM37" i="15" s="1"/>
  <c r="BQ85" i="34"/>
  <c r="BP94" i="34"/>
  <c r="BP95" i="34" s="1"/>
  <c r="BO128" i="34"/>
  <c r="BO129" i="34" s="1"/>
  <c r="BQ101" i="34"/>
  <c r="BP135" i="34"/>
  <c r="BN4" i="15"/>
  <c r="BP4" i="34"/>
  <c r="BQ5" i="18"/>
  <c r="BN5" i="15"/>
  <c r="BP5" i="34"/>
  <c r="BP6" i="34"/>
  <c r="BN6" i="15"/>
  <c r="BN193" i="34"/>
  <c r="BL42" i="15" s="1"/>
  <c r="BL43" i="15" s="1"/>
  <c r="BL45" i="15" s="1"/>
  <c r="BR8" i="18"/>
  <c r="BQ8" i="34"/>
  <c r="BO8" i="15"/>
  <c r="BQ6" i="18"/>
  <c r="BQ4" i="18"/>
  <c r="BP24" i="34"/>
  <c r="BP127" i="34"/>
  <c r="BQ93" i="34"/>
  <c r="BQ98" i="34"/>
  <c r="BP132" i="34"/>
  <c r="BQ82" i="34"/>
  <c r="BQ91" i="34"/>
  <c r="BP125" i="34"/>
  <c r="BR92" i="34"/>
  <c r="BQ126" i="34"/>
  <c r="BQ83" i="34"/>
  <c r="BR100" i="34"/>
  <c r="BQ134" i="34"/>
  <c r="BL37" i="15"/>
  <c r="BO122" i="34"/>
  <c r="BQ99" i="34"/>
  <c r="BP133" i="34"/>
  <c r="BL35" i="15"/>
  <c r="BN141" i="34"/>
  <c r="BL34" i="15" s="1"/>
  <c r="BQ84" i="34"/>
  <c r="BQ22" i="34"/>
  <c r="BM11" i="15"/>
  <c r="BM19" i="15" s="1"/>
  <c r="BM39" i="15" s="1"/>
  <c r="BO25" i="34"/>
  <c r="BO228" i="34"/>
  <c r="BO202" i="34"/>
  <c r="BO203" i="34" s="1"/>
  <c r="BO152" i="34"/>
  <c r="BN203" i="34"/>
  <c r="BJ40" i="15"/>
  <c r="BJ56" i="15"/>
  <c r="BK20" i="15"/>
  <c r="BN234" i="34"/>
  <c r="BN224" i="34"/>
  <c r="BN225" i="34" s="1"/>
  <c r="BN163" i="34" l="1"/>
  <c r="BN165" i="34" s="1"/>
  <c r="BL61" i="15" s="1"/>
  <c r="BR23" i="15"/>
  <c r="BT55" i="34"/>
  <c r="BQ13" i="15"/>
  <c r="BQ22" i="15"/>
  <c r="BS71" i="34"/>
  <c r="BS206" i="34" s="1"/>
  <c r="BS208" i="34" s="1"/>
  <c r="BR160" i="34"/>
  <c r="BR161" i="34" s="1"/>
  <c r="BR206" i="34"/>
  <c r="BR208" i="34" s="1"/>
  <c r="BR14" i="15"/>
  <c r="BT40" i="34"/>
  <c r="BV21" i="34"/>
  <c r="BU38" i="34"/>
  <c r="BS17" i="15" s="1"/>
  <c r="BU36" i="34"/>
  <c r="BS16" i="15" s="1"/>
  <c r="BU34" i="34"/>
  <c r="BU53" i="34"/>
  <c r="BS25" i="15" s="1"/>
  <c r="BU51" i="34"/>
  <c r="BU35" i="34"/>
  <c r="BS15" i="15" s="1"/>
  <c r="BU37" i="34"/>
  <c r="BU54" i="34"/>
  <c r="BS26" i="15" s="1"/>
  <c r="BU52" i="34"/>
  <c r="BS24" i="15" s="1"/>
  <c r="BR87" i="34"/>
  <c r="BQ88" i="34"/>
  <c r="BP105" i="34"/>
  <c r="BP107" i="34" s="1"/>
  <c r="BP142" i="34" s="1"/>
  <c r="BQ102" i="34"/>
  <c r="BQ136" i="34" s="1"/>
  <c r="BT86" i="34"/>
  <c r="BO153" i="34"/>
  <c r="BR85" i="34"/>
  <c r="BQ94" i="34"/>
  <c r="BQ95" i="34" s="1"/>
  <c r="BP128" i="34"/>
  <c r="BP129" i="34" s="1"/>
  <c r="BN36" i="15" s="1"/>
  <c r="BR101" i="34"/>
  <c r="BQ135" i="34"/>
  <c r="BR8" i="34"/>
  <c r="BS8" i="18"/>
  <c r="BR6" i="18"/>
  <c r="BP8" i="15"/>
  <c r="BR4" i="18"/>
  <c r="BO193" i="34"/>
  <c r="BM42" i="15" s="1"/>
  <c r="BM43" i="15" s="1"/>
  <c r="BM45" i="15" s="1"/>
  <c r="BR5" i="18"/>
  <c r="BQ5" i="34"/>
  <c r="BO5" i="15"/>
  <c r="BQ4" i="34"/>
  <c r="BO4" i="15"/>
  <c r="BQ6" i="34"/>
  <c r="BO6" i="15"/>
  <c r="BQ24" i="34"/>
  <c r="BR99" i="34"/>
  <c r="BQ133" i="34"/>
  <c r="BR83" i="34"/>
  <c r="BS92" i="34"/>
  <c r="BR126" i="34"/>
  <c r="BR84" i="34"/>
  <c r="BM35" i="15"/>
  <c r="BO141" i="34"/>
  <c r="BM34" i="15" s="1"/>
  <c r="BP139" i="34"/>
  <c r="BN37" i="15" s="1"/>
  <c r="BR98" i="34"/>
  <c r="BQ132" i="34"/>
  <c r="BR91" i="34"/>
  <c r="BQ125" i="34"/>
  <c r="BP122" i="34"/>
  <c r="BR82" i="34"/>
  <c r="BS100" i="34"/>
  <c r="BR134" i="34"/>
  <c r="BQ127" i="34"/>
  <c r="BR93" i="34"/>
  <c r="BM36" i="15"/>
  <c r="BR22" i="34"/>
  <c r="BK40" i="15"/>
  <c r="BK56" i="15"/>
  <c r="BN11" i="15"/>
  <c r="BN19" i="15" s="1"/>
  <c r="BN39" i="15" s="1"/>
  <c r="BP25" i="34"/>
  <c r="BP228" i="34"/>
  <c r="BP202" i="34"/>
  <c r="BP203" i="34" s="1"/>
  <c r="BP152" i="34"/>
  <c r="BL57" i="15"/>
  <c r="BN204" i="34"/>
  <c r="BN211" i="34" s="1"/>
  <c r="BN213" i="34" s="1"/>
  <c r="BL59" i="15" s="1"/>
  <c r="BL20" i="15"/>
  <c r="BM57" i="15"/>
  <c r="BO204" i="34"/>
  <c r="BO211" i="34" s="1"/>
  <c r="BO234" i="34"/>
  <c r="BO224" i="34"/>
  <c r="BO225" i="34" s="1"/>
  <c r="BO163" i="34" l="1"/>
  <c r="BO165" i="34" s="1"/>
  <c r="BM61" i="15" s="1"/>
  <c r="BQ58" i="15"/>
  <c r="BS209" i="34"/>
  <c r="BP58" i="15"/>
  <c r="BR209" i="34"/>
  <c r="BS23" i="15"/>
  <c r="BU55" i="34"/>
  <c r="BS156" i="34"/>
  <c r="BS157" i="34" s="1"/>
  <c r="BS160" i="34"/>
  <c r="BS161" i="34" s="1"/>
  <c r="BR13" i="15"/>
  <c r="BT156" i="34"/>
  <c r="BT157" i="34" s="1"/>
  <c r="BS14" i="15"/>
  <c r="BU40" i="34"/>
  <c r="BR22" i="15"/>
  <c r="BT71" i="34"/>
  <c r="BT206" i="34" s="1"/>
  <c r="BT208" i="34" s="1"/>
  <c r="BW21" i="34"/>
  <c r="BV38" i="34"/>
  <c r="BT17" i="15" s="1"/>
  <c r="BV36" i="34"/>
  <c r="BT16" i="15" s="1"/>
  <c r="BV34" i="34"/>
  <c r="BV53" i="34"/>
  <c r="BT25" i="15" s="1"/>
  <c r="BV51" i="34"/>
  <c r="BV37" i="34"/>
  <c r="BV54" i="34"/>
  <c r="BT26" i="15" s="1"/>
  <c r="BV35" i="34"/>
  <c r="BT15" i="15" s="1"/>
  <c r="BV52" i="34"/>
  <c r="BT24" i="15" s="1"/>
  <c r="BR88" i="34"/>
  <c r="BS87" i="34"/>
  <c r="BQ105" i="34"/>
  <c r="BR102" i="34"/>
  <c r="BR136" i="34" s="1"/>
  <c r="BU86" i="34"/>
  <c r="BP153" i="34"/>
  <c r="BO213" i="34"/>
  <c r="BM59" i="15" s="1"/>
  <c r="BS85" i="34"/>
  <c r="BQ128" i="34"/>
  <c r="BQ129" i="34" s="1"/>
  <c r="BO36" i="15" s="1"/>
  <c r="BR94" i="34"/>
  <c r="BR95" i="34" s="1"/>
  <c r="BS101" i="34"/>
  <c r="BR135" i="34"/>
  <c r="BQ139" i="34"/>
  <c r="BO37" i="15" s="1"/>
  <c r="BP193" i="34"/>
  <c r="BN42" i="15" s="1"/>
  <c r="BN43" i="15" s="1"/>
  <c r="BN45" i="15" s="1"/>
  <c r="BP5" i="15"/>
  <c r="BS5" i="18"/>
  <c r="BR5" i="34"/>
  <c r="BP4" i="15"/>
  <c r="BR4" i="34"/>
  <c r="BR6" i="34"/>
  <c r="BP6" i="15"/>
  <c r="BS6" i="18"/>
  <c r="BT8" i="18"/>
  <c r="BS8" i="34"/>
  <c r="BS4" i="18"/>
  <c r="BQ8" i="15"/>
  <c r="BR24" i="34"/>
  <c r="BQ122" i="34"/>
  <c r="BO35" i="15" s="1"/>
  <c r="BN35" i="15"/>
  <c r="BP141" i="34"/>
  <c r="BN34" i="15" s="1"/>
  <c r="BS84" i="34"/>
  <c r="BS98" i="34"/>
  <c r="BR132" i="34"/>
  <c r="BS82" i="34"/>
  <c r="BT92" i="34"/>
  <c r="BS126" i="34"/>
  <c r="BQ107" i="34"/>
  <c r="BS91" i="34"/>
  <c r="BR125" i="34"/>
  <c r="BS93" i="34"/>
  <c r="BR127" i="34"/>
  <c r="BS83" i="34"/>
  <c r="BT100" i="34"/>
  <c r="BS134" i="34"/>
  <c r="BS99" i="34"/>
  <c r="BR133" i="34"/>
  <c r="BS22" i="34"/>
  <c r="BL56" i="15"/>
  <c r="BL40" i="15"/>
  <c r="BQ25" i="34"/>
  <c r="BO11" i="15"/>
  <c r="BO19" i="15" s="1"/>
  <c r="BO39" i="15" s="1"/>
  <c r="BQ228" i="34"/>
  <c r="BQ152" i="34"/>
  <c r="BQ153" i="34" s="1"/>
  <c r="BQ163" i="34" s="1"/>
  <c r="BQ202" i="34"/>
  <c r="BQ203" i="34" s="1"/>
  <c r="BN57" i="15"/>
  <c r="BP204" i="34"/>
  <c r="BP211" i="34" s="1"/>
  <c r="BM20" i="15"/>
  <c r="BP224" i="34"/>
  <c r="BP225" i="34" s="1"/>
  <c r="BP234" i="34"/>
  <c r="BR58" i="15" l="1"/>
  <c r="BT209" i="34"/>
  <c r="BP163" i="34"/>
  <c r="BP165" i="34" s="1"/>
  <c r="BN61" i="15" s="1"/>
  <c r="BT160" i="34"/>
  <c r="BT161" i="34" s="1"/>
  <c r="BQ165" i="34"/>
  <c r="BX21" i="34"/>
  <c r="BW38" i="34"/>
  <c r="BU17" i="15" s="1"/>
  <c r="BW36" i="34"/>
  <c r="BU16" i="15" s="1"/>
  <c r="BW34" i="34"/>
  <c r="BW53" i="34"/>
  <c r="BU25" i="15" s="1"/>
  <c r="BW51" i="34"/>
  <c r="BW52" i="34"/>
  <c r="BU24" i="15" s="1"/>
  <c r="BW54" i="34"/>
  <c r="BU26" i="15" s="1"/>
  <c r="BW35" i="34"/>
  <c r="BU15" i="15" s="1"/>
  <c r="BW37" i="34"/>
  <c r="BT14" i="15"/>
  <c r="BV40" i="34"/>
  <c r="BS13" i="15"/>
  <c r="BT23" i="15"/>
  <c r="BV55" i="34"/>
  <c r="BS22" i="15"/>
  <c r="BU71" i="34"/>
  <c r="BU156" i="34" s="1"/>
  <c r="BU157" i="34" s="1"/>
  <c r="BT87" i="34"/>
  <c r="BS88" i="34"/>
  <c r="BR105" i="34"/>
  <c r="BR107" i="34" s="1"/>
  <c r="BR142" i="34" s="1"/>
  <c r="BS102" i="34"/>
  <c r="BS136" i="34" s="1"/>
  <c r="BV86" i="34"/>
  <c r="BP213" i="34"/>
  <c r="BN59" i="15" s="1"/>
  <c r="BQ141" i="34"/>
  <c r="BO34" i="15" s="1"/>
  <c r="BT85" i="34"/>
  <c r="BR128" i="34"/>
  <c r="BR129" i="34" s="1"/>
  <c r="BS94" i="34"/>
  <c r="BS95" i="34" s="1"/>
  <c r="BT101" i="34"/>
  <c r="BS135" i="34"/>
  <c r="BT8" i="34"/>
  <c r="BU8" i="18"/>
  <c r="BR8" i="15"/>
  <c r="BT6" i="18"/>
  <c r="BT4" i="18"/>
  <c r="BQ193" i="34"/>
  <c r="BO42" i="15" s="1"/>
  <c r="BO43" i="15" s="1"/>
  <c r="BO45" i="15" s="1"/>
  <c r="BS6" i="34"/>
  <c r="BQ6" i="15"/>
  <c r="BQ5" i="15"/>
  <c r="BS5" i="34"/>
  <c r="BT5" i="18"/>
  <c r="BS4" i="34"/>
  <c r="BQ4" i="15"/>
  <c r="BS24" i="34"/>
  <c r="BT82" i="34"/>
  <c r="BR139" i="34"/>
  <c r="BR122" i="34"/>
  <c r="BU92" i="34"/>
  <c r="BT126" i="34"/>
  <c r="BT98" i="34"/>
  <c r="BS132" i="34"/>
  <c r="BT91" i="34"/>
  <c r="BS125" i="34"/>
  <c r="BT84" i="34"/>
  <c r="BT99" i="34"/>
  <c r="BS133" i="34"/>
  <c r="BS127" i="34"/>
  <c r="BT93" i="34"/>
  <c r="BT83" i="34"/>
  <c r="BU100" i="34"/>
  <c r="BT134" i="34"/>
  <c r="BQ142" i="34"/>
  <c r="BT22" i="34"/>
  <c r="BO57" i="15"/>
  <c r="BQ204" i="34"/>
  <c r="BM40" i="15"/>
  <c r="BM56" i="15"/>
  <c r="BN20" i="15"/>
  <c r="BP11" i="15"/>
  <c r="BP19" i="15" s="1"/>
  <c r="BP39" i="15" s="1"/>
  <c r="BR25" i="34"/>
  <c r="BR228" i="34"/>
  <c r="BR202" i="34"/>
  <c r="BR152" i="34"/>
  <c r="BR153" i="34" s="1"/>
  <c r="BR163" i="34" s="1"/>
  <c r="BR165" i="34" s="1"/>
  <c r="BQ234" i="34"/>
  <c r="BQ224" i="34"/>
  <c r="BQ225" i="34" s="1"/>
  <c r="BU206" i="34" l="1"/>
  <c r="BU208" i="34" s="1"/>
  <c r="BU23" i="15"/>
  <c r="BW55" i="34"/>
  <c r="BY21" i="34"/>
  <c r="BX51" i="34"/>
  <c r="BX38" i="34"/>
  <c r="BV17" i="15" s="1"/>
  <c r="BX36" i="34"/>
  <c r="BV16" i="15" s="1"/>
  <c r="BX34" i="34"/>
  <c r="BX53" i="34"/>
  <c r="BV25" i="15" s="1"/>
  <c r="BX37" i="34"/>
  <c r="BX54" i="34"/>
  <c r="BV26" i="15" s="1"/>
  <c r="BX52" i="34"/>
  <c r="BV24" i="15" s="1"/>
  <c r="BX35" i="34"/>
  <c r="BV15" i="15" s="1"/>
  <c r="BV71" i="34"/>
  <c r="BT22" i="15"/>
  <c r="BU14" i="15"/>
  <c r="BW40" i="34"/>
  <c r="BU160" i="34"/>
  <c r="BU161" i="34" s="1"/>
  <c r="BT13" i="15"/>
  <c r="BV160" i="34"/>
  <c r="BV161" i="34" s="1"/>
  <c r="BV206" i="34"/>
  <c r="BV208" i="34" s="1"/>
  <c r="BV156" i="34"/>
  <c r="BV157" i="34" s="1"/>
  <c r="BU87" i="34"/>
  <c r="BT88" i="34"/>
  <c r="BS105" i="34"/>
  <c r="BS107" i="34" s="1"/>
  <c r="BS142" i="34" s="1"/>
  <c r="BT102" i="34"/>
  <c r="BT136" i="34" s="1"/>
  <c r="BW86" i="34"/>
  <c r="BU85" i="34"/>
  <c r="BS139" i="34"/>
  <c r="BQ37" i="15" s="1"/>
  <c r="BS128" i="34"/>
  <c r="BS129" i="34" s="1"/>
  <c r="BQ36" i="15" s="1"/>
  <c r="BT94" i="34"/>
  <c r="BT95" i="34" s="1"/>
  <c r="BT135" i="34"/>
  <c r="BU101" i="34"/>
  <c r="BR6" i="15"/>
  <c r="BT6" i="34"/>
  <c r="BU4" i="18"/>
  <c r="BU8" i="34"/>
  <c r="BV8" i="18"/>
  <c r="BU6" i="18"/>
  <c r="BS8" i="15"/>
  <c r="BR5" i="15"/>
  <c r="BT5" i="34"/>
  <c r="BU5" i="18"/>
  <c r="BT4" i="34"/>
  <c r="BR4" i="15"/>
  <c r="BR193" i="34"/>
  <c r="BP42" i="15" s="1"/>
  <c r="BP43" i="15" s="1"/>
  <c r="BP45" i="15" s="1"/>
  <c r="BT24" i="34"/>
  <c r="BP36" i="15"/>
  <c r="BU83" i="34"/>
  <c r="BV92" i="34"/>
  <c r="BU126" i="34"/>
  <c r="BU99" i="34"/>
  <c r="BT133" i="34"/>
  <c r="BU98" i="34"/>
  <c r="BT132" i="34"/>
  <c r="BU84" i="34"/>
  <c r="BP35" i="15"/>
  <c r="BR141" i="34"/>
  <c r="BP37" i="15"/>
  <c r="BU91" i="34"/>
  <c r="BT125" i="34"/>
  <c r="BV100" i="34"/>
  <c r="BU134" i="34"/>
  <c r="BS122" i="34"/>
  <c r="BT127" i="34"/>
  <c r="BU93" i="34"/>
  <c r="BU82" i="34"/>
  <c r="BU22" i="34"/>
  <c r="BR203" i="34"/>
  <c r="BQ211" i="34"/>
  <c r="BQ213" i="34" s="1"/>
  <c r="BO59" i="15" s="1"/>
  <c r="BR224" i="34"/>
  <c r="BR234" i="34"/>
  <c r="BN56" i="15"/>
  <c r="BN40" i="15"/>
  <c r="BO20" i="15"/>
  <c r="BP61" i="15"/>
  <c r="BS25" i="34"/>
  <c r="BQ11" i="15"/>
  <c r="BQ19" i="15" s="1"/>
  <c r="BQ39" i="15" s="1"/>
  <c r="BS228" i="34"/>
  <c r="BS152" i="34"/>
  <c r="BS202" i="34"/>
  <c r="BS203" i="34" s="1"/>
  <c r="BO61" i="15"/>
  <c r="X44" i="15"/>
  <c r="BT58" i="15" l="1"/>
  <c r="BV209" i="34"/>
  <c r="BS58" i="15"/>
  <c r="BU209" i="34"/>
  <c r="BV14" i="15"/>
  <c r="BX40" i="34"/>
  <c r="BU13" i="15"/>
  <c r="BU22" i="15"/>
  <c r="BW71" i="34"/>
  <c r="BW206" i="34" s="1"/>
  <c r="BW208" i="34" s="1"/>
  <c r="BX55" i="34"/>
  <c r="BV23" i="15"/>
  <c r="BZ21" i="34"/>
  <c r="BY54" i="34"/>
  <c r="BW26" i="15" s="1"/>
  <c r="BY52" i="34"/>
  <c r="BW24" i="15" s="1"/>
  <c r="BY36" i="34"/>
  <c r="BW16" i="15" s="1"/>
  <c r="BY34" i="34"/>
  <c r="BY51" i="34"/>
  <c r="BY53" i="34"/>
  <c r="BW25" i="15" s="1"/>
  <c r="BY38" i="34"/>
  <c r="BW17" i="15" s="1"/>
  <c r="BY37" i="34"/>
  <c r="BY35" i="34"/>
  <c r="BW15" i="15" s="1"/>
  <c r="BV87" i="34"/>
  <c r="BU88" i="34"/>
  <c r="BT105" i="34"/>
  <c r="BU102" i="34"/>
  <c r="BU136" i="34" s="1"/>
  <c r="BX86" i="34"/>
  <c r="BS153" i="34"/>
  <c r="BV85" i="34"/>
  <c r="BT128" i="34"/>
  <c r="BT129" i="34" s="1"/>
  <c r="BU94" i="34"/>
  <c r="BU95" i="34" s="1"/>
  <c r="BU135" i="34"/>
  <c r="BV101" i="34"/>
  <c r="BS193" i="34"/>
  <c r="BQ42" i="15" s="1"/>
  <c r="BQ43" i="15" s="1"/>
  <c r="BQ45" i="15" s="1"/>
  <c r="BV5" i="18"/>
  <c r="BS5" i="15"/>
  <c r="BU5" i="34"/>
  <c r="BU6" i="34"/>
  <c r="BS6" i="15"/>
  <c r="BV6" i="18"/>
  <c r="BW8" i="18"/>
  <c r="BT8" i="15"/>
  <c r="BV4" i="18"/>
  <c r="BV8" i="34"/>
  <c r="BS4" i="15"/>
  <c r="BU4" i="34"/>
  <c r="BU24" i="34"/>
  <c r="BV91" i="34"/>
  <c r="BU125" i="34"/>
  <c r="BV99" i="34"/>
  <c r="BU133" i="34"/>
  <c r="BP34" i="15"/>
  <c r="BW92" i="34"/>
  <c r="BV126" i="34"/>
  <c r="BV82" i="34"/>
  <c r="BV83" i="34"/>
  <c r="BT107" i="34"/>
  <c r="BT142" i="34" s="1"/>
  <c r="BV84" i="34"/>
  <c r="BT139" i="34"/>
  <c r="BT122" i="34"/>
  <c r="BU127" i="34"/>
  <c r="BV93" i="34"/>
  <c r="BQ35" i="15"/>
  <c r="BS141" i="34"/>
  <c r="BQ34" i="15" s="1"/>
  <c r="BW100" i="34"/>
  <c r="BV134" i="34"/>
  <c r="BV98" i="34"/>
  <c r="BU132" i="34"/>
  <c r="BV22" i="34"/>
  <c r="BR225" i="34"/>
  <c r="BQ57" i="15"/>
  <c r="BS204" i="34"/>
  <c r="BS211" i="34" s="1"/>
  <c r="BR11" i="15"/>
  <c r="BR19" i="15" s="1"/>
  <c r="BR39" i="15" s="1"/>
  <c r="BT25" i="34"/>
  <c r="BT202" i="34"/>
  <c r="BT203" i="34" s="1"/>
  <c r="BT152" i="34"/>
  <c r="BT153" i="34" s="1"/>
  <c r="BT163" i="34" s="1"/>
  <c r="BT228" i="34"/>
  <c r="BP20" i="15"/>
  <c r="BS224" i="34"/>
  <c r="BS225" i="34" s="1"/>
  <c r="BS234" i="34"/>
  <c r="BP57" i="15"/>
  <c r="BR204" i="34"/>
  <c r="BR211" i="34" s="1"/>
  <c r="BR213" i="34" s="1"/>
  <c r="BP59" i="15" s="1"/>
  <c r="BO56" i="15"/>
  <c r="BO40" i="15"/>
  <c r="Z229" i="34"/>
  <c r="Z235" i="34"/>
  <c r="Z236" i="34" s="1"/>
  <c r="Z237" i="34" s="1"/>
  <c r="BS163" i="34" l="1"/>
  <c r="BS165" i="34" s="1"/>
  <c r="BQ61" i="15" s="1"/>
  <c r="BU58" i="15"/>
  <c r="BW209" i="34"/>
  <c r="BT165" i="34"/>
  <c r="BR61" i="15" s="1"/>
  <c r="BW156" i="34"/>
  <c r="BW157" i="34" s="1"/>
  <c r="BW160" i="34"/>
  <c r="BW161" i="34" s="1"/>
  <c r="BW14" i="15"/>
  <c r="BY40" i="34"/>
  <c r="BV13" i="15"/>
  <c r="CA21" i="34"/>
  <c r="BZ37" i="34"/>
  <c r="BZ35" i="34"/>
  <c r="BX15" i="15" s="1"/>
  <c r="BZ38" i="34"/>
  <c r="BX17" i="15" s="1"/>
  <c r="BZ54" i="34"/>
  <c r="BX26" i="15" s="1"/>
  <c r="BZ52" i="34"/>
  <c r="BX24" i="15" s="1"/>
  <c r="BZ34" i="34"/>
  <c r="BZ36" i="34"/>
  <c r="BX16" i="15" s="1"/>
  <c r="BZ53" i="34"/>
  <c r="BX25" i="15" s="1"/>
  <c r="BZ51" i="34"/>
  <c r="BV22" i="15"/>
  <c r="BX71" i="34"/>
  <c r="BX156" i="34" s="1"/>
  <c r="BX157" i="34" s="1"/>
  <c r="BW23" i="15"/>
  <c r="BY55" i="34"/>
  <c r="BW87" i="34"/>
  <c r="BV88" i="34"/>
  <c r="BU105" i="34"/>
  <c r="BU107" i="34" s="1"/>
  <c r="BU142" i="34" s="1"/>
  <c r="BV102" i="34"/>
  <c r="BV136" i="34" s="1"/>
  <c r="BY86" i="34"/>
  <c r="BS213" i="34"/>
  <c r="BQ59" i="15" s="1"/>
  <c r="BW85" i="34"/>
  <c r="BU128" i="34"/>
  <c r="BU129" i="34" s="1"/>
  <c r="BS36" i="15" s="1"/>
  <c r="BV94" i="34"/>
  <c r="BV95" i="34" s="1"/>
  <c r="BV135" i="34"/>
  <c r="BW101" i="34"/>
  <c r="BT193" i="34"/>
  <c r="BR42" i="15" s="1"/>
  <c r="BR43" i="15" s="1"/>
  <c r="BR45" i="15" s="1"/>
  <c r="BT4" i="15"/>
  <c r="BV4" i="34"/>
  <c r="BT5" i="15"/>
  <c r="BV5" i="34"/>
  <c r="BW5" i="18"/>
  <c r="BW8" i="34"/>
  <c r="BX8" i="18"/>
  <c r="BU8" i="15"/>
  <c r="BW4" i="18"/>
  <c r="BW6" i="18"/>
  <c r="BT6" i="15"/>
  <c r="BV6" i="34"/>
  <c r="BV24" i="34"/>
  <c r="BR37" i="15"/>
  <c r="BU139" i="34"/>
  <c r="BS37" i="15" s="1"/>
  <c r="BW99" i="34"/>
  <c r="BV133" i="34"/>
  <c r="BX100" i="34"/>
  <c r="BW134" i="34"/>
  <c r="BW83" i="34"/>
  <c r="BR36" i="15"/>
  <c r="BW84" i="34"/>
  <c r="BU122" i="34"/>
  <c r="BW91" i="34"/>
  <c r="BV125" i="34"/>
  <c r="BV127" i="34"/>
  <c r="BW93" i="34"/>
  <c r="BW82" i="34"/>
  <c r="BW98" i="34"/>
  <c r="BV132" i="34"/>
  <c r="BX92" i="34"/>
  <c r="BW126" i="34"/>
  <c r="BR35" i="15"/>
  <c r="BT141" i="34"/>
  <c r="BR34" i="15" s="1"/>
  <c r="BW22" i="34"/>
  <c r="BQ20" i="15"/>
  <c r="BT224" i="34"/>
  <c r="BT225" i="34" s="1"/>
  <c r="BT234" i="34"/>
  <c r="BS11" i="15"/>
  <c r="BS19" i="15" s="1"/>
  <c r="BS39" i="15" s="1"/>
  <c r="BU25" i="34"/>
  <c r="BU228" i="34"/>
  <c r="BU152" i="34"/>
  <c r="BU202" i="34"/>
  <c r="BP56" i="15"/>
  <c r="BP40" i="15"/>
  <c r="BR57" i="15"/>
  <c r="BT204" i="34"/>
  <c r="BT211" i="34" s="1"/>
  <c r="BW22" i="15" l="1"/>
  <c r="BY71" i="34"/>
  <c r="BZ55" i="34"/>
  <c r="BX23" i="15"/>
  <c r="CB21" i="34"/>
  <c r="CA37" i="34"/>
  <c r="CA35" i="34"/>
  <c r="BY15" i="15" s="1"/>
  <c r="CA54" i="34"/>
  <c r="BY26" i="15" s="1"/>
  <c r="CA52" i="34"/>
  <c r="BY24" i="15" s="1"/>
  <c r="CA38" i="34"/>
  <c r="BY17" i="15" s="1"/>
  <c r="CA53" i="34"/>
  <c r="BY25" i="15" s="1"/>
  <c r="CA34" i="34"/>
  <c r="CA51" i="34"/>
  <c r="CA36" i="34"/>
  <c r="BY16" i="15" s="1"/>
  <c r="BX160" i="34"/>
  <c r="BX161" i="34" s="1"/>
  <c r="BW13" i="15"/>
  <c r="BY160" i="34"/>
  <c r="BY161" i="34" s="1"/>
  <c r="BY206" i="34"/>
  <c r="BY208" i="34" s="1"/>
  <c r="BY156" i="34"/>
  <c r="BY157" i="34" s="1"/>
  <c r="BX206" i="34"/>
  <c r="BX208" i="34" s="1"/>
  <c r="BX14" i="15"/>
  <c r="BZ40" i="34"/>
  <c r="BX87" i="34"/>
  <c r="BW88" i="34"/>
  <c r="BV105" i="34"/>
  <c r="BW102" i="34"/>
  <c r="BW136" i="34" s="1"/>
  <c r="BZ86" i="34"/>
  <c r="BT213" i="34"/>
  <c r="BR59" i="15" s="1"/>
  <c r="BU153" i="34"/>
  <c r="BV139" i="34"/>
  <c r="BT37" i="15" s="1"/>
  <c r="BX85" i="34"/>
  <c r="BV128" i="34"/>
  <c r="BV129" i="34" s="1"/>
  <c r="BW94" i="34"/>
  <c r="BW95" i="34" s="1"/>
  <c r="BW135" i="34"/>
  <c r="BX101" i="34"/>
  <c r="BY8" i="18"/>
  <c r="BX4" i="18"/>
  <c r="BX8" i="34"/>
  <c r="BV8" i="15"/>
  <c r="BX6" i="18"/>
  <c r="BW5" i="34"/>
  <c r="BX5" i="18"/>
  <c r="BU5" i="15"/>
  <c r="BU193" i="34"/>
  <c r="BS42" i="15" s="1"/>
  <c r="BS43" i="15" s="1"/>
  <c r="BS45" i="15" s="1"/>
  <c r="BU6" i="15"/>
  <c r="BW6" i="34"/>
  <c r="BW4" i="34"/>
  <c r="BU4" i="15"/>
  <c r="BW24" i="34"/>
  <c r="BV107" i="34"/>
  <c r="BV142" i="34" s="1"/>
  <c r="BX83" i="34"/>
  <c r="BX82" i="34"/>
  <c r="BY100" i="34"/>
  <c r="BX134" i="34"/>
  <c r="BX98" i="34"/>
  <c r="BW132" i="34"/>
  <c r="BX99" i="34"/>
  <c r="BW133" i="34"/>
  <c r="BY92" i="34"/>
  <c r="BX126" i="34"/>
  <c r="BX84" i="34"/>
  <c r="BV122" i="34"/>
  <c r="BX93" i="34"/>
  <c r="BW127" i="34"/>
  <c r="BX91" i="34"/>
  <c r="BW125" i="34"/>
  <c r="BS35" i="15"/>
  <c r="BU141" i="34"/>
  <c r="BS34" i="15" s="1"/>
  <c r="BX22" i="34"/>
  <c r="BQ40" i="15"/>
  <c r="BQ56" i="15"/>
  <c r="BR20" i="15"/>
  <c r="BV25" i="34"/>
  <c r="BT11" i="15"/>
  <c r="BT19" i="15" s="1"/>
  <c r="BT39" i="15" s="1"/>
  <c r="BV202" i="34"/>
  <c r="BV203" i="34" s="1"/>
  <c r="BV152" i="34"/>
  <c r="BV153" i="34" s="1"/>
  <c r="BV163" i="34" s="1"/>
  <c r="BV228" i="34"/>
  <c r="BU234" i="34"/>
  <c r="BU224" i="34"/>
  <c r="BU203" i="34"/>
  <c r="BV58" i="15" l="1"/>
  <c r="BX209" i="34"/>
  <c r="BU163" i="34"/>
  <c r="BU165" i="34" s="1"/>
  <c r="BS61" i="15" s="1"/>
  <c r="BV165" i="34"/>
  <c r="BW58" i="15"/>
  <c r="BY209" i="34"/>
  <c r="BX13" i="15"/>
  <c r="BX22" i="15"/>
  <c r="BZ71" i="34"/>
  <c r="BZ206" i="34" s="1"/>
  <c r="BZ208" i="34" s="1"/>
  <c r="CA40" i="34"/>
  <c r="BY14" i="15"/>
  <c r="CC21" i="34"/>
  <c r="CB37" i="34"/>
  <c r="CB35" i="34"/>
  <c r="BZ15" i="15" s="1"/>
  <c r="CB54" i="34"/>
  <c r="BZ26" i="15" s="1"/>
  <c r="CB52" i="34"/>
  <c r="BZ24" i="15" s="1"/>
  <c r="CB34" i="34"/>
  <c r="CB51" i="34"/>
  <c r="CB38" i="34"/>
  <c r="BZ17" i="15" s="1"/>
  <c r="CB53" i="34"/>
  <c r="BZ25" i="15" s="1"/>
  <c r="CB36" i="34"/>
  <c r="BZ16" i="15" s="1"/>
  <c r="BY23" i="15"/>
  <c r="CA55" i="34"/>
  <c r="BY87" i="34"/>
  <c r="BX88" i="34"/>
  <c r="BW105" i="34"/>
  <c r="BW107" i="34" s="1"/>
  <c r="BW142" i="34" s="1"/>
  <c r="BX102" i="34"/>
  <c r="BX136" i="34" s="1"/>
  <c r="CA86" i="34"/>
  <c r="BW122" i="34"/>
  <c r="BU35" i="15" s="1"/>
  <c r="BY85" i="34"/>
  <c r="BW128" i="34"/>
  <c r="BW129" i="34" s="1"/>
  <c r="BU36" i="15" s="1"/>
  <c r="BX94" i="34"/>
  <c r="BX95" i="34" s="1"/>
  <c r="BX135" i="34"/>
  <c r="BY101" i="34"/>
  <c r="BW139" i="34"/>
  <c r="BU37" i="15" s="1"/>
  <c r="BV193" i="34"/>
  <c r="BT42" i="15" s="1"/>
  <c r="BT43" i="15" s="1"/>
  <c r="BT45" i="15" s="1"/>
  <c r="BY5" i="18"/>
  <c r="BV5" i="15"/>
  <c r="BX5" i="34"/>
  <c r="BX6" i="34"/>
  <c r="BV6" i="15"/>
  <c r="BX4" i="34"/>
  <c r="BV4" i="15"/>
  <c r="BY4" i="18"/>
  <c r="BZ8" i="18"/>
  <c r="BY8" i="34"/>
  <c r="BY6" i="18"/>
  <c r="BW8" i="15"/>
  <c r="BX24" i="34"/>
  <c r="BT36" i="15"/>
  <c r="BZ100" i="34"/>
  <c r="BY134" i="34"/>
  <c r="BX127" i="34"/>
  <c r="BY93" i="34"/>
  <c r="BY82" i="34"/>
  <c r="BY83" i="34"/>
  <c r="BY98" i="34"/>
  <c r="BX132" i="34"/>
  <c r="BT35" i="15"/>
  <c r="BV141" i="34"/>
  <c r="BY84" i="34"/>
  <c r="BZ92" i="34"/>
  <c r="BY126" i="34"/>
  <c r="BY91" i="34"/>
  <c r="BX125" i="34"/>
  <c r="BY99" i="34"/>
  <c r="BX133" i="34"/>
  <c r="BY22" i="34"/>
  <c r="BU11" i="15"/>
  <c r="BU19" i="15" s="1"/>
  <c r="BU39" i="15" s="1"/>
  <c r="BW25" i="34"/>
  <c r="BW228" i="34"/>
  <c r="BW152" i="34"/>
  <c r="BW202" i="34"/>
  <c r="BU225" i="34"/>
  <c r="BS57" i="15"/>
  <c r="BU204" i="34"/>
  <c r="BU211" i="34" s="1"/>
  <c r="BU213" i="34" s="1"/>
  <c r="BS59" i="15" s="1"/>
  <c r="BS20" i="15"/>
  <c r="BV224" i="34"/>
  <c r="BV225" i="34" s="1"/>
  <c r="BV234" i="34"/>
  <c r="BR40" i="15"/>
  <c r="BR56" i="15"/>
  <c r="BT61" i="15"/>
  <c r="BT57" i="15"/>
  <c r="BV204" i="34"/>
  <c r="BV211" i="34" s="1"/>
  <c r="BX58" i="15" l="1"/>
  <c r="BZ209" i="34"/>
  <c r="BY22" i="15"/>
  <c r="CA71" i="34"/>
  <c r="BZ14" i="15"/>
  <c r="CB40" i="34"/>
  <c r="BZ160" i="34"/>
  <c r="BZ161" i="34" s="1"/>
  <c r="BY13" i="15"/>
  <c r="CA160" i="34"/>
  <c r="CA161" i="34" s="1"/>
  <c r="CA206" i="34"/>
  <c r="CA208" i="34" s="1"/>
  <c r="CA156" i="34"/>
  <c r="CA157" i="34" s="1"/>
  <c r="BZ156" i="34"/>
  <c r="BZ157" i="34" s="1"/>
  <c r="BZ23" i="15"/>
  <c r="CB55" i="34"/>
  <c r="CC37" i="34"/>
  <c r="CC35" i="34"/>
  <c r="CA15" i="15" s="1"/>
  <c r="CC54" i="34"/>
  <c r="CA26" i="15" s="1"/>
  <c r="CC52" i="34"/>
  <c r="CA24" i="15" s="1"/>
  <c r="CC36" i="34"/>
  <c r="CA16" i="15" s="1"/>
  <c r="CC38" i="34"/>
  <c r="CA17" i="15" s="1"/>
  <c r="CC34" i="34"/>
  <c r="CC53" i="34"/>
  <c r="CA25" i="15" s="1"/>
  <c r="CC51" i="34"/>
  <c r="BZ87" i="34"/>
  <c r="BY88" i="34"/>
  <c r="BX105" i="34"/>
  <c r="BY102" i="34"/>
  <c r="BY136" i="34" s="1"/>
  <c r="CB86" i="34"/>
  <c r="BW153" i="34"/>
  <c r="BV213" i="34"/>
  <c r="BT59" i="15" s="1"/>
  <c r="BZ85" i="34"/>
  <c r="BX128" i="34"/>
  <c r="BX129" i="34" s="1"/>
  <c r="BV36" i="15" s="1"/>
  <c r="BY94" i="34"/>
  <c r="BY95" i="34" s="1"/>
  <c r="BY135" i="34"/>
  <c r="BZ101" i="34"/>
  <c r="BW193" i="34"/>
  <c r="BU42" i="15" s="1"/>
  <c r="BU43" i="15" s="1"/>
  <c r="BU45" i="15" s="1"/>
  <c r="BZ8" i="34"/>
  <c r="CA8" i="18"/>
  <c r="BZ6" i="18"/>
  <c r="BZ4" i="18"/>
  <c r="BX8" i="15"/>
  <c r="BW4" i="15"/>
  <c r="BY4" i="34"/>
  <c r="BY5" i="34"/>
  <c r="BW5" i="15"/>
  <c r="BZ5" i="18"/>
  <c r="BY6" i="34"/>
  <c r="BW6" i="15"/>
  <c r="BY24" i="34"/>
  <c r="BX107" i="34"/>
  <c r="BX142" i="34" s="1"/>
  <c r="CA92" i="34"/>
  <c r="BZ126" i="34"/>
  <c r="BX122" i="34"/>
  <c r="BW141" i="34"/>
  <c r="BU34" i="15" s="1"/>
  <c r="BZ83" i="34"/>
  <c r="BZ82" i="34"/>
  <c r="BZ93" i="34"/>
  <c r="BY127" i="34"/>
  <c r="BZ84" i="34"/>
  <c r="BT34" i="15"/>
  <c r="BZ99" i="34"/>
  <c r="BY133" i="34"/>
  <c r="CA100" i="34"/>
  <c r="BZ134" i="34"/>
  <c r="BZ91" i="34"/>
  <c r="BY125" i="34"/>
  <c r="BX139" i="34"/>
  <c r="BZ98" i="34"/>
  <c r="BY132" i="34"/>
  <c r="BZ22" i="34"/>
  <c r="BW203" i="34"/>
  <c r="BS40" i="15"/>
  <c r="BS56" i="15"/>
  <c r="BW234" i="34"/>
  <c r="BW224" i="34"/>
  <c r="BW225" i="34" s="1"/>
  <c r="BV11" i="15"/>
  <c r="BV19" i="15" s="1"/>
  <c r="BV39" i="15" s="1"/>
  <c r="BX25" i="34"/>
  <c r="BX202" i="34"/>
  <c r="BX203" i="34" s="1"/>
  <c r="BX228" i="34"/>
  <c r="BX152" i="34"/>
  <c r="BX153" i="34" s="1"/>
  <c r="BX163" i="34" s="1"/>
  <c r="BT20" i="15"/>
  <c r="BY58" i="15" l="1"/>
  <c r="CA209" i="34"/>
  <c r="BW163" i="34"/>
  <c r="BW165" i="34" s="1"/>
  <c r="BU61" i="15" s="1"/>
  <c r="CA23" i="15"/>
  <c r="CC55" i="34"/>
  <c r="CB71" i="34"/>
  <c r="CB160" i="34" s="1"/>
  <c r="CB161" i="34" s="1"/>
  <c r="BZ22" i="15"/>
  <c r="CA14" i="15"/>
  <c r="CC40" i="34"/>
  <c r="BZ13" i="15"/>
  <c r="CA87" i="34"/>
  <c r="BZ88" i="34"/>
  <c r="BY105" i="34"/>
  <c r="BY107" i="34" s="1"/>
  <c r="BY142" i="34" s="1"/>
  <c r="BZ102" i="34"/>
  <c r="BZ136" i="34" s="1"/>
  <c r="CC86" i="34"/>
  <c r="CA85" i="34"/>
  <c r="BY128" i="34"/>
  <c r="BY129" i="34" s="1"/>
  <c r="BZ94" i="34"/>
  <c r="BZ95" i="34" s="1"/>
  <c r="BZ135" i="34"/>
  <c r="CA101" i="34"/>
  <c r="BY122" i="34"/>
  <c r="BW35" i="15" s="1"/>
  <c r="BX193" i="34"/>
  <c r="BV42" i="15" s="1"/>
  <c r="BV43" i="15" s="1"/>
  <c r="BV45" i="15" s="1"/>
  <c r="BX4" i="15"/>
  <c r="BZ4" i="34"/>
  <c r="BZ5" i="34"/>
  <c r="CA5" i="18"/>
  <c r="BX5" i="15"/>
  <c r="BZ6" i="34"/>
  <c r="BX6" i="15"/>
  <c r="CB8" i="18"/>
  <c r="BY8" i="15"/>
  <c r="CA6" i="18"/>
  <c r="CA4" i="18"/>
  <c r="CA8" i="34"/>
  <c r="BY139" i="34"/>
  <c r="BW37" i="15" s="1"/>
  <c r="BZ24" i="34"/>
  <c r="CA91" i="34"/>
  <c r="BZ125" i="34"/>
  <c r="CA82" i="34"/>
  <c r="CA93" i="34"/>
  <c r="BZ127" i="34"/>
  <c r="CA83" i="34"/>
  <c r="CB100" i="34"/>
  <c r="CA134" i="34"/>
  <c r="CA99" i="34"/>
  <c r="BZ133" i="34"/>
  <c r="CA98" i="34"/>
  <c r="BZ132" i="34"/>
  <c r="BX141" i="34"/>
  <c r="BV35" i="15"/>
  <c r="BV37" i="15"/>
  <c r="CA84" i="34"/>
  <c r="CB92" i="34"/>
  <c r="CA126" i="34"/>
  <c r="CA22" i="34"/>
  <c r="BT56" i="15"/>
  <c r="BT40" i="15"/>
  <c r="BU57" i="15"/>
  <c r="BW204" i="34"/>
  <c r="BW211" i="34" s="1"/>
  <c r="BW213" i="34" s="1"/>
  <c r="BU59" i="15" s="1"/>
  <c r="BV57" i="15"/>
  <c r="BX204" i="34"/>
  <c r="BX211" i="34" s="1"/>
  <c r="BY25" i="34"/>
  <c r="BW11" i="15"/>
  <c r="BW19" i="15" s="1"/>
  <c r="BW39" i="15" s="1"/>
  <c r="BY228" i="34"/>
  <c r="BY152" i="34"/>
  <c r="BY202" i="34"/>
  <c r="BX224" i="34"/>
  <c r="BX234" i="34"/>
  <c r="BU20" i="15"/>
  <c r="CB206" i="34" l="1"/>
  <c r="CB208" i="34" s="1"/>
  <c r="BX165" i="34"/>
  <c r="BV61" i="15" s="1"/>
  <c r="CB156" i="34"/>
  <c r="CB157" i="34" s="1"/>
  <c r="CA13" i="15"/>
  <c r="CA22" i="15"/>
  <c r="CC71" i="34"/>
  <c r="CC160" i="34" s="1"/>
  <c r="CC161" i="34" s="1"/>
  <c r="CB87" i="34"/>
  <c r="CA88" i="34"/>
  <c r="BZ105" i="34"/>
  <c r="BZ107" i="34" s="1"/>
  <c r="BZ142" i="34" s="1"/>
  <c r="BX213" i="34"/>
  <c r="BV59" i="15" s="1"/>
  <c r="CA102" i="34"/>
  <c r="CA136" i="34" s="1"/>
  <c r="BZ139" i="34"/>
  <c r="BX37" i="15" s="1"/>
  <c r="BY153" i="34"/>
  <c r="BY141" i="34"/>
  <c r="BW34" i="15" s="1"/>
  <c r="CB85" i="34"/>
  <c r="BZ128" i="34"/>
  <c r="BZ129" i="34" s="1"/>
  <c r="BX36" i="15" s="1"/>
  <c r="CA94" i="34"/>
  <c r="CA95" i="34" s="1"/>
  <c r="CA135" i="34"/>
  <c r="CB101" i="34"/>
  <c r="BY193" i="34"/>
  <c r="BW42" i="15" s="1"/>
  <c r="BW43" i="15" s="1"/>
  <c r="BW45" i="15" s="1"/>
  <c r="BY5" i="15"/>
  <c r="CA5" i="34"/>
  <c r="CB5" i="18"/>
  <c r="BY4" i="15"/>
  <c r="CA4" i="34"/>
  <c r="BZ8" i="15"/>
  <c r="CB8" i="34"/>
  <c r="CC8" i="18"/>
  <c r="CB4" i="18"/>
  <c r="CB6" i="18"/>
  <c r="CA6" i="34"/>
  <c r="BY6" i="15"/>
  <c r="CA24" i="34"/>
  <c r="BV34" i="15"/>
  <c r="CB93" i="34"/>
  <c r="CA127" i="34"/>
  <c r="BZ122" i="34"/>
  <c r="CB83" i="34"/>
  <c r="CB82" i="34"/>
  <c r="CB99" i="34"/>
  <c r="CA133" i="34"/>
  <c r="CB84" i="34"/>
  <c r="CB98" i="34"/>
  <c r="CA132" i="34"/>
  <c r="CC92" i="34"/>
  <c r="CB126" i="34"/>
  <c r="BW36" i="15"/>
  <c r="CC100" i="34"/>
  <c r="CB134" i="34"/>
  <c r="CB91" i="34"/>
  <c r="CA125" i="34"/>
  <c r="CB22" i="34"/>
  <c r="BY234" i="34"/>
  <c r="BY224" i="34"/>
  <c r="BY225" i="34" s="1"/>
  <c r="BV20" i="15"/>
  <c r="BX225" i="34"/>
  <c r="BX11" i="15"/>
  <c r="BX19" i="15" s="1"/>
  <c r="BX39" i="15" s="1"/>
  <c r="BZ25" i="34"/>
  <c r="BZ152" i="34"/>
  <c r="BZ228" i="34"/>
  <c r="BZ202" i="34"/>
  <c r="BZ203" i="34" s="1"/>
  <c r="BU56" i="15"/>
  <c r="BU40" i="15"/>
  <c r="BY203" i="34"/>
  <c r="BY163" i="34" l="1"/>
  <c r="BY165" i="34" s="1"/>
  <c r="BW61" i="15" s="1"/>
  <c r="BZ58" i="15"/>
  <c r="CB209" i="34"/>
  <c r="CC206" i="34"/>
  <c r="CC208" i="34" s="1"/>
  <c r="CC156" i="34"/>
  <c r="CC157" i="34" s="1"/>
  <c r="CC87" i="34"/>
  <c r="CB88" i="34"/>
  <c r="CA105" i="34"/>
  <c r="CB102" i="34"/>
  <c r="CB136" i="34" s="1"/>
  <c r="BZ153" i="34"/>
  <c r="CC85" i="34"/>
  <c r="CA128" i="34"/>
  <c r="CA129" i="34" s="1"/>
  <c r="BY36" i="15" s="1"/>
  <c r="CB94" i="34"/>
  <c r="CB95" i="34" s="1"/>
  <c r="CB135" i="34"/>
  <c r="CC101" i="34"/>
  <c r="CC135" i="34" s="1"/>
  <c r="CA122" i="34"/>
  <c r="BY35" i="15" s="1"/>
  <c r="CB6" i="34"/>
  <c r="BZ6" i="15"/>
  <c r="CC8" i="34"/>
  <c r="CA8" i="15"/>
  <c r="CC4" i="18"/>
  <c r="CC6" i="18"/>
  <c r="CB4" i="34"/>
  <c r="BZ4" i="15"/>
  <c r="CC5" i="18"/>
  <c r="CB5" i="34"/>
  <c r="BZ5" i="15"/>
  <c r="BZ193" i="34"/>
  <c r="BX42" i="15" s="1"/>
  <c r="BX43" i="15" s="1"/>
  <c r="BX45" i="15" s="1"/>
  <c r="CC24" i="34"/>
  <c r="CB24" i="34"/>
  <c r="CA107" i="34"/>
  <c r="CA142" i="34" s="1"/>
  <c r="CA139" i="34"/>
  <c r="BY37" i="15" s="1"/>
  <c r="CC134" i="34"/>
  <c r="CC126" i="34"/>
  <c r="CC83" i="34"/>
  <c r="CC98" i="34"/>
  <c r="CB132" i="34"/>
  <c r="CC99" i="34"/>
  <c r="CB133" i="34"/>
  <c r="BX35" i="15"/>
  <c r="BZ141" i="34"/>
  <c r="BX34" i="15" s="1"/>
  <c r="CC82" i="34"/>
  <c r="CB127" i="34"/>
  <c r="CC93" i="34"/>
  <c r="CC84" i="34"/>
  <c r="CC91" i="34"/>
  <c r="CB125" i="34"/>
  <c r="CC22" i="34"/>
  <c r="BV56" i="15"/>
  <c r="BV40" i="15"/>
  <c r="BW57" i="15"/>
  <c r="BY204" i="34"/>
  <c r="BY211" i="34" s="1"/>
  <c r="BY213" i="34" s="1"/>
  <c r="BW59" i="15" s="1"/>
  <c r="BX57" i="15"/>
  <c r="BZ204" i="34"/>
  <c r="BZ211" i="34" s="1"/>
  <c r="BZ234" i="34"/>
  <c r="BZ224" i="34"/>
  <c r="BZ225" i="34" s="1"/>
  <c r="BW20" i="15"/>
  <c r="CA25" i="34"/>
  <c r="CA152" i="34"/>
  <c r="BY11" i="15"/>
  <c r="BY19" i="15" s="1"/>
  <c r="BY39" i="15" s="1"/>
  <c r="CA202" i="34"/>
  <c r="CA203" i="34" s="1"/>
  <c r="CA228" i="34"/>
  <c r="BZ163" i="34" l="1"/>
  <c r="BZ165" i="34" s="1"/>
  <c r="BX61" i="15" s="1"/>
  <c r="CA58" i="15"/>
  <c r="CC209" i="34"/>
  <c r="CC88" i="34"/>
  <c r="CB105" i="34"/>
  <c r="CB107" i="34" s="1"/>
  <c r="CB142" i="34" s="1"/>
  <c r="BZ213" i="34"/>
  <c r="BX59" i="15" s="1"/>
  <c r="CC102" i="34"/>
  <c r="CC136" i="34" s="1"/>
  <c r="CA141" i="34"/>
  <c r="BY34" i="15" s="1"/>
  <c r="CA153" i="34"/>
  <c r="CB128" i="34"/>
  <c r="CB129" i="34" s="1"/>
  <c r="BZ36" i="15" s="1"/>
  <c r="CC94" i="34"/>
  <c r="CC128" i="34" s="1"/>
  <c r="CC4" i="34"/>
  <c r="CA4" i="15"/>
  <c r="CA5" i="15"/>
  <c r="CC5" i="34"/>
  <c r="CA6" i="15"/>
  <c r="CC6" i="34"/>
  <c r="CA193" i="34"/>
  <c r="BY42" i="15" s="1"/>
  <c r="BY43" i="15" s="1"/>
  <c r="BY45" i="15" s="1"/>
  <c r="CC133" i="34"/>
  <c r="CB139" i="34"/>
  <c r="BZ37" i="15" s="1"/>
  <c r="CC132" i="34"/>
  <c r="CC127" i="34"/>
  <c r="CB122" i="34"/>
  <c r="CC125" i="34"/>
  <c r="BY57" i="15"/>
  <c r="CA204" i="34"/>
  <c r="CA211" i="34" s="1"/>
  <c r="CA224" i="34"/>
  <c r="CA225" i="34" s="1"/>
  <c r="CA234" i="34"/>
  <c r="BX20" i="15"/>
  <c r="CB25" i="34"/>
  <c r="CB228" i="34"/>
  <c r="CB202" i="34"/>
  <c r="CB203" i="34" s="1"/>
  <c r="BZ11" i="15"/>
  <c r="BZ19" i="15" s="1"/>
  <c r="BZ39" i="15" s="1"/>
  <c r="CB152" i="34"/>
  <c r="BW40" i="15"/>
  <c r="BW56" i="15"/>
  <c r="CA163" i="34" l="1"/>
  <c r="CA165" i="34" s="1"/>
  <c r="BY61" i="15" s="1"/>
  <c r="Q191" i="34"/>
  <c r="S191" i="34"/>
  <c r="R191" i="34"/>
  <c r="T190" i="34"/>
  <c r="P191" i="34"/>
  <c r="P174" i="34"/>
  <c r="Q182" i="34"/>
  <c r="P182" i="34"/>
  <c r="R174" i="34"/>
  <c r="R182" i="34"/>
  <c r="Q174" i="34"/>
  <c r="T182" i="34"/>
  <c r="S182" i="34"/>
  <c r="T174" i="34"/>
  <c r="S174" i="34"/>
  <c r="P173" i="34"/>
  <c r="Q173" i="34"/>
  <c r="R173" i="34"/>
  <c r="Q121" i="34"/>
  <c r="R120" i="34"/>
  <c r="R121" i="34"/>
  <c r="P121" i="34"/>
  <c r="S120" i="34"/>
  <c r="S121" i="34"/>
  <c r="T121" i="34"/>
  <c r="T120" i="34"/>
  <c r="Q120" i="34"/>
  <c r="P87" i="34"/>
  <c r="Q87" i="34"/>
  <c r="R87" i="34"/>
  <c r="S87" i="34"/>
  <c r="T87" i="34"/>
  <c r="Q137" i="34"/>
  <c r="Q138" i="34"/>
  <c r="P120" i="34"/>
  <c r="P137" i="34"/>
  <c r="P136" i="34"/>
  <c r="S136" i="34"/>
  <c r="R137" i="34"/>
  <c r="P138" i="34"/>
  <c r="R138" i="34"/>
  <c r="P105" i="34"/>
  <c r="Q136" i="34"/>
  <c r="S137" i="34"/>
  <c r="S138" i="34"/>
  <c r="R136" i="34"/>
  <c r="T138" i="34"/>
  <c r="T137" i="34"/>
  <c r="T136" i="34"/>
  <c r="CC105" i="34"/>
  <c r="T105" i="34" s="1"/>
  <c r="P104" i="34"/>
  <c r="Q102" i="34"/>
  <c r="P102" i="34"/>
  <c r="P103" i="34"/>
  <c r="Q103" i="34"/>
  <c r="Q104" i="34"/>
  <c r="S104" i="34"/>
  <c r="S102" i="34"/>
  <c r="R104" i="34"/>
  <c r="T104" i="34"/>
  <c r="R102" i="34"/>
  <c r="T103" i="34"/>
  <c r="R103" i="34"/>
  <c r="S103" i="34"/>
  <c r="T102" i="34"/>
  <c r="P86" i="34"/>
  <c r="Q86" i="34"/>
  <c r="R86" i="34"/>
  <c r="S86" i="34"/>
  <c r="T86" i="34"/>
  <c r="P126" i="34"/>
  <c r="S163" i="34"/>
  <c r="CC95" i="34"/>
  <c r="T95" i="34" s="1"/>
  <c r="S211" i="34"/>
  <c r="P37" i="34"/>
  <c r="Q37" i="34"/>
  <c r="R37" i="34"/>
  <c r="S37" i="34"/>
  <c r="T37" i="34"/>
  <c r="P134" i="34"/>
  <c r="T98" i="34"/>
  <c r="T126" i="34"/>
  <c r="N32" i="15"/>
  <c r="N26" i="15"/>
  <c r="N17" i="15"/>
  <c r="S126" i="34"/>
  <c r="R126" i="34"/>
  <c r="Q126" i="34"/>
  <c r="CA213" i="34"/>
  <c r="BY59" i="15" s="1"/>
  <c r="CB153" i="34"/>
  <c r="P38" i="34"/>
  <c r="R38" i="34"/>
  <c r="Q38" i="34"/>
  <c r="S38" i="34"/>
  <c r="T38" i="34"/>
  <c r="T134" i="34"/>
  <c r="P54" i="34"/>
  <c r="R54" i="34"/>
  <c r="S54" i="34"/>
  <c r="Q54" i="34"/>
  <c r="T54" i="34"/>
  <c r="S134" i="34"/>
  <c r="P68" i="34"/>
  <c r="R68" i="34"/>
  <c r="Q68" i="34"/>
  <c r="S68" i="34"/>
  <c r="T68" i="34"/>
  <c r="R134" i="34"/>
  <c r="P85" i="34"/>
  <c r="Q85" i="34"/>
  <c r="T85" i="34"/>
  <c r="P119" i="34"/>
  <c r="R85" i="34"/>
  <c r="S85" i="34"/>
  <c r="Q134" i="34"/>
  <c r="P94" i="34"/>
  <c r="Q94" i="34"/>
  <c r="R94" i="34"/>
  <c r="P128" i="34"/>
  <c r="S94" i="34"/>
  <c r="T94" i="34"/>
  <c r="P101" i="34"/>
  <c r="R101" i="34"/>
  <c r="Q101" i="34"/>
  <c r="S101" i="34"/>
  <c r="P135" i="34"/>
  <c r="T101" i="34"/>
  <c r="Q119" i="34"/>
  <c r="S119" i="34"/>
  <c r="R119" i="34"/>
  <c r="T119" i="34"/>
  <c r="Q128" i="34"/>
  <c r="S128" i="34"/>
  <c r="R128" i="34"/>
  <c r="T128" i="34"/>
  <c r="Q135" i="34"/>
  <c r="S135" i="34"/>
  <c r="R135" i="34"/>
  <c r="T135" i="34"/>
  <c r="P181" i="34"/>
  <c r="T173" i="34"/>
  <c r="S173" i="34"/>
  <c r="Q181" i="34"/>
  <c r="S181" i="34"/>
  <c r="R181" i="34"/>
  <c r="T181" i="34"/>
  <c r="P190" i="34"/>
  <c r="Q190" i="34"/>
  <c r="R190" i="34"/>
  <c r="S190" i="34"/>
  <c r="O17" i="15"/>
  <c r="Q17" i="15"/>
  <c r="P17" i="15"/>
  <c r="R17" i="15"/>
  <c r="O26" i="15"/>
  <c r="Q26" i="15"/>
  <c r="P26" i="15"/>
  <c r="R26" i="15"/>
  <c r="O32" i="15"/>
  <c r="Q32" i="15"/>
  <c r="P32" i="15"/>
  <c r="R32" i="15"/>
  <c r="P249" i="34"/>
  <c r="Q249" i="34"/>
  <c r="Q248" i="34"/>
  <c r="R249" i="34"/>
  <c r="R248" i="34"/>
  <c r="S249" i="34"/>
  <c r="T249" i="34"/>
  <c r="T248" i="34"/>
  <c r="S248" i="34"/>
  <c r="T91" i="34"/>
  <c r="T83" i="34"/>
  <c r="P189" i="34"/>
  <c r="T187" i="34"/>
  <c r="P188" i="34"/>
  <c r="N53" i="15"/>
  <c r="N15" i="15"/>
  <c r="N22" i="15"/>
  <c r="Q29" i="15"/>
  <c r="Q28" i="15"/>
  <c r="O17" i="29" s="1"/>
  <c r="N24" i="15"/>
  <c r="O14" i="15"/>
  <c r="O30" i="15"/>
  <c r="Q13" i="15"/>
  <c r="O12" i="29" s="1"/>
  <c r="Q30" i="15"/>
  <c r="O23" i="15"/>
  <c r="N28" i="15"/>
  <c r="R22" i="15"/>
  <c r="P16" i="29" s="1"/>
  <c r="O16" i="15"/>
  <c r="R28" i="15"/>
  <c r="P17" i="29" s="1"/>
  <c r="N16" i="15"/>
  <c r="Q63" i="15"/>
  <c r="O53" i="29" s="1"/>
  <c r="N23" i="15"/>
  <c r="N14" i="15"/>
  <c r="O13" i="15"/>
  <c r="M12" i="29" s="1"/>
  <c r="N69" i="15"/>
  <c r="L58" i="29" s="1"/>
  <c r="N25" i="15"/>
  <c r="N30" i="15"/>
  <c r="O15" i="15"/>
  <c r="N31" i="15"/>
  <c r="O28" i="15"/>
  <c r="M17" i="29" s="1"/>
  <c r="O24" i="15"/>
  <c r="R63" i="15"/>
  <c r="P53" i="29" s="1"/>
  <c r="Q23" i="15"/>
  <c r="O25" i="15"/>
  <c r="O31" i="15"/>
  <c r="O29" i="15"/>
  <c r="N29" i="15"/>
  <c r="N13" i="15"/>
  <c r="Q31" i="15"/>
  <c r="Q64" i="15"/>
  <c r="O54" i="29" s="1"/>
  <c r="P22" i="15"/>
  <c r="N16" i="29" s="1"/>
  <c r="Q15" i="15"/>
  <c r="P29" i="15"/>
  <c r="P30" i="15"/>
  <c r="P42" i="15"/>
  <c r="N22" i="29" s="1"/>
  <c r="P31" i="15"/>
  <c r="O22" i="15"/>
  <c r="M16" i="29" s="1"/>
  <c r="R14" i="15"/>
  <c r="R29" i="15"/>
  <c r="P63" i="15"/>
  <c r="N53" i="29" s="1"/>
  <c r="P13" i="15"/>
  <c r="N12" i="29" s="1"/>
  <c r="P28" i="15"/>
  <c r="N17" i="29" s="1"/>
  <c r="O69" i="15"/>
  <c r="M58" i="29" s="1"/>
  <c r="R16" i="15"/>
  <c r="P25" i="15"/>
  <c r="Q25" i="15"/>
  <c r="R69" i="15"/>
  <c r="P58" i="29" s="1"/>
  <c r="R64" i="15"/>
  <c r="P54" i="29" s="1"/>
  <c r="Q14" i="15"/>
  <c r="R24" i="15"/>
  <c r="R58" i="15"/>
  <c r="R23" i="15"/>
  <c r="Q42" i="15"/>
  <c r="O22" i="29" s="1"/>
  <c r="N58" i="15"/>
  <c r="P69" i="15"/>
  <c r="N58" i="29" s="1"/>
  <c r="R30" i="15"/>
  <c r="N63" i="15"/>
  <c r="O42" i="15"/>
  <c r="M22" i="29" s="1"/>
  <c r="R13" i="15"/>
  <c r="P12" i="29" s="1"/>
  <c r="Q24" i="15"/>
  <c r="R15" i="15"/>
  <c r="Q16" i="15"/>
  <c r="P16" i="15"/>
  <c r="P15" i="15"/>
  <c r="N64" i="15"/>
  <c r="Q58" i="15"/>
  <c r="P24" i="15"/>
  <c r="Q22" i="15"/>
  <c r="O16" i="29" s="1"/>
  <c r="O64" i="15"/>
  <c r="M54" i="29" s="1"/>
  <c r="P64" i="15"/>
  <c r="N54" i="29" s="1"/>
  <c r="R25" i="15"/>
  <c r="O63" i="15"/>
  <c r="M53" i="29" s="1"/>
  <c r="R31" i="15"/>
  <c r="P14" i="15"/>
  <c r="P23" i="15"/>
  <c r="O58" i="15"/>
  <c r="P58" i="15"/>
  <c r="T93" i="34"/>
  <c r="Q157" i="34"/>
  <c r="Q189" i="34"/>
  <c r="P161" i="34"/>
  <c r="S71" i="34"/>
  <c r="P157" i="34"/>
  <c r="Q172" i="34"/>
  <c r="P35" i="34"/>
  <c r="P52" i="34"/>
  <c r="Q40" i="34"/>
  <c r="S161" i="34"/>
  <c r="R157" i="34"/>
  <c r="P36" i="34"/>
  <c r="S179" i="34"/>
  <c r="Q65" i="34"/>
  <c r="Q161" i="34"/>
  <c r="P55" i="34"/>
  <c r="Q34" i="34"/>
  <c r="P180" i="34"/>
  <c r="P66" i="34"/>
  <c r="R172" i="34"/>
  <c r="R189" i="34"/>
  <c r="R40" i="34"/>
  <c r="S178" i="34"/>
  <c r="S53" i="34"/>
  <c r="S35" i="34"/>
  <c r="S34" i="34"/>
  <c r="Q66" i="34"/>
  <c r="R53" i="34"/>
  <c r="P172" i="34"/>
  <c r="P34" i="34"/>
  <c r="Q179" i="34"/>
  <c r="P71" i="34"/>
  <c r="S184" i="34"/>
  <c r="S189" i="34"/>
  <c r="P69" i="34"/>
  <c r="P179" i="34"/>
  <c r="R187" i="34"/>
  <c r="P170" i="34"/>
  <c r="S171" i="34"/>
  <c r="P67" i="34"/>
  <c r="P178" i="34"/>
  <c r="Q178" i="34"/>
  <c r="P51" i="34"/>
  <c r="Q67" i="34"/>
  <c r="Q171" i="34"/>
  <c r="P40" i="34"/>
  <c r="R207" i="34"/>
  <c r="P65" i="34"/>
  <c r="Q187" i="34"/>
  <c r="R184" i="34"/>
  <c r="S187" i="34"/>
  <c r="P184" i="34"/>
  <c r="Q55" i="34"/>
  <c r="R178" i="34"/>
  <c r="S157" i="34"/>
  <c r="Q69" i="34"/>
  <c r="S206" i="34"/>
  <c r="Q36" i="34"/>
  <c r="R66" i="34"/>
  <c r="R67" i="34"/>
  <c r="Q180" i="34"/>
  <c r="Q207" i="34"/>
  <c r="Q35" i="34"/>
  <c r="Q51" i="34"/>
  <c r="S180" i="34"/>
  <c r="P209" i="34"/>
  <c r="R188" i="34"/>
  <c r="Q170" i="34"/>
  <c r="S65" i="34"/>
  <c r="R52" i="34"/>
  <c r="Q206" i="34"/>
  <c r="R161" i="34"/>
  <c r="S36" i="34"/>
  <c r="S55" i="34"/>
  <c r="T157" i="34"/>
  <c r="P53" i="34"/>
  <c r="S51" i="34"/>
  <c r="T156" i="34"/>
  <c r="Q160" i="34"/>
  <c r="R179" i="34"/>
  <c r="Q209" i="34"/>
  <c r="S69" i="34"/>
  <c r="S170" i="34"/>
  <c r="S67" i="34"/>
  <c r="S172" i="34"/>
  <c r="Q184" i="34"/>
  <c r="R206" i="34"/>
  <c r="R156" i="34"/>
  <c r="P160" i="34"/>
  <c r="Q156" i="34"/>
  <c r="R34" i="34"/>
  <c r="T161" i="34"/>
  <c r="Q188" i="34"/>
  <c r="T209" i="34"/>
  <c r="R35" i="34"/>
  <c r="R55" i="34"/>
  <c r="S40" i="34"/>
  <c r="R51" i="34"/>
  <c r="S156" i="34"/>
  <c r="R170" i="34"/>
  <c r="R160" i="34"/>
  <c r="Q52" i="34"/>
  <c r="Q53" i="34"/>
  <c r="S160" i="34"/>
  <c r="R69" i="34"/>
  <c r="P207" i="34"/>
  <c r="S209" i="34"/>
  <c r="R180" i="34"/>
  <c r="S188" i="34"/>
  <c r="S66" i="34"/>
  <c r="Q71" i="34"/>
  <c r="R171" i="34"/>
  <c r="S207" i="34"/>
  <c r="R65" i="34"/>
  <c r="S193" i="34"/>
  <c r="P171" i="34"/>
  <c r="T160" i="34"/>
  <c r="T65" i="34"/>
  <c r="T208" i="34"/>
  <c r="T206" i="34"/>
  <c r="T66" i="34"/>
  <c r="T170" i="34"/>
  <c r="T172" i="34"/>
  <c r="T40" i="34"/>
  <c r="T67" i="34"/>
  <c r="R36" i="34"/>
  <c r="T36" i="34"/>
  <c r="P208" i="34"/>
  <c r="P206" i="34"/>
  <c r="R209" i="34"/>
  <c r="S208" i="34"/>
  <c r="T69" i="34"/>
  <c r="T71" i="34"/>
  <c r="P156" i="34"/>
  <c r="R71" i="34"/>
  <c r="T53" i="34"/>
  <c r="S52" i="34"/>
  <c r="T171" i="34"/>
  <c r="Q208" i="34"/>
  <c r="T207" i="34"/>
  <c r="T51" i="34"/>
  <c r="T34" i="34"/>
  <c r="R193" i="34"/>
  <c r="T180" i="34"/>
  <c r="T178" i="34"/>
  <c r="T35" i="34"/>
  <c r="T52" i="34"/>
  <c r="T184" i="34"/>
  <c r="T55" i="34"/>
  <c r="R208" i="34"/>
  <c r="T179" i="34"/>
  <c r="P84" i="34"/>
  <c r="P99" i="34"/>
  <c r="P82" i="34"/>
  <c r="P92" i="34"/>
  <c r="P93" i="34"/>
  <c r="P83" i="34"/>
  <c r="P91" i="34"/>
  <c r="P95" i="34"/>
  <c r="P163" i="34"/>
  <c r="P165" i="34" s="1"/>
  <c r="P100" i="34"/>
  <c r="P88" i="34"/>
  <c r="P153" i="34"/>
  <c r="P98" i="34"/>
  <c r="P211" i="34"/>
  <c r="P203" i="34"/>
  <c r="P204" i="34"/>
  <c r="P107" i="34"/>
  <c r="P142" i="34" s="1"/>
  <c r="Q83" i="34"/>
  <c r="Q91" i="34"/>
  <c r="Q95" i="34"/>
  <c r="Q92" i="34"/>
  <c r="Q98" i="34"/>
  <c r="Q105" i="34"/>
  <c r="Q99" i="34"/>
  <c r="Q93" i="34"/>
  <c r="Q82" i="34"/>
  <c r="Q84" i="34"/>
  <c r="Q163" i="34"/>
  <c r="Q100" i="34"/>
  <c r="Q88" i="34"/>
  <c r="Q107" i="34"/>
  <c r="Q142" i="34" s="1"/>
  <c r="Q204" i="34"/>
  <c r="Q153" i="34"/>
  <c r="Q211" i="34"/>
  <c r="R93" i="34"/>
  <c r="R100" i="34"/>
  <c r="R92" i="34"/>
  <c r="R99" i="34"/>
  <c r="R91" i="34"/>
  <c r="R98" i="34"/>
  <c r="R105" i="34"/>
  <c r="R84" i="34"/>
  <c r="R82" i="34"/>
  <c r="R83" i="34"/>
  <c r="R95" i="34"/>
  <c r="R88" i="34"/>
  <c r="R107" i="34"/>
  <c r="R142" i="34" s="1"/>
  <c r="R153" i="34"/>
  <c r="R211" i="34"/>
  <c r="R163" i="34"/>
  <c r="R204" i="34"/>
  <c r="S83" i="34"/>
  <c r="S105" i="34"/>
  <c r="S84" i="34"/>
  <c r="S93" i="34"/>
  <c r="S91" i="34"/>
  <c r="S95" i="34"/>
  <c r="S129" i="34"/>
  <c r="S92" i="34"/>
  <c r="S100" i="34"/>
  <c r="S99" i="34"/>
  <c r="S98" i="34"/>
  <c r="S82" i="34"/>
  <c r="S88" i="34"/>
  <c r="S153" i="34"/>
  <c r="S204" i="34"/>
  <c r="P21" i="34"/>
  <c r="T100" i="34"/>
  <c r="R21" i="34"/>
  <c r="S21" i="34"/>
  <c r="Q21" i="34"/>
  <c r="T92" i="34"/>
  <c r="S107" i="34"/>
  <c r="S142" i="34" s="1"/>
  <c r="T21" i="34"/>
  <c r="T84" i="34"/>
  <c r="CB193" i="34"/>
  <c r="BZ42" i="15" s="1"/>
  <c r="BZ43" i="15" s="1"/>
  <c r="BZ45" i="15" s="1"/>
  <c r="T82" i="34"/>
  <c r="T99" i="34"/>
  <c r="CC122" i="34"/>
  <c r="P116" i="34"/>
  <c r="Q116" i="34"/>
  <c r="R116" i="34"/>
  <c r="S116" i="34"/>
  <c r="T116" i="34"/>
  <c r="CB141" i="34"/>
  <c r="BZ34" i="15" s="1"/>
  <c r="BZ35" i="15"/>
  <c r="CC129" i="34"/>
  <c r="P125" i="34"/>
  <c r="Q125" i="34"/>
  <c r="R125" i="34"/>
  <c r="S125" i="34"/>
  <c r="T125" i="34"/>
  <c r="P117" i="34"/>
  <c r="Q117" i="34"/>
  <c r="R117" i="34"/>
  <c r="S117" i="34"/>
  <c r="T117" i="34"/>
  <c r="P127" i="34"/>
  <c r="Q127" i="34"/>
  <c r="R127" i="34"/>
  <c r="S127" i="34"/>
  <c r="T127" i="34"/>
  <c r="P118" i="34"/>
  <c r="Q118" i="34"/>
  <c r="R118" i="34"/>
  <c r="S118" i="34"/>
  <c r="T118" i="34"/>
  <c r="T88" i="34"/>
  <c r="CC139" i="34"/>
  <c r="P132" i="34"/>
  <c r="Q132" i="34"/>
  <c r="R132" i="34"/>
  <c r="S132" i="34"/>
  <c r="T132" i="34"/>
  <c r="P133" i="34"/>
  <c r="Q133" i="34"/>
  <c r="R133" i="34"/>
  <c r="S133" i="34"/>
  <c r="T133" i="34"/>
  <c r="BX40" i="15"/>
  <c r="BX56" i="15"/>
  <c r="BY20" i="15"/>
  <c r="CB224" i="34"/>
  <c r="CB225" i="34" s="1"/>
  <c r="CB234" i="34"/>
  <c r="BZ57" i="15"/>
  <c r="CB204" i="34"/>
  <c r="CB211" i="34" s="1"/>
  <c r="CC25" i="34"/>
  <c r="CC228" i="34"/>
  <c r="CC152" i="34"/>
  <c r="CC153" i="34" s="1"/>
  <c r="CC163" i="34" s="1"/>
  <c r="CC202" i="34"/>
  <c r="CA11" i="15"/>
  <c r="CA19" i="15" s="1"/>
  <c r="CA39" i="15" s="1"/>
  <c r="P24" i="34"/>
  <c r="Q24" i="34"/>
  <c r="R24" i="34"/>
  <c r="S24" i="34"/>
  <c r="T24" i="34"/>
  <c r="CB163" i="34" l="1"/>
  <c r="CB165" i="34" s="1"/>
  <c r="BZ61" i="15" s="1"/>
  <c r="CC165" i="34"/>
  <c r="N165" i="34" s="1"/>
  <c r="N209" i="34"/>
  <c r="T191" i="34"/>
  <c r="N191" i="34" s="1"/>
  <c r="N182" i="34"/>
  <c r="N174" i="34"/>
  <c r="N120" i="34"/>
  <c r="N121" i="34"/>
  <c r="N138" i="34"/>
  <c r="N136" i="34"/>
  <c r="N137" i="34"/>
  <c r="CC107" i="34"/>
  <c r="T107" i="34" s="1"/>
  <c r="T142" i="34" s="1"/>
  <c r="N126" i="34"/>
  <c r="N37" i="34"/>
  <c r="N134" i="34"/>
  <c r="T188" i="34"/>
  <c r="N188" i="34" s="1"/>
  <c r="CB213" i="34"/>
  <c r="BZ59" i="15" s="1"/>
  <c r="L26" i="15"/>
  <c r="L17" i="15"/>
  <c r="N38" i="34"/>
  <c r="N54" i="34"/>
  <c r="L32" i="15"/>
  <c r="N68" i="34"/>
  <c r="N119" i="34"/>
  <c r="N128" i="34"/>
  <c r="N135" i="34"/>
  <c r="N173" i="34"/>
  <c r="N181" i="34"/>
  <c r="N190" i="34"/>
  <c r="R165" i="34"/>
  <c r="T22" i="34"/>
  <c r="N249" i="34"/>
  <c r="T189" i="34"/>
  <c r="N189" i="34" s="1"/>
  <c r="N156" i="34"/>
  <c r="N206" i="34"/>
  <c r="S22" i="34"/>
  <c r="Q22" i="34"/>
  <c r="N67" i="34"/>
  <c r="N51" i="34"/>
  <c r="N34" i="34"/>
  <c r="N35" i="34"/>
  <c r="L12" i="29"/>
  <c r="L13" i="15"/>
  <c r="J12" i="29" s="1"/>
  <c r="N172" i="34"/>
  <c r="N178" i="34"/>
  <c r="N55" i="34"/>
  <c r="L58" i="15"/>
  <c r="L14" i="15"/>
  <c r="L24" i="15"/>
  <c r="N184" i="34"/>
  <c r="N170" i="34"/>
  <c r="N36" i="34"/>
  <c r="L54" i="29"/>
  <c r="L64" i="15"/>
  <c r="J54" i="29" s="1"/>
  <c r="L23" i="15"/>
  <c r="N207" i="34"/>
  <c r="N179" i="34"/>
  <c r="L16" i="29"/>
  <c r="L22" i="15"/>
  <c r="J16" i="29" s="1"/>
  <c r="N208" i="34"/>
  <c r="N160" i="34"/>
  <c r="N53" i="34"/>
  <c r="N69" i="34"/>
  <c r="L16" i="15"/>
  <c r="L15" i="15"/>
  <c r="L29" i="15"/>
  <c r="N65" i="34"/>
  <c r="Q165" i="34"/>
  <c r="N171" i="34"/>
  <c r="R22" i="34"/>
  <c r="N40" i="34"/>
  <c r="N71" i="34"/>
  <c r="N66" i="34"/>
  <c r="L31" i="15"/>
  <c r="CC193" i="34"/>
  <c r="T193" i="34" s="1"/>
  <c r="P187" i="34"/>
  <c r="N187" i="34" s="1"/>
  <c r="N180" i="34"/>
  <c r="L17" i="29"/>
  <c r="L28" i="15"/>
  <c r="J17" i="29" s="1"/>
  <c r="P22" i="34"/>
  <c r="N21" i="34"/>
  <c r="N52" i="34"/>
  <c r="L25" i="15"/>
  <c r="L53" i="29"/>
  <c r="L63" i="15"/>
  <c r="J53" i="29" s="1"/>
  <c r="L30" i="15"/>
  <c r="S165" i="34"/>
  <c r="N118" i="34"/>
  <c r="N125" i="34"/>
  <c r="N133" i="34"/>
  <c r="CA36" i="15"/>
  <c r="P129" i="34"/>
  <c r="Q129" i="34"/>
  <c r="R129" i="34"/>
  <c r="T129" i="34"/>
  <c r="N127" i="34"/>
  <c r="N132" i="34"/>
  <c r="CA37" i="15"/>
  <c r="P139" i="34"/>
  <c r="Q139" i="34"/>
  <c r="R139" i="34"/>
  <c r="S139" i="34"/>
  <c r="T139" i="34"/>
  <c r="N116" i="34"/>
  <c r="N117" i="34"/>
  <c r="CA35" i="15"/>
  <c r="CC141" i="34"/>
  <c r="P122" i="34"/>
  <c r="Q122" i="34"/>
  <c r="R122" i="34"/>
  <c r="S122" i="34"/>
  <c r="T122" i="34"/>
  <c r="Q25" i="34"/>
  <c r="S25" i="34"/>
  <c r="BZ20" i="15"/>
  <c r="R25" i="34"/>
  <c r="T25" i="34"/>
  <c r="CC234" i="34"/>
  <c r="CC224" i="34"/>
  <c r="N11" i="15"/>
  <c r="O11" i="15"/>
  <c r="M11" i="29" s="1"/>
  <c r="P11" i="15"/>
  <c r="N11" i="29" s="1"/>
  <c r="Q11" i="15"/>
  <c r="O11" i="29" s="1"/>
  <c r="R11" i="15"/>
  <c r="P11" i="29" s="1"/>
  <c r="CC203" i="34"/>
  <c r="P202" i="34"/>
  <c r="Q202" i="34"/>
  <c r="R202" i="34"/>
  <c r="S202" i="34"/>
  <c r="T202" i="34"/>
  <c r="P228" i="34"/>
  <c r="Q228" i="34"/>
  <c r="R228" i="34"/>
  <c r="S228" i="34"/>
  <c r="T228" i="34"/>
  <c r="P152" i="34"/>
  <c r="Q152" i="34"/>
  <c r="R152" i="34"/>
  <c r="S152" i="34"/>
  <c r="T152" i="34"/>
  <c r="BY56" i="15"/>
  <c r="BY40" i="15"/>
  <c r="N24" i="34"/>
  <c r="P25" i="34"/>
  <c r="CC142" i="34" l="1"/>
  <c r="CA42" i="15"/>
  <c r="CA43" i="15" s="1"/>
  <c r="CA45" i="15" s="1"/>
  <c r="P193" i="34"/>
  <c r="Q193" i="34"/>
  <c r="N139" i="34"/>
  <c r="N37" i="15"/>
  <c r="O37" i="15"/>
  <c r="P37" i="15"/>
  <c r="Q37" i="15"/>
  <c r="R37" i="15"/>
  <c r="N122" i="34"/>
  <c r="CA34" i="15"/>
  <c r="P141" i="34"/>
  <c r="Q141" i="34"/>
  <c r="R141" i="34"/>
  <c r="S141" i="34"/>
  <c r="T141" i="34"/>
  <c r="N35" i="15"/>
  <c r="O35" i="15"/>
  <c r="P35" i="15"/>
  <c r="Q35" i="15"/>
  <c r="R35" i="15"/>
  <c r="N129" i="34"/>
  <c r="N36" i="15"/>
  <c r="O36" i="15"/>
  <c r="P36" i="15"/>
  <c r="Q36" i="15"/>
  <c r="R36" i="15"/>
  <c r="N202" i="34"/>
  <c r="CC225" i="34"/>
  <c r="P224" i="34"/>
  <c r="Q224" i="34"/>
  <c r="R224" i="34"/>
  <c r="S224" i="34"/>
  <c r="T224" i="34"/>
  <c r="P234" i="34"/>
  <c r="Q234" i="34"/>
  <c r="R234" i="34"/>
  <c r="S234" i="34"/>
  <c r="T234" i="34"/>
  <c r="CA20" i="15"/>
  <c r="N19" i="15"/>
  <c r="O19" i="15"/>
  <c r="P19" i="15"/>
  <c r="Q19" i="15"/>
  <c r="R19" i="15"/>
  <c r="CA57" i="15"/>
  <c r="CC204" i="34"/>
  <c r="Q203" i="34"/>
  <c r="R203" i="34"/>
  <c r="S203" i="34"/>
  <c r="T203" i="34"/>
  <c r="N152" i="34"/>
  <c r="T153" i="34"/>
  <c r="N228" i="34"/>
  <c r="L11" i="29"/>
  <c r="L11" i="15"/>
  <c r="J11" i="29" s="1"/>
  <c r="BZ40" i="15"/>
  <c r="BZ56" i="15"/>
  <c r="Y44" i="15"/>
  <c r="N193" i="34" l="1"/>
  <c r="N42" i="15"/>
  <c r="R42" i="15"/>
  <c r="P22" i="29" s="1"/>
  <c r="L35" i="15"/>
  <c r="N141" i="34"/>
  <c r="N34" i="15"/>
  <c r="O34" i="15"/>
  <c r="M18" i="29" s="1"/>
  <c r="P34" i="15"/>
  <c r="N18" i="29" s="1"/>
  <c r="Q34" i="15"/>
  <c r="O18" i="29" s="1"/>
  <c r="R34" i="15"/>
  <c r="P18" i="29" s="1"/>
  <c r="L36" i="15"/>
  <c r="L37" i="15"/>
  <c r="N13" i="29"/>
  <c r="P20" i="15"/>
  <c r="N14" i="29" s="1"/>
  <c r="M13" i="29"/>
  <c r="O20" i="15"/>
  <c r="M14" i="29" s="1"/>
  <c r="N234" i="34"/>
  <c r="CA56" i="15"/>
  <c r="CA40" i="15"/>
  <c r="N39" i="15"/>
  <c r="O39" i="15"/>
  <c r="P39" i="15"/>
  <c r="Q39" i="15"/>
  <c r="R39" i="15"/>
  <c r="T163" i="34"/>
  <c r="T165" i="34" s="1"/>
  <c r="N203" i="34"/>
  <c r="CC211" i="34"/>
  <c r="CC213" i="34" s="1"/>
  <c r="CA59" i="15" s="1"/>
  <c r="T204" i="34"/>
  <c r="N204" i="34" s="1"/>
  <c r="N20" i="15"/>
  <c r="L14" i="29" s="1"/>
  <c r="L13" i="29"/>
  <c r="L19" i="15"/>
  <c r="N57" i="15"/>
  <c r="O57" i="15"/>
  <c r="P57" i="15"/>
  <c r="Q57" i="15"/>
  <c r="R57" i="15"/>
  <c r="N224" i="34"/>
  <c r="P13" i="29"/>
  <c r="R20" i="15"/>
  <c r="P14" i="29" s="1"/>
  <c r="O13" i="29"/>
  <c r="Q20" i="15"/>
  <c r="O14" i="29" s="1"/>
  <c r="P225" i="34"/>
  <c r="Q225" i="34"/>
  <c r="R225" i="34"/>
  <c r="S225" i="34"/>
  <c r="T225" i="34"/>
  <c r="AA235" i="34"/>
  <c r="AA236" i="34" s="1"/>
  <c r="AA237" i="34" s="1"/>
  <c r="AA229" i="34"/>
  <c r="CA61" i="15" l="1"/>
  <c r="Q43" i="15"/>
  <c r="O23" i="29" s="1"/>
  <c r="R43" i="15"/>
  <c r="P23" i="29" s="1"/>
  <c r="O43" i="15"/>
  <c r="M23" i="29" s="1"/>
  <c r="P43" i="15"/>
  <c r="N23" i="29" s="1"/>
  <c r="N43" i="15"/>
  <c r="L22" i="29"/>
  <c r="L42" i="15"/>
  <c r="J22" i="29" s="1"/>
  <c r="L18" i="29"/>
  <c r="L34" i="15"/>
  <c r="J18" i="29" s="1"/>
  <c r="N225" i="34"/>
  <c r="P19" i="29"/>
  <c r="R40" i="15"/>
  <c r="P20" i="29" s="1"/>
  <c r="P40" i="15"/>
  <c r="N20" i="29" s="1"/>
  <c r="N19" i="29"/>
  <c r="L19" i="29"/>
  <c r="N40" i="15"/>
  <c r="L20" i="29" s="1"/>
  <c r="L39" i="15"/>
  <c r="T211" i="34"/>
  <c r="N56" i="15"/>
  <c r="O56" i="15"/>
  <c r="P56" i="15"/>
  <c r="Q56" i="15"/>
  <c r="R56" i="15"/>
  <c r="N61" i="15"/>
  <c r="O61" i="15"/>
  <c r="P61" i="15"/>
  <c r="Q61" i="15"/>
  <c r="R61" i="15"/>
  <c r="M19" i="29"/>
  <c r="O40" i="15"/>
  <c r="M20" i="29" s="1"/>
  <c r="L57" i="15"/>
  <c r="O19" i="29"/>
  <c r="Q40" i="15"/>
  <c r="O20" i="29" s="1"/>
  <c r="J13" i="29"/>
  <c r="L20" i="15"/>
  <c r="J14" i="29" s="1"/>
  <c r="L23" i="29" l="1"/>
  <c r="L43" i="15"/>
  <c r="J23" i="29" s="1"/>
  <c r="L61" i="15"/>
  <c r="L56" i="15"/>
  <c r="P213" i="34"/>
  <c r="Q213" i="34"/>
  <c r="R213" i="34"/>
  <c r="S213" i="34"/>
  <c r="T213" i="34"/>
  <c r="L40" i="15"/>
  <c r="J20" i="29" s="1"/>
  <c r="J19" i="29"/>
  <c r="N213" i="34" l="1"/>
  <c r="N59" i="15"/>
  <c r="O59" i="15"/>
  <c r="P59" i="15"/>
  <c r="Q59" i="15"/>
  <c r="R59" i="15"/>
  <c r="L59" i="15" l="1"/>
  <c r="Z44" i="15" l="1"/>
  <c r="AB235" i="34" l="1"/>
  <c r="AB236" i="34" s="1"/>
  <c r="AB237" i="34" s="1"/>
  <c r="AB229" i="34"/>
  <c r="AA44" i="15" l="1"/>
  <c r="AC235" i="34" l="1"/>
  <c r="AC236" i="34" s="1"/>
  <c r="AC237" i="34" s="1"/>
  <c r="AC229" i="34"/>
  <c r="AB44" i="15" l="1"/>
  <c r="AD229" i="34" l="1"/>
  <c r="AD235" i="34"/>
  <c r="AD236" i="34" s="1"/>
  <c r="AD237" i="34" s="1"/>
  <c r="AC44" i="15" l="1"/>
  <c r="AE229" i="34" l="1"/>
  <c r="AE235" i="34"/>
  <c r="AE236" i="34" s="1"/>
  <c r="AE237" i="34" s="1"/>
  <c r="AD44" i="15" l="1"/>
  <c r="AF229" i="34" l="1"/>
  <c r="AF235" i="34"/>
  <c r="AF236" i="34" s="1"/>
  <c r="AF237" i="34" s="1"/>
  <c r="AE44" i="15" l="1"/>
  <c r="AG229" i="34" l="1"/>
  <c r="AG235" i="34"/>
  <c r="AG236" i="34" s="1"/>
  <c r="AG237" i="34" s="1"/>
  <c r="AF44" i="15" l="1"/>
  <c r="AH229" i="34" l="1"/>
  <c r="AH235" i="34"/>
  <c r="AH236" i="34" s="1"/>
  <c r="AH237" i="34" s="1"/>
  <c r="AG44" i="15" l="1"/>
  <c r="AI229" i="34" l="1"/>
  <c r="AI235" i="34"/>
  <c r="AI236" i="34" s="1"/>
  <c r="AI237" i="34" s="1"/>
  <c r="AH44" i="15" l="1"/>
  <c r="AJ229" i="34" l="1"/>
  <c r="AJ235" i="34"/>
  <c r="AJ236" i="34" s="1"/>
  <c r="AJ237" i="34" s="1"/>
  <c r="AI44" i="15" l="1"/>
  <c r="AK235" i="34" l="1"/>
  <c r="AK236" i="34" s="1"/>
  <c r="AK237" i="34" s="1"/>
  <c r="AK229" i="34"/>
  <c r="AJ44" i="15" l="1"/>
  <c r="AL235" i="34" l="1"/>
  <c r="AL236" i="34" s="1"/>
  <c r="AL237" i="34" s="1"/>
  <c r="AL229" i="34"/>
  <c r="AK44" i="15" l="1"/>
  <c r="AM235" i="34" l="1"/>
  <c r="AM236" i="34" s="1"/>
  <c r="AM237" i="34" s="1"/>
  <c r="AM229" i="34"/>
  <c r="AL44" i="15" l="1"/>
  <c r="AN229" i="34" l="1"/>
  <c r="AN235" i="34"/>
  <c r="AN236" i="34" s="1"/>
  <c r="AN237" i="34" s="1"/>
  <c r="AM44" i="15" l="1"/>
  <c r="AO235" i="34" l="1"/>
  <c r="AO236" i="34" s="1"/>
  <c r="AO237" i="34" s="1"/>
  <c r="AO229" i="34"/>
  <c r="AN44" i="15" l="1"/>
  <c r="AP235" i="34" l="1"/>
  <c r="AP236" i="34" s="1"/>
  <c r="AP237" i="34" s="1"/>
  <c r="AP229" i="34"/>
  <c r="AO44" i="15" l="1"/>
  <c r="AQ235" i="34" l="1"/>
  <c r="AQ236" i="34" s="1"/>
  <c r="AQ237" i="34" s="1"/>
  <c r="AQ229" i="34"/>
  <c r="AP44" i="15" l="1"/>
  <c r="AR229" i="34" l="1"/>
  <c r="AR235" i="34"/>
  <c r="AR236" i="34" s="1"/>
  <c r="AR237" i="34" s="1"/>
  <c r="AQ44" i="15" l="1"/>
  <c r="AS235" i="34" l="1"/>
  <c r="AS236" i="34" s="1"/>
  <c r="AS237" i="34" s="1"/>
  <c r="AS229" i="34"/>
  <c r="AR44" i="15" l="1"/>
  <c r="AT229" i="34" l="1"/>
  <c r="AT235" i="34"/>
  <c r="AT236" i="34" s="1"/>
  <c r="AT237" i="34" s="1"/>
  <c r="AS44" i="15" l="1"/>
  <c r="AU235" i="34" l="1"/>
  <c r="AU236" i="34" s="1"/>
  <c r="AU237" i="34" s="1"/>
  <c r="AU229" i="34"/>
  <c r="AT44" i="15" l="1"/>
  <c r="O45" i="15" l="1"/>
  <c r="AV229" i="34"/>
  <c r="AV235" i="34"/>
  <c r="AV236" i="34" s="1"/>
  <c r="AV237" i="34" s="1"/>
  <c r="M25" i="29" l="1"/>
  <c r="AU44" i="15" l="1"/>
  <c r="AW229" i="34" l="1"/>
  <c r="AW235" i="34"/>
  <c r="AW236" i="34" s="1"/>
  <c r="AW237" i="34" s="1"/>
  <c r="AV44" i="15" l="1"/>
  <c r="AX235" i="34" l="1"/>
  <c r="AX236" i="34" s="1"/>
  <c r="AX237" i="34" s="1"/>
  <c r="AX229" i="34"/>
  <c r="AW44" i="15" l="1"/>
  <c r="AY235" i="34" l="1"/>
  <c r="AY236" i="34" s="1"/>
  <c r="AY237" i="34" s="1"/>
  <c r="AY229" i="34"/>
  <c r="AX44" i="15" l="1"/>
  <c r="AZ235" i="34" l="1"/>
  <c r="AZ236" i="34" s="1"/>
  <c r="AZ237" i="34" s="1"/>
  <c r="AZ229" i="34"/>
  <c r="AY44" i="15" l="1"/>
  <c r="BA235" i="34" l="1"/>
  <c r="BA236" i="34" s="1"/>
  <c r="BA237" i="34" s="1"/>
  <c r="BA229" i="34"/>
  <c r="AZ44" i="15" l="1"/>
  <c r="BB229" i="34" l="1"/>
  <c r="BB235" i="34"/>
  <c r="BB236" i="34" s="1"/>
  <c r="BB237" i="34" s="1"/>
  <c r="BA44" i="15" l="1"/>
  <c r="BC235" i="34" l="1"/>
  <c r="BC236" i="34" s="1"/>
  <c r="BC237" i="34" s="1"/>
  <c r="BC229" i="34"/>
  <c r="BB44" i="15" l="1"/>
  <c r="BD235" i="34" l="1"/>
  <c r="BD236" i="34" s="1"/>
  <c r="BD237" i="34" s="1"/>
  <c r="BD229" i="34"/>
  <c r="BC44" i="15" l="1"/>
  <c r="BE235" i="34" l="1"/>
  <c r="BE236" i="34" s="1"/>
  <c r="BE237" i="34" s="1"/>
  <c r="BE229" i="34"/>
  <c r="Q69" i="15" l="1"/>
  <c r="O58" i="29" l="1"/>
  <c r="L69" i="15"/>
  <c r="J58" i="29" s="1"/>
  <c r="BD44" i="15" l="1"/>
  <c r="BF229" i="34" l="1"/>
  <c r="BF235" i="34"/>
  <c r="BF236" i="34" s="1"/>
  <c r="BF237" i="34" s="1"/>
  <c r="BE44" i="15" l="1"/>
  <c r="BG229" i="34" l="1"/>
  <c r="BG235" i="34"/>
  <c r="BG236" i="34" s="1"/>
  <c r="BG237" i="34" s="1"/>
  <c r="BF44" i="15" l="1"/>
  <c r="BH229" i="34" l="1"/>
  <c r="BH235" i="34"/>
  <c r="BH236" i="34" s="1"/>
  <c r="BH237" i="34" s="1"/>
  <c r="BG44" i="15" l="1"/>
  <c r="BI235" i="34" l="1"/>
  <c r="BI236" i="34" s="1"/>
  <c r="BI237" i="34" s="1"/>
  <c r="BI229" i="34"/>
  <c r="BH44" i="15" l="1"/>
  <c r="BJ235" i="34" l="1"/>
  <c r="BJ236" i="34" s="1"/>
  <c r="BJ237" i="34" s="1"/>
  <c r="BJ229" i="34"/>
  <c r="BI44" i="15" l="1"/>
  <c r="BK229" i="34" l="1"/>
  <c r="BK235" i="34"/>
  <c r="BK236" i="34" s="1"/>
  <c r="BK237" i="34" s="1"/>
  <c r="BJ44" i="15" l="1"/>
  <c r="BL229" i="34" l="1"/>
  <c r="BL235" i="34"/>
  <c r="BL236" i="34" s="1"/>
  <c r="BL237" i="34" s="1"/>
  <c r="BK44" i="15" l="1"/>
  <c r="BM229" i="34" l="1"/>
  <c r="BM235" i="34"/>
  <c r="BM236" i="34" s="1"/>
  <c r="BM237" i="34" s="1"/>
  <c r="BL44" i="15" l="1"/>
  <c r="BN229" i="34" l="1"/>
  <c r="BN235" i="34"/>
  <c r="BN236" i="34" s="1"/>
  <c r="BN237" i="34" s="1"/>
  <c r="BM44" i="15" l="1"/>
  <c r="BO229" i="34" l="1"/>
  <c r="BO235" i="34"/>
  <c r="BO236" i="34" s="1"/>
  <c r="BO237" i="34" s="1"/>
  <c r="BN44" i="15" l="1"/>
  <c r="BP235" i="34" l="1"/>
  <c r="BP236" i="34" s="1"/>
  <c r="BP237" i="34" s="1"/>
  <c r="BP229" i="34"/>
  <c r="BO44" i="15" l="1"/>
  <c r="BQ229" i="34" l="1"/>
  <c r="BQ235" i="34"/>
  <c r="BQ236" i="34" s="1"/>
  <c r="BQ237" i="34" s="1"/>
  <c r="BP44" i="15" l="1"/>
  <c r="BR229" i="34" l="1"/>
  <c r="BR235" i="34"/>
  <c r="BR236" i="34" s="1"/>
  <c r="BR237" i="34" s="1"/>
  <c r="BQ44" i="15" l="1"/>
  <c r="BS235" i="34" l="1"/>
  <c r="BS236" i="34" s="1"/>
  <c r="BS237" i="34" s="1"/>
  <c r="BS229" i="34"/>
  <c r="BR44" i="15" l="1"/>
  <c r="BT235" i="34" l="1"/>
  <c r="BT236" i="34" s="1"/>
  <c r="BT237" i="34" s="1"/>
  <c r="BT229" i="34"/>
  <c r="BS44" i="15" l="1"/>
  <c r="BU235" i="34" l="1"/>
  <c r="BU236" i="34" s="1"/>
  <c r="BU237" i="34" s="1"/>
  <c r="BU229" i="34"/>
  <c r="BT44" i="15" l="1"/>
  <c r="BV235" i="34" l="1"/>
  <c r="BV236" i="34" s="1"/>
  <c r="BV237" i="34" s="1"/>
  <c r="BV229" i="34"/>
  <c r="BU44" i="15" l="1"/>
  <c r="BW235" i="34" l="1"/>
  <c r="BW236" i="34" s="1"/>
  <c r="BW237" i="34" s="1"/>
  <c r="BW229" i="34"/>
  <c r="BV44" i="15" l="1"/>
  <c r="BX235" i="34" l="1"/>
  <c r="BX236" i="34" s="1"/>
  <c r="BX237" i="34" s="1"/>
  <c r="BX229" i="34"/>
  <c r="BW44" i="15" l="1"/>
  <c r="BY235" i="34" l="1"/>
  <c r="BY236" i="34" s="1"/>
  <c r="BY237" i="34" s="1"/>
  <c r="BY229" i="34"/>
  <c r="BX44" i="15" l="1"/>
  <c r="BZ235" i="34" l="1"/>
  <c r="BZ236" i="34" s="1"/>
  <c r="BZ237" i="34" s="1"/>
  <c r="BZ229" i="34"/>
  <c r="BY44" i="15" l="1"/>
  <c r="CA229" i="34" l="1"/>
  <c r="CA235" i="34"/>
  <c r="CA236" i="34" s="1"/>
  <c r="CA237" i="34" s="1"/>
  <c r="BZ44" i="15" l="1"/>
  <c r="CB235" i="34" l="1"/>
  <c r="CB236" i="34" s="1"/>
  <c r="CB237" i="34" s="1"/>
  <c r="CB229" i="34"/>
  <c r="CA44" i="15" l="1"/>
  <c r="P45" i="15" l="1"/>
  <c r="N25" i="29" s="1"/>
  <c r="Q45" i="15"/>
  <c r="O25" i="29" s="1"/>
  <c r="R45" i="15"/>
  <c r="P25" i="29" s="1"/>
  <c r="O70" i="15"/>
  <c r="M59" i="29" s="1"/>
  <c r="P70" i="15"/>
  <c r="N59" i="29" s="1"/>
  <c r="Q70" i="15"/>
  <c r="O59" i="29" s="1"/>
  <c r="R70" i="15"/>
  <c r="P59" i="29" s="1"/>
  <c r="CC235" i="34"/>
  <c r="CC236" i="34" s="1"/>
  <c r="CC237" i="34" s="1"/>
  <c r="CC229" i="34"/>
  <c r="O44" i="15"/>
  <c r="M24" i="29" s="1"/>
  <c r="P44" i="15"/>
  <c r="N24" i="29" s="1"/>
  <c r="Q44" i="15"/>
  <c r="O24" i="29" s="1"/>
  <c r="R44" i="15"/>
  <c r="P24" i="29" s="1"/>
  <c r="Q229" i="34" l="1"/>
  <c r="R229" i="34"/>
  <c r="S229" i="34"/>
  <c r="T229" i="34"/>
  <c r="Q235" i="34"/>
  <c r="R235" i="34"/>
  <c r="S235" i="34"/>
  <c r="T235" i="34"/>
  <c r="N70" i="15" l="1"/>
  <c r="L70" i="15" s="1"/>
  <c r="J59" i="29" s="1"/>
  <c r="T44" i="15"/>
  <c r="P248" i="34"/>
  <c r="N248" i="34" s="1"/>
  <c r="N44" i="15" l="1"/>
  <c r="V235" i="34"/>
  <c r="V236" i="34" s="1"/>
  <c r="V237" i="34" s="1"/>
  <c r="N45" i="15"/>
  <c r="L59" i="29"/>
  <c r="BU239" i="34"/>
  <c r="BS46" i="15" s="1"/>
  <c r="BS48" i="15" s="1"/>
  <c r="P235" i="34"/>
  <c r="N235" i="34" s="1"/>
  <c r="V229" i="34"/>
  <c r="BV239" i="34"/>
  <c r="BT46" i="15" s="1"/>
  <c r="BT48" i="15" s="1"/>
  <c r="L25" i="29" l="1"/>
  <c r="L45" i="15"/>
  <c r="J25" i="29" s="1"/>
  <c r="AY239" i="34"/>
  <c r="AW46" i="15" s="1"/>
  <c r="AW48" i="15" s="1"/>
  <c r="BA239" i="34"/>
  <c r="AY46" i="15" s="1"/>
  <c r="AY48" i="15" s="1"/>
  <c r="AY49" i="15" s="1"/>
  <c r="W230" i="34"/>
  <c r="V230" i="34"/>
  <c r="V231" i="34" s="1"/>
  <c r="X230" i="34"/>
  <c r="Y230" i="34"/>
  <c r="Z230" i="34"/>
  <c r="AB230" i="34"/>
  <c r="AA230" i="34"/>
  <c r="AJ230" i="34"/>
  <c r="AV230" i="34"/>
  <c r="BH230" i="34"/>
  <c r="BT230" i="34"/>
  <c r="BN230" i="34"/>
  <c r="AE230" i="34"/>
  <c r="AF230" i="34"/>
  <c r="AG230" i="34"/>
  <c r="AH230" i="34"/>
  <c r="AU230" i="34"/>
  <c r="AK230" i="34"/>
  <c r="AW230" i="34"/>
  <c r="BI230" i="34"/>
  <c r="BU230" i="34"/>
  <c r="BB230" i="34"/>
  <c r="BC230" i="34"/>
  <c r="CB230" i="34"/>
  <c r="AS230" i="34"/>
  <c r="BR230" i="34"/>
  <c r="BS230" i="34"/>
  <c r="AL230" i="34"/>
  <c r="AX230" i="34"/>
  <c r="BJ230" i="34"/>
  <c r="BV230" i="34"/>
  <c r="AD230" i="34"/>
  <c r="AQ230" i="34"/>
  <c r="AR230" i="34"/>
  <c r="BE230" i="34"/>
  <c r="AT230" i="34"/>
  <c r="AI230" i="34"/>
  <c r="AM230" i="34"/>
  <c r="AY230" i="34"/>
  <c r="BK230" i="34"/>
  <c r="BW230" i="34"/>
  <c r="BZ230" i="34"/>
  <c r="CA230" i="34"/>
  <c r="BD230" i="34"/>
  <c r="CC230" i="34"/>
  <c r="AN230" i="34"/>
  <c r="AZ230" i="34"/>
  <c r="BL230" i="34"/>
  <c r="BX230" i="34"/>
  <c r="AC230" i="34"/>
  <c r="AO230" i="34"/>
  <c r="BA230" i="34"/>
  <c r="BM230" i="34"/>
  <c r="BY230" i="34"/>
  <c r="AP230" i="34"/>
  <c r="BO230" i="34"/>
  <c r="BP230" i="34"/>
  <c r="BQ230" i="34"/>
  <c r="BF230" i="34"/>
  <c r="BG230" i="34"/>
  <c r="BZ239" i="34"/>
  <c r="BX46" i="15" s="1"/>
  <c r="BX48" i="15" s="1"/>
  <c r="BP239" i="34"/>
  <c r="BN46" i="15" s="1"/>
  <c r="BN48" i="15" s="1"/>
  <c r="AU239" i="34"/>
  <c r="AS46" i="15" s="1"/>
  <c r="AS48" i="15" s="1"/>
  <c r="CB239" i="34"/>
  <c r="BZ46" i="15" s="1"/>
  <c r="BZ48" i="15" s="1"/>
  <c r="AI239" i="34"/>
  <c r="AG46" i="15" s="1"/>
  <c r="AG48" i="15" s="1"/>
  <c r="AO239" i="34"/>
  <c r="AM46" i="15" s="1"/>
  <c r="AM48" i="15" s="1"/>
  <c r="AL239" i="34"/>
  <c r="AJ46" i="15" s="1"/>
  <c r="AJ48" i="15" s="1"/>
  <c r="BQ239" i="34"/>
  <c r="BO46" i="15" s="1"/>
  <c r="BO48" i="15" s="1"/>
  <c r="AJ239" i="34"/>
  <c r="AH46" i="15" s="1"/>
  <c r="AH48" i="15" s="1"/>
  <c r="BS239" i="34"/>
  <c r="BQ46" i="15" s="1"/>
  <c r="BQ48" i="15" s="1"/>
  <c r="BD239" i="34"/>
  <c r="BB46" i="15" s="1"/>
  <c r="BB48" i="15" s="1"/>
  <c r="AN239" i="34"/>
  <c r="AL46" i="15" s="1"/>
  <c r="AL48" i="15" s="1"/>
  <c r="BH239" i="34"/>
  <c r="BF46" i="15" s="1"/>
  <c r="BF48" i="15" s="1"/>
  <c r="AW239" i="34"/>
  <c r="AU46" i="15" s="1"/>
  <c r="AU48" i="15" s="1"/>
  <c r="AP239" i="34"/>
  <c r="AN46" i="15" s="1"/>
  <c r="AN48" i="15" s="1"/>
  <c r="BC239" i="34"/>
  <c r="BA46" i="15" s="1"/>
  <c r="BA48" i="15" s="1"/>
  <c r="BG239" i="34"/>
  <c r="BE46" i="15" s="1"/>
  <c r="BE48" i="15" s="1"/>
  <c r="BK239" i="34"/>
  <c r="BI46" i="15" s="1"/>
  <c r="BI48" i="15" s="1"/>
  <c r="BL239" i="34"/>
  <c r="BJ46" i="15" s="1"/>
  <c r="BJ48" i="15" s="1"/>
  <c r="BS60" i="15"/>
  <c r="BS55" i="15" s="1"/>
  <c r="BS49" i="15"/>
  <c r="BE239" i="34"/>
  <c r="BC46" i="15" s="1"/>
  <c r="BC48" i="15" s="1"/>
  <c r="AW49" i="15"/>
  <c r="BT49" i="15"/>
  <c r="BT60" i="15"/>
  <c r="BT55" i="15" s="1"/>
  <c r="BI239" i="34"/>
  <c r="BG46" i="15" s="1"/>
  <c r="BG48" i="15" s="1"/>
  <c r="L24" i="29"/>
  <c r="L44" i="15"/>
  <c r="J24" i="29" s="1"/>
  <c r="AS239" i="34"/>
  <c r="AQ46" i="15" s="1"/>
  <c r="AQ48" i="15" s="1"/>
  <c r="AX239" i="34"/>
  <c r="AV46" i="15" s="1"/>
  <c r="AV48" i="15" s="1"/>
  <c r="AR239" i="34"/>
  <c r="AP46" i="15" s="1"/>
  <c r="AP48" i="15" s="1"/>
  <c r="BX239" i="34"/>
  <c r="BV46" i="15" s="1"/>
  <c r="BV48" i="15" s="1"/>
  <c r="AK239" i="34"/>
  <c r="AI46" i="15" s="1"/>
  <c r="AI48" i="15" s="1"/>
  <c r="CA239" i="34"/>
  <c r="BY46" i="15" s="1"/>
  <c r="BY48" i="15" s="1"/>
  <c r="AV239" i="34"/>
  <c r="AT46" i="15" s="1"/>
  <c r="AT48" i="15" s="1"/>
  <c r="BN239" i="34"/>
  <c r="BL46" i="15" s="1"/>
  <c r="BL48" i="15" s="1"/>
  <c r="AQ239" i="34"/>
  <c r="AO46" i="15" s="1"/>
  <c r="AO48" i="15" s="1"/>
  <c r="BW239" i="34"/>
  <c r="BU46" i="15" s="1"/>
  <c r="BU48" i="15" s="1"/>
  <c r="P229" i="34"/>
  <c r="N229" i="34" s="1"/>
  <c r="BM239" i="34"/>
  <c r="BK46" i="15" s="1"/>
  <c r="BK48" i="15" s="1"/>
  <c r="AH239" i="34"/>
  <c r="CC239" i="34"/>
  <c r="CA46" i="15" s="1"/>
  <c r="CA48" i="15" s="1"/>
  <c r="AZ239" i="34"/>
  <c r="AX46" i="15" s="1"/>
  <c r="AX48" i="15" s="1"/>
  <c r="AG239" i="34"/>
  <c r="AE46" i="15" s="1"/>
  <c r="AE48" i="15" s="1"/>
  <c r="BT239" i="34"/>
  <c r="BR46" i="15" s="1"/>
  <c r="BR48" i="15" s="1"/>
  <c r="BY239" i="34"/>
  <c r="BW46" i="15" s="1"/>
  <c r="BW48" i="15" s="1"/>
  <c r="AM239" i="34"/>
  <c r="AK46" i="15" s="1"/>
  <c r="AK48" i="15" s="1"/>
  <c r="BJ239" i="34"/>
  <c r="BH46" i="15" s="1"/>
  <c r="BH48" i="15" s="1"/>
  <c r="BB239" i="34"/>
  <c r="AZ46" i="15" s="1"/>
  <c r="AZ48" i="15" s="1"/>
  <c r="BO239" i="34"/>
  <c r="BM46" i="15" s="1"/>
  <c r="BM48" i="15" s="1"/>
  <c r="AW60" i="15" l="1"/>
  <c r="AW55" i="15" s="1"/>
  <c r="X231" i="34"/>
  <c r="AY60" i="15"/>
  <c r="AY55" i="15" s="1"/>
  <c r="BN49" i="15"/>
  <c r="BX49" i="15"/>
  <c r="BQ231" i="34"/>
  <c r="BN60" i="15"/>
  <c r="BN55" i="15" s="1"/>
  <c r="W231" i="34"/>
  <c r="BU231" i="34"/>
  <c r="CA231" i="34"/>
  <c r="AF231" i="34"/>
  <c r="BX60" i="15"/>
  <c r="BX55" i="15" s="1"/>
  <c r="AP231" i="34"/>
  <c r="AU231" i="34"/>
  <c r="BV231" i="34"/>
  <c r="BA231" i="34"/>
  <c r="AC231" i="34"/>
  <c r="BS231" i="34"/>
  <c r="BH231" i="34"/>
  <c r="Z231" i="34"/>
  <c r="AK231" i="34"/>
  <c r="AV231" i="34"/>
  <c r="AH231" i="34"/>
  <c r="BW231" i="34"/>
  <c r="BF231" i="34"/>
  <c r="BD231" i="34"/>
  <c r="AN231" i="34"/>
  <c r="BO231" i="34"/>
  <c r="AW231" i="34"/>
  <c r="AR231" i="34"/>
  <c r="CB231" i="34"/>
  <c r="BK231" i="34"/>
  <c r="BB231" i="34"/>
  <c r="Y231" i="34"/>
  <c r="AJ231" i="34"/>
  <c r="BI231" i="34"/>
  <c r="BY231" i="34"/>
  <c r="AI231" i="34"/>
  <c r="BJ231" i="34"/>
  <c r="BC231" i="34"/>
  <c r="AQ231" i="34"/>
  <c r="AL231" i="34"/>
  <c r="AA231" i="34"/>
  <c r="CC231" i="34"/>
  <c r="AS231" i="34"/>
  <c r="BX231" i="34"/>
  <c r="BE231" i="34"/>
  <c r="BR231" i="34"/>
  <c r="BG231" i="34"/>
  <c r="BM231" i="34"/>
  <c r="AD231" i="34"/>
  <c r="AE231" i="34"/>
  <c r="BT231" i="34"/>
  <c r="AG231" i="34"/>
  <c r="AB231" i="34"/>
  <c r="AX231" i="34"/>
  <c r="BL231" i="34"/>
  <c r="AY231" i="34"/>
  <c r="AO231" i="34"/>
  <c r="AT231" i="34"/>
  <c r="BZ231" i="34"/>
  <c r="AM231" i="34"/>
  <c r="BN231" i="34"/>
  <c r="AZ231" i="34"/>
  <c r="BP231" i="34"/>
  <c r="BZ49" i="15"/>
  <c r="AS49" i="15"/>
  <c r="AS60" i="15"/>
  <c r="AS55" i="15" s="1"/>
  <c r="BZ60" i="15"/>
  <c r="BZ55" i="15" s="1"/>
  <c r="BF60" i="15"/>
  <c r="BF55" i="15" s="1"/>
  <c r="BF49" i="15"/>
  <c r="BQ49" i="15"/>
  <c r="BE49" i="15"/>
  <c r="AH60" i="15"/>
  <c r="AH55" i="15" s="1"/>
  <c r="AH49" i="15"/>
  <c r="AL60" i="15"/>
  <c r="AL55" i="15" s="1"/>
  <c r="AL49" i="15"/>
  <c r="BJ60" i="15"/>
  <c r="BJ55" i="15" s="1"/>
  <c r="BJ49" i="15"/>
  <c r="BA60" i="15"/>
  <c r="BA55" i="15" s="1"/>
  <c r="BA49" i="15"/>
  <c r="BO49" i="15"/>
  <c r="BB60" i="15"/>
  <c r="BB55" i="15" s="1"/>
  <c r="BB49" i="15"/>
  <c r="AN49" i="15"/>
  <c r="AJ60" i="15"/>
  <c r="AJ55" i="15" s="1"/>
  <c r="AJ49" i="15"/>
  <c r="AM60" i="15"/>
  <c r="AM55" i="15" s="1"/>
  <c r="AM49" i="15"/>
  <c r="BI49" i="15"/>
  <c r="AU49" i="15"/>
  <c r="AG60" i="15"/>
  <c r="AG55" i="15" s="1"/>
  <c r="AG49" i="15"/>
  <c r="BO60" i="15"/>
  <c r="BO55" i="15" s="1"/>
  <c r="BQ60" i="15"/>
  <c r="BQ55" i="15" s="1"/>
  <c r="AU60" i="15"/>
  <c r="AU55" i="15" s="1"/>
  <c r="AN60" i="15"/>
  <c r="AN55" i="15" s="1"/>
  <c r="BI60" i="15"/>
  <c r="BI55" i="15" s="1"/>
  <c r="BE60" i="15"/>
  <c r="BE55" i="15" s="1"/>
  <c r="AP60" i="15"/>
  <c r="AP55" i="15" s="1"/>
  <c r="AP49" i="15"/>
  <c r="BW60" i="15"/>
  <c r="BW55" i="15" s="1"/>
  <c r="BW49" i="15"/>
  <c r="AX60" i="15"/>
  <c r="AX55" i="15" s="1"/>
  <c r="AX49" i="15"/>
  <c r="BV60" i="15"/>
  <c r="BV55" i="15" s="1"/>
  <c r="BV49" i="15"/>
  <c r="AQ49" i="15"/>
  <c r="AQ60" i="15"/>
  <c r="AQ55" i="15" s="1"/>
  <c r="BM60" i="15"/>
  <c r="BM55" i="15" s="1"/>
  <c r="BM49" i="15"/>
  <c r="BC49" i="15"/>
  <c r="BC60" i="15"/>
  <c r="BC55" i="15" s="1"/>
  <c r="AO49" i="15"/>
  <c r="AO60" i="15"/>
  <c r="AO55" i="15" s="1"/>
  <c r="BL60" i="15"/>
  <c r="BL55" i="15" s="1"/>
  <c r="BL49" i="15"/>
  <c r="AZ49" i="15"/>
  <c r="AZ60" i="15"/>
  <c r="AZ55" i="15" s="1"/>
  <c r="AT60" i="15"/>
  <c r="AT55" i="15" s="1"/>
  <c r="AT49" i="15"/>
  <c r="BH49" i="15"/>
  <c r="BH60" i="15"/>
  <c r="BH55" i="15" s="1"/>
  <c r="AF46" i="15"/>
  <c r="AF48" i="15" s="1"/>
  <c r="Q239" i="34"/>
  <c r="BY60" i="15"/>
  <c r="BY55" i="15" s="1"/>
  <c r="BY49" i="15"/>
  <c r="CA49" i="15"/>
  <c r="CA60" i="15"/>
  <c r="CA55" i="15" s="1"/>
  <c r="BK60" i="15"/>
  <c r="BK55" i="15" s="1"/>
  <c r="BK49" i="15"/>
  <c r="AI60" i="15"/>
  <c r="AI55" i="15" s="1"/>
  <c r="AI49" i="15"/>
  <c r="BR60" i="15"/>
  <c r="BR55" i="15" s="1"/>
  <c r="BR49" i="15"/>
  <c r="BG60" i="15"/>
  <c r="BG55" i="15" s="1"/>
  <c r="BG49" i="15"/>
  <c r="AV60" i="15"/>
  <c r="AV55" i="15" s="1"/>
  <c r="AV49" i="15"/>
  <c r="T237" i="34"/>
  <c r="BR239" i="34"/>
  <c r="BF239" i="34"/>
  <c r="S237" i="34"/>
  <c r="Q237" i="34"/>
  <c r="AK60" i="15"/>
  <c r="AK55" i="15" s="1"/>
  <c r="AK49" i="15"/>
  <c r="AE60" i="15"/>
  <c r="AE55" i="15" s="1"/>
  <c r="AE49" i="15"/>
  <c r="BU60" i="15"/>
  <c r="BU55" i="15" s="1"/>
  <c r="BU49" i="15"/>
  <c r="AT239" i="34"/>
  <c r="R237" i="34"/>
  <c r="P231" i="34" l="1"/>
  <c r="S231" i="34"/>
  <c r="Q231" i="34"/>
  <c r="R231" i="34"/>
  <c r="R239" i="34"/>
  <c r="AR46" i="15"/>
  <c r="AR48" i="15" s="1"/>
  <c r="AF60" i="15"/>
  <c r="O46" i="15"/>
  <c r="T231" i="34"/>
  <c r="T239" i="34"/>
  <c r="BP46" i="15"/>
  <c r="BP48" i="15" s="1"/>
  <c r="S239" i="34"/>
  <c r="BD46" i="15"/>
  <c r="BD48" i="15" s="1"/>
  <c r="M26" i="29" l="1"/>
  <c r="O50" i="15"/>
  <c r="N231" i="34"/>
  <c r="AF49" i="15"/>
  <c r="O48" i="15"/>
  <c r="AF55" i="15"/>
  <c r="O60" i="15"/>
  <c r="AR60" i="15"/>
  <c r="P46" i="15"/>
  <c r="BP60" i="15"/>
  <c r="R46" i="15"/>
  <c r="Q46" i="15"/>
  <c r="BD60" i="15"/>
  <c r="P26" i="29" l="1"/>
  <c r="R50" i="15"/>
  <c r="O26" i="29"/>
  <c r="Q50" i="15"/>
  <c r="N26" i="29"/>
  <c r="P50" i="15"/>
  <c r="O55" i="15"/>
  <c r="M51" i="29" s="1"/>
  <c r="R48" i="15"/>
  <c r="BP49" i="15"/>
  <c r="R60" i="15"/>
  <c r="BP55" i="15"/>
  <c r="P48" i="15"/>
  <c r="AR49" i="15"/>
  <c r="BD55" i="15"/>
  <c r="Q60" i="15"/>
  <c r="P60" i="15"/>
  <c r="AR55" i="15"/>
  <c r="Q48" i="15"/>
  <c r="BD49" i="15"/>
  <c r="O49" i="15"/>
  <c r="M28" i="29" s="1"/>
  <c r="M27" i="29"/>
  <c r="R49" i="15" l="1"/>
  <c r="P28" i="29" s="1"/>
  <c r="P27" i="29"/>
  <c r="Q49" i="15"/>
  <c r="O28" i="29" s="1"/>
  <c r="O27" i="29"/>
  <c r="P55" i="15"/>
  <c r="R55" i="15"/>
  <c r="P51" i="29" s="1"/>
  <c r="Q55" i="15"/>
  <c r="O51" i="29" s="1"/>
  <c r="P49" i="15"/>
  <c r="N28" i="29" s="1"/>
  <c r="N27" i="29"/>
  <c r="N51" i="29" l="1"/>
  <c r="V239" i="34" l="1"/>
  <c r="T46" i="15" s="1"/>
  <c r="T48" i="15" s="1"/>
  <c r="T60" i="15" l="1"/>
  <c r="T55" i="15" l="1"/>
  <c r="T49" i="15"/>
  <c r="V243" i="34" l="1"/>
  <c r="V247" i="34" s="1"/>
  <c r="V256" i="34" l="1"/>
  <c r="V250" i="34" l="1"/>
  <c r="T68" i="15"/>
  <c r="T72" i="15"/>
  <c r="T66" i="15" l="1"/>
  <c r="T74" i="15" s="1"/>
  <c r="T81" i="15" s="1"/>
  <c r="T83" i="15" s="1"/>
  <c r="V257" i="34"/>
  <c r="T76" i="15" l="1"/>
  <c r="U53" i="15" s="1"/>
  <c r="T84" i="15" l="1"/>
  <c r="T87" i="15" l="1"/>
  <c r="AE239" i="34"/>
  <c r="AC46" i="15" s="1"/>
  <c r="AC48" i="15" s="1"/>
  <c r="AA239" i="34"/>
  <c r="Y46" i="15" s="1"/>
  <c r="Y48" i="15" s="1"/>
  <c r="AD239" i="34"/>
  <c r="AB46" i="15" s="1"/>
  <c r="AB48" i="15" s="1"/>
  <c r="AB239" i="34"/>
  <c r="Z46" i="15" s="1"/>
  <c r="Z48" i="15" s="1"/>
  <c r="Y239" i="34"/>
  <c r="W46" i="15" s="1"/>
  <c r="W48" i="15" s="1"/>
  <c r="X239" i="34"/>
  <c r="V46" i="15" s="1"/>
  <c r="V48" i="15" s="1"/>
  <c r="Z239" i="34"/>
  <c r="X46" i="15" s="1"/>
  <c r="X48" i="15" s="1"/>
  <c r="AF239" i="34"/>
  <c r="AD46" i="15" s="1"/>
  <c r="AD48" i="15" s="1"/>
  <c r="W239" i="34"/>
  <c r="AC239" i="34"/>
  <c r="AA46" i="15" s="1"/>
  <c r="AA48" i="15" s="1"/>
  <c r="AC60" i="15" l="1"/>
  <c r="AC55" i="15" s="1"/>
  <c r="Z60" i="15"/>
  <c r="Z55" i="15" s="1"/>
  <c r="AC49" i="15"/>
  <c r="Y60" i="15"/>
  <c r="Y55" i="15" s="1"/>
  <c r="Y49" i="15"/>
  <c r="AA49" i="15"/>
  <c r="AA60" i="15"/>
  <c r="AA55" i="15" s="1"/>
  <c r="P237" i="34"/>
  <c r="N237" i="34" s="1"/>
  <c r="V60" i="15"/>
  <c r="V55" i="15" s="1"/>
  <c r="V49" i="15"/>
  <c r="Z49" i="15"/>
  <c r="P239" i="34"/>
  <c r="N239" i="34" s="1"/>
  <c r="U46" i="15"/>
  <c r="U48" i="15" s="1"/>
  <c r="X60" i="15"/>
  <c r="X55" i="15" s="1"/>
  <c r="X49" i="15"/>
  <c r="W60" i="15"/>
  <c r="W55" i="15" s="1"/>
  <c r="W49" i="15"/>
  <c r="AD49" i="15"/>
  <c r="AD60" i="15"/>
  <c r="AD55" i="15" s="1"/>
  <c r="AB60" i="15"/>
  <c r="AB55" i="15" s="1"/>
  <c r="AB49" i="15"/>
  <c r="U60" i="15" l="1"/>
  <c r="N48" i="15"/>
  <c r="N46" i="15"/>
  <c r="N50" i="15" s="1"/>
  <c r="L46" i="15" l="1"/>
  <c r="J26" i="29" s="1"/>
  <c r="L26" i="29"/>
  <c r="U49" i="15"/>
  <c r="N60" i="15"/>
  <c r="L60" i="15" s="1"/>
  <c r="U55" i="15"/>
  <c r="N55" i="15" l="1"/>
  <c r="W243" i="34"/>
  <c r="W247" i="34" s="1"/>
  <c r="N49" i="15"/>
  <c r="L28" i="29" s="1"/>
  <c r="L27" i="29"/>
  <c r="L48" i="15"/>
  <c r="U68" i="15" l="1"/>
  <c r="W250" i="34"/>
  <c r="L49" i="15"/>
  <c r="J28" i="29" s="1"/>
  <c r="J27" i="29"/>
  <c r="L55" i="15"/>
  <c r="L51" i="29"/>
  <c r="J51" i="29" l="1"/>
  <c r="U72" i="15"/>
  <c r="W256" i="34"/>
  <c r="W257" i="34" l="1"/>
  <c r="U66" i="15"/>
  <c r="U74" i="15" s="1"/>
  <c r="U76" i="15" l="1"/>
  <c r="V53" i="15" s="1"/>
  <c r="U81" i="15"/>
  <c r="U83" i="15" l="1"/>
  <c r="X243" i="34"/>
  <c r="X247" i="34" s="1"/>
  <c r="V68" i="15" l="1"/>
  <c r="X250" i="34"/>
  <c r="U84" i="15"/>
  <c r="U87" i="15" l="1"/>
  <c r="X256" i="34"/>
  <c r="V72" i="15"/>
  <c r="X257" i="34" l="1"/>
  <c r="V66" i="15"/>
  <c r="V74" i="15" l="1"/>
  <c r="V81" i="15" l="1"/>
  <c r="V76" i="15"/>
  <c r="W53" i="15" s="1"/>
  <c r="Y243" i="34" l="1"/>
  <c r="Y247" i="34" s="1"/>
  <c r="V83" i="15"/>
  <c r="W68" i="15" l="1"/>
  <c r="Y250" i="34"/>
  <c r="V84" i="15"/>
  <c r="V87" i="15" l="1"/>
  <c r="Y256" i="34"/>
  <c r="W72" i="15"/>
  <c r="W66" i="15" l="1"/>
  <c r="Y257" i="34"/>
  <c r="W74" i="15" l="1"/>
  <c r="W81" i="15" l="1"/>
  <c r="W76" i="15"/>
  <c r="X53" i="15" s="1"/>
  <c r="Z243" i="34" l="1"/>
  <c r="Z247" i="34" s="1"/>
  <c r="Z256" i="34" s="1"/>
  <c r="W83" i="15"/>
  <c r="X68" i="15" l="1"/>
  <c r="Z250" i="34"/>
  <c r="W84" i="15"/>
  <c r="W87" i="15" s="1"/>
  <c r="X72" i="15" l="1"/>
  <c r="Z257" i="34" l="1"/>
  <c r="X66" i="15"/>
  <c r="X74" i="15" l="1"/>
  <c r="X81" i="15" l="1"/>
  <c r="X76" i="15"/>
  <c r="Y53" i="15" s="1"/>
  <c r="AA243" i="34" l="1"/>
  <c r="AA247" i="34" s="1"/>
  <c r="X83" i="15"/>
  <c r="Y68" i="15" l="1"/>
  <c r="AA250" i="34"/>
  <c r="X84" i="15"/>
  <c r="X87" i="15" s="1"/>
  <c r="AA256" i="34" l="1"/>
  <c r="Y72" i="15"/>
  <c r="Y66" i="15" l="1"/>
  <c r="AA257" i="34"/>
  <c r="Y74" i="15" l="1"/>
  <c r="Y81" i="15" l="1"/>
  <c r="Y76" i="15"/>
  <c r="Z53" i="15" s="1"/>
  <c r="AB243" i="34" l="1"/>
  <c r="AB247" i="34" s="1"/>
  <c r="Y83" i="15"/>
  <c r="Z68" i="15" l="1"/>
  <c r="AB250" i="34"/>
  <c r="Y84" i="15"/>
  <c r="Z72" i="15"/>
  <c r="AB256" i="34"/>
  <c r="AB257" i="34" s="1"/>
  <c r="Z66" i="15" l="1"/>
  <c r="Z74" i="15" s="1"/>
  <c r="Y87" i="15"/>
  <c r="Z81" i="15" l="1"/>
  <c r="Z83" i="15" s="1"/>
  <c r="Z84" i="15" s="1"/>
  <c r="Z87" i="15" s="1"/>
  <c r="Z76" i="15"/>
  <c r="AA53" i="15" s="1"/>
  <c r="AC243" i="34" l="1"/>
  <c r="AC247" i="34" s="1"/>
  <c r="AA68" i="15" l="1"/>
  <c r="AC250" i="34"/>
  <c r="AC256" i="34"/>
  <c r="AC257" i="34" s="1"/>
  <c r="AA72" i="15"/>
  <c r="AA66" i="15" l="1"/>
  <c r="AA74" i="15" s="1"/>
  <c r="AA81" i="15" l="1"/>
  <c r="AA83" i="15" s="1"/>
  <c r="AA84" i="15" s="1"/>
  <c r="AA87" i="15" s="1"/>
  <c r="AA76" i="15"/>
  <c r="AB53" i="15" s="1"/>
  <c r="AD243" i="34" l="1"/>
  <c r="AD247" i="34" s="1"/>
  <c r="AD256" i="34" l="1"/>
  <c r="AD257" i="34" s="1"/>
  <c r="AB72" i="15"/>
  <c r="AB68" i="15" l="1"/>
  <c r="AB66" i="15" s="1"/>
  <c r="AD250" i="34"/>
  <c r="AB74" i="15" l="1"/>
  <c r="AB76" i="15" s="1"/>
  <c r="AC53" i="15" s="1"/>
  <c r="AB81" i="15" l="1"/>
  <c r="AB83" i="15" s="1"/>
  <c r="AB84" i="15" s="1"/>
  <c r="AB87" i="15" s="1"/>
  <c r="AE243" i="34"/>
  <c r="AE247" i="34" s="1"/>
  <c r="AE256" i="34" l="1"/>
  <c r="AE257" i="34" s="1"/>
  <c r="AC72" i="15"/>
  <c r="AC68" i="15" l="1"/>
  <c r="AE250" i="34"/>
  <c r="AC66" i="15"/>
  <c r="AC74" i="15" s="1"/>
  <c r="AC81" i="15" l="1"/>
  <c r="AC83" i="15" s="1"/>
  <c r="AC84" i="15" s="1"/>
  <c r="AC87" i="15" s="1"/>
  <c r="AC76" i="15"/>
  <c r="AD53" i="15" s="1"/>
  <c r="AF243" i="34" l="1"/>
  <c r="AF247" i="34" s="1"/>
  <c r="AD72" i="15" l="1"/>
  <c r="AF256" i="34"/>
  <c r="AF257" i="34" s="1"/>
  <c r="AD68" i="15" l="1"/>
  <c r="AD66" i="15" s="1"/>
  <c r="AD74" i="15" s="1"/>
  <c r="AF250" i="34"/>
  <c r="AD81" i="15" l="1"/>
  <c r="AD76" i="15"/>
  <c r="AE53" i="15" s="1"/>
  <c r="AD83" i="15"/>
  <c r="AD84" i="15" s="1"/>
  <c r="AD87" i="15" s="1"/>
  <c r="AG243" i="34" l="1"/>
  <c r="AG247" i="34" s="1"/>
  <c r="AG256" i="34" l="1"/>
  <c r="AG257" i="34" s="1"/>
  <c r="AE72" i="15"/>
  <c r="AE68" i="15" l="1"/>
  <c r="AE66" i="15" s="1"/>
  <c r="AE74" i="15" s="1"/>
  <c r="AG250" i="34"/>
  <c r="AE81" i="15" l="1"/>
  <c r="AE83" i="15" s="1"/>
  <c r="AE84" i="15" s="1"/>
  <c r="AE76" i="15"/>
  <c r="N84" i="15" l="1"/>
  <c r="L72" i="29" s="1"/>
  <c r="AE87" i="15"/>
  <c r="N76" i="15"/>
  <c r="L64" i="29" s="1"/>
  <c r="AF53" i="15"/>
  <c r="O53" i="15" s="1"/>
  <c r="AH243" i="34" l="1"/>
  <c r="AH247" i="34" s="1"/>
  <c r="AF68" i="15" l="1"/>
  <c r="AH250" i="34"/>
  <c r="AH256" i="34" l="1"/>
  <c r="AF72" i="15"/>
  <c r="AF66" i="15" l="1"/>
  <c r="AH257" i="34"/>
  <c r="AF74" i="15" l="1"/>
  <c r="AF81" i="15" l="1"/>
  <c r="AF76" i="15"/>
  <c r="AG53" i="15" s="1"/>
  <c r="AI243" i="34" l="1"/>
  <c r="AI247" i="34" s="1"/>
  <c r="AF83" i="15"/>
  <c r="AG68" i="15" l="1"/>
  <c r="AI250" i="34"/>
  <c r="AF84" i="15"/>
  <c r="AF87" i="15" s="1"/>
  <c r="AI256" i="34" l="1"/>
  <c r="AG72" i="15"/>
  <c r="AI257" i="34" l="1"/>
  <c r="AG66" i="15"/>
  <c r="AG74" i="15" l="1"/>
  <c r="AG81" i="15" l="1"/>
  <c r="AG76" i="15"/>
  <c r="AH53" i="15" s="1"/>
  <c r="AJ243" i="34" l="1"/>
  <c r="AJ247" i="34" s="1"/>
  <c r="AG83" i="15"/>
  <c r="AH68" i="15" l="1"/>
  <c r="AJ250" i="34"/>
  <c r="AG84" i="15"/>
  <c r="AG87" i="15" s="1"/>
  <c r="AJ256" i="34" l="1"/>
  <c r="AH72" i="15"/>
  <c r="AH66" i="15" l="1"/>
  <c r="AJ257" i="34"/>
  <c r="AH74" i="15" l="1"/>
  <c r="AH81" i="15" l="1"/>
  <c r="AH76" i="15"/>
  <c r="AI53" i="15" s="1"/>
  <c r="AK243" i="34" l="1"/>
  <c r="AK247" i="34" s="1"/>
  <c r="AH83" i="15"/>
  <c r="AI68" i="15" l="1"/>
  <c r="AK250" i="34"/>
  <c r="AH84" i="15"/>
  <c r="AH87" i="15" s="1"/>
  <c r="AK256" i="34" l="1"/>
  <c r="AI72" i="15"/>
  <c r="AI66" i="15" l="1"/>
  <c r="AK257" i="34"/>
  <c r="AI74" i="15" l="1"/>
  <c r="AI81" i="15" l="1"/>
  <c r="AI76" i="15"/>
  <c r="AJ53" i="15" s="1"/>
  <c r="AL243" i="34" l="1"/>
  <c r="AL247" i="34" s="1"/>
  <c r="AI83" i="15"/>
  <c r="AJ68" i="15" l="1"/>
  <c r="AL250" i="34"/>
  <c r="AI84" i="15"/>
  <c r="AI87" i="15" s="1"/>
  <c r="AJ72" i="15" l="1"/>
  <c r="AL256" i="34"/>
  <c r="AL257" i="34" l="1"/>
  <c r="AJ66" i="15"/>
  <c r="AJ74" i="15" l="1"/>
  <c r="AJ81" i="15" l="1"/>
  <c r="AJ76" i="15"/>
  <c r="AK53" i="15" s="1"/>
  <c r="AM243" i="34" l="1"/>
  <c r="AM247" i="34" s="1"/>
  <c r="AJ83" i="15"/>
  <c r="AJ84" i="15" l="1"/>
  <c r="AJ87" i="15" s="1"/>
  <c r="AM256" i="34"/>
  <c r="AM257" i="34" s="1"/>
  <c r="AK72" i="15"/>
  <c r="AK68" i="15" l="1"/>
  <c r="AM250" i="34"/>
  <c r="AK66" i="15"/>
  <c r="AK74" i="15" s="1"/>
  <c r="AK81" i="15" l="1"/>
  <c r="AK83" i="15" s="1"/>
  <c r="AK84" i="15" s="1"/>
  <c r="AK87" i="15" s="1"/>
  <c r="AK76" i="15"/>
  <c r="AL53" i="15" s="1"/>
  <c r="AN243" i="34" l="1"/>
  <c r="AN247" i="34" s="1"/>
  <c r="AN256" i="34" l="1"/>
  <c r="AN257" i="34" s="1"/>
  <c r="AL72" i="15"/>
  <c r="AL68" i="15" l="1"/>
  <c r="AN250" i="34"/>
  <c r="AL66" i="15"/>
  <c r="AL74" i="15" s="1"/>
  <c r="AL81" i="15" l="1"/>
  <c r="AL83" i="15" s="1"/>
  <c r="AL84" i="15" s="1"/>
  <c r="AL87" i="15" s="1"/>
  <c r="AL76" i="15"/>
  <c r="AM53" i="15" s="1"/>
  <c r="AO243" i="34" l="1"/>
  <c r="AO247" i="34" s="1"/>
  <c r="AM72" i="15" l="1"/>
  <c r="AO256" i="34"/>
  <c r="AO257" i="34" s="1"/>
  <c r="AM68" i="15" l="1"/>
  <c r="AM66" i="15" s="1"/>
  <c r="AM74" i="15" s="1"/>
  <c r="AO250" i="34"/>
  <c r="AM81" i="15" l="1"/>
  <c r="AM83" i="15" s="1"/>
  <c r="AM84" i="15" s="1"/>
  <c r="AM87" i="15" s="1"/>
  <c r="AM76" i="15"/>
  <c r="AN53" i="15" s="1"/>
  <c r="AP243" i="34" l="1"/>
  <c r="AP247" i="34" s="1"/>
  <c r="AP256" i="34" l="1"/>
  <c r="AP257" i="34" s="1"/>
  <c r="AN72" i="15"/>
  <c r="AN68" i="15" l="1"/>
  <c r="AP250" i="34"/>
  <c r="AN66" i="15"/>
  <c r="AN74" i="15" s="1"/>
  <c r="AN81" i="15" l="1"/>
  <c r="AN83" i="15" s="1"/>
  <c r="AN84" i="15" s="1"/>
  <c r="AN87" i="15" s="1"/>
  <c r="AN76" i="15"/>
  <c r="AO53" i="15" s="1"/>
  <c r="AQ243" i="34" l="1"/>
  <c r="AQ247" i="34" s="1"/>
  <c r="AQ256" i="34" l="1"/>
  <c r="AQ257" i="34" s="1"/>
  <c r="AO72" i="15"/>
  <c r="AO68" i="15" l="1"/>
  <c r="AQ250" i="34"/>
  <c r="AO66" i="15"/>
  <c r="AO74" i="15" s="1"/>
  <c r="AO81" i="15" l="1"/>
  <c r="AO76" i="15"/>
  <c r="AP53" i="15" s="1"/>
  <c r="AO83" i="15"/>
  <c r="AO84" i="15" s="1"/>
  <c r="AO87" i="15" s="1"/>
  <c r="AR243" i="34" l="1"/>
  <c r="AR247" i="34" s="1"/>
  <c r="AP72" i="15" l="1"/>
  <c r="AR256" i="34"/>
  <c r="AR257" i="34" s="1"/>
  <c r="AP68" i="15" l="1"/>
  <c r="AR250" i="34"/>
  <c r="AP66" i="15"/>
  <c r="AP74" i="15" s="1"/>
  <c r="AP81" i="15" l="1"/>
  <c r="AP83" i="15" s="1"/>
  <c r="AP84" i="15" s="1"/>
  <c r="AP87" i="15" s="1"/>
  <c r="AP76" i="15"/>
  <c r="AQ53" i="15" s="1"/>
  <c r="AS243" i="34" l="1"/>
  <c r="AS247" i="34" s="1"/>
  <c r="AS256" i="34" l="1"/>
  <c r="AS257" i="34" s="1"/>
  <c r="AQ72" i="15"/>
  <c r="AQ68" i="15" l="1"/>
  <c r="AS250" i="34"/>
  <c r="AQ66" i="15"/>
  <c r="AQ74" i="15" s="1"/>
  <c r="AQ81" i="15" l="1"/>
  <c r="AQ76" i="15"/>
  <c r="AQ83" i="15"/>
  <c r="AQ84" i="15" s="1"/>
  <c r="O84" i="15" l="1"/>
  <c r="M72" i="29" s="1"/>
  <c r="AQ87" i="15"/>
  <c r="O76" i="15"/>
  <c r="M64" i="29" s="1"/>
  <c r="AR53" i="15"/>
  <c r="P53" i="15" l="1"/>
  <c r="AT243" i="34"/>
  <c r="AT247" i="34" s="1"/>
  <c r="AR68" i="15" l="1"/>
  <c r="AT250" i="34"/>
  <c r="AR72" i="15" l="1"/>
  <c r="AT256" i="34"/>
  <c r="AT257" i="34" l="1"/>
  <c r="AR66" i="15"/>
  <c r="AR74" i="15" l="1"/>
  <c r="AR81" i="15" l="1"/>
  <c r="AR76" i="15"/>
  <c r="AS53" i="15" s="1"/>
  <c r="AU243" i="34" l="1"/>
  <c r="AU247" i="34" s="1"/>
  <c r="AR83" i="15"/>
  <c r="AS68" i="15" l="1"/>
  <c r="AU250" i="34"/>
  <c r="AR84" i="15"/>
  <c r="AR87" i="15" s="1"/>
  <c r="AS72" i="15" l="1"/>
  <c r="AU256" i="34"/>
  <c r="AU257" i="34" l="1"/>
  <c r="AS66" i="15"/>
  <c r="AS74" i="15" l="1"/>
  <c r="AS81" i="15" l="1"/>
  <c r="AS76" i="15"/>
  <c r="AT53" i="15" s="1"/>
  <c r="AV243" i="34" l="1"/>
  <c r="AV247" i="34" s="1"/>
  <c r="AS83" i="15"/>
  <c r="AT68" i="15" l="1"/>
  <c r="AV250" i="34"/>
  <c r="AS84" i="15"/>
  <c r="AS87" i="15" s="1"/>
  <c r="AT72" i="15" l="1"/>
  <c r="AV256" i="34"/>
  <c r="AV257" i="34" l="1"/>
  <c r="AT66" i="15"/>
  <c r="AT74" i="15" l="1"/>
  <c r="AT81" i="15" l="1"/>
  <c r="AT76" i="15"/>
  <c r="AU53" i="15" s="1"/>
  <c r="AW243" i="34" l="1"/>
  <c r="AW247" i="34" s="1"/>
  <c r="AT83" i="15"/>
  <c r="AU68" i="15" l="1"/>
  <c r="AW250" i="34"/>
  <c r="AT84" i="15"/>
  <c r="AT87" i="15" s="1"/>
  <c r="AU72" i="15" l="1"/>
  <c r="AW256" i="34"/>
  <c r="AW257" i="34" l="1"/>
  <c r="AU66" i="15"/>
  <c r="AU74" i="15" l="1"/>
  <c r="AU81" i="15" l="1"/>
  <c r="AU76" i="15"/>
  <c r="AV53" i="15" s="1"/>
  <c r="AX243" i="34" l="1"/>
  <c r="AX247" i="34" s="1"/>
  <c r="AU83" i="15"/>
  <c r="AV68" i="15" l="1"/>
  <c r="AX250" i="34"/>
  <c r="AU84" i="15"/>
  <c r="AU87" i="15" s="1"/>
  <c r="AX256" i="34" l="1"/>
  <c r="AV72" i="15"/>
  <c r="AV66" i="15" l="1"/>
  <c r="AX257" i="34"/>
  <c r="AV74" i="15" l="1"/>
  <c r="AV81" i="15" l="1"/>
  <c r="AV76" i="15"/>
  <c r="AW53" i="15" s="1"/>
  <c r="AY243" i="34" l="1"/>
  <c r="AY247" i="34" s="1"/>
  <c r="AV83" i="15"/>
  <c r="AV84" i="15" l="1"/>
  <c r="AV87" i="15" s="1"/>
  <c r="AW72" i="15"/>
  <c r="AY256" i="34"/>
  <c r="AY257" i="34" s="1"/>
  <c r="AW68" i="15" l="1"/>
  <c r="AY250" i="34"/>
  <c r="AW66" i="15"/>
  <c r="AW74" i="15" s="1"/>
  <c r="AW81" i="15" l="1"/>
  <c r="AW83" i="15" s="1"/>
  <c r="AW84" i="15" s="1"/>
  <c r="AW87" i="15" s="1"/>
  <c r="AW76" i="15"/>
  <c r="AX53" i="15" s="1"/>
  <c r="AZ243" i="34" l="1"/>
  <c r="AZ247" i="34" s="1"/>
  <c r="AZ256" i="34" l="1"/>
  <c r="AZ257" i="34" s="1"/>
  <c r="AX72" i="15"/>
  <c r="AX68" i="15" l="1"/>
  <c r="AZ250" i="34"/>
  <c r="AX66" i="15"/>
  <c r="AX74" i="15" s="1"/>
  <c r="AX81" i="15" l="1"/>
  <c r="AX83" i="15" s="1"/>
  <c r="AX84" i="15" s="1"/>
  <c r="AX87" i="15" s="1"/>
  <c r="AX76" i="15"/>
  <c r="AY53" i="15" s="1"/>
  <c r="BA243" i="34" l="1"/>
  <c r="BA247" i="34" s="1"/>
  <c r="BA256" i="34" l="1"/>
  <c r="BA257" i="34" s="1"/>
  <c r="AY72" i="15"/>
  <c r="AY68" i="15" l="1"/>
  <c r="BA250" i="34"/>
  <c r="AY66" i="15"/>
  <c r="AY74" i="15" s="1"/>
  <c r="AY81" i="15" l="1"/>
  <c r="AY83" i="15" s="1"/>
  <c r="AY84" i="15" s="1"/>
  <c r="AY87" i="15" s="1"/>
  <c r="AY76" i="15"/>
  <c r="AZ53" i="15" s="1"/>
  <c r="BB243" i="34" l="1"/>
  <c r="BB247" i="34" s="1"/>
  <c r="BB256" i="34" l="1"/>
  <c r="BB257" i="34" s="1"/>
  <c r="AZ72" i="15"/>
  <c r="AZ68" i="15" l="1"/>
  <c r="BB250" i="34"/>
  <c r="AZ66" i="15"/>
  <c r="AZ74" i="15" s="1"/>
  <c r="AZ81" i="15" l="1"/>
  <c r="AZ83" i="15" s="1"/>
  <c r="AZ84" i="15" s="1"/>
  <c r="AZ87" i="15" s="1"/>
  <c r="AZ76" i="15"/>
  <c r="BA53" i="15" s="1"/>
  <c r="BC243" i="34" l="1"/>
  <c r="BC247" i="34" s="1"/>
  <c r="BA72" i="15" l="1"/>
  <c r="BC256" i="34"/>
  <c r="BC257" i="34" s="1"/>
  <c r="BA68" i="15" l="1"/>
  <c r="BC250" i="34"/>
  <c r="BA66" i="15"/>
  <c r="BA74" i="15" s="1"/>
  <c r="BA81" i="15" l="1"/>
  <c r="BA83" i="15" s="1"/>
  <c r="BA84" i="15" s="1"/>
  <c r="BA87" i="15" s="1"/>
  <c r="BA76" i="15"/>
  <c r="BB53" i="15" s="1"/>
  <c r="BD243" i="34" l="1"/>
  <c r="BD247" i="34" s="1"/>
  <c r="BB72" i="15" l="1"/>
  <c r="BD256" i="34"/>
  <c r="BD257" i="34" s="1"/>
  <c r="BB68" i="15" l="1"/>
  <c r="BD250" i="34"/>
  <c r="BB66" i="15"/>
  <c r="BB74" i="15" s="1"/>
  <c r="BB81" i="15" l="1"/>
  <c r="BB83" i="15" s="1"/>
  <c r="BB84" i="15" s="1"/>
  <c r="BB87" i="15" s="1"/>
  <c r="BB76" i="15"/>
  <c r="BC53" i="15" s="1"/>
  <c r="BE243" i="34" l="1"/>
  <c r="BE247" i="34" s="1"/>
  <c r="BE256" i="34" l="1"/>
  <c r="BE257" i="34" s="1"/>
  <c r="BC72" i="15"/>
  <c r="BC68" i="15" l="1"/>
  <c r="BE250" i="34"/>
  <c r="BC66" i="15"/>
  <c r="BC74" i="15" s="1"/>
  <c r="BC81" i="15" l="1"/>
  <c r="BC83" i="15" s="1"/>
  <c r="BC84" i="15" s="1"/>
  <c r="BC76" i="15"/>
  <c r="P84" i="15" l="1"/>
  <c r="N72" i="29" s="1"/>
  <c r="BC87" i="15"/>
  <c r="P76" i="15"/>
  <c r="N64" i="29" s="1"/>
  <c r="BD53" i="15"/>
  <c r="Q53" i="15" l="1"/>
  <c r="BF243" i="34"/>
  <c r="BF247" i="34" s="1"/>
  <c r="BD68" i="15" l="1"/>
  <c r="BF250" i="34"/>
  <c r="BF256" i="34" l="1"/>
  <c r="BD72" i="15"/>
  <c r="BD66" i="15" l="1"/>
  <c r="BF257" i="34"/>
  <c r="BD74" i="15" l="1"/>
  <c r="BD81" i="15" l="1"/>
  <c r="BD76" i="15"/>
  <c r="BE53" i="15" s="1"/>
  <c r="BG243" i="34" l="1"/>
  <c r="BG247" i="34" s="1"/>
  <c r="BD83" i="15"/>
  <c r="BE68" i="15" l="1"/>
  <c r="BG250" i="34"/>
  <c r="BD84" i="15"/>
  <c r="BD87" i="15" s="1"/>
  <c r="BG256" i="34" l="1"/>
  <c r="BE72" i="15"/>
  <c r="BE66" i="15" l="1"/>
  <c r="BG257" i="34"/>
  <c r="BE74" i="15" l="1"/>
  <c r="BE81" i="15" l="1"/>
  <c r="BE76" i="15"/>
  <c r="BF53" i="15" s="1"/>
  <c r="BH243" i="34" l="1"/>
  <c r="BH247" i="34" s="1"/>
  <c r="BE83" i="15"/>
  <c r="BF68" i="15" l="1"/>
  <c r="BH250" i="34"/>
  <c r="BE84" i="15"/>
  <c r="BE87" i="15" s="1"/>
  <c r="BH256" i="34" l="1"/>
  <c r="BF72" i="15"/>
  <c r="BF66" i="15" l="1"/>
  <c r="BH257" i="34"/>
  <c r="BF74" i="15" l="1"/>
  <c r="BF81" i="15" l="1"/>
  <c r="BF76" i="15"/>
  <c r="BG53" i="15" s="1"/>
  <c r="BI243" i="34" l="1"/>
  <c r="BI247" i="34" s="1"/>
  <c r="BF83" i="15"/>
  <c r="BG68" i="15" l="1"/>
  <c r="BI250" i="34"/>
  <c r="BF84" i="15"/>
  <c r="BF87" i="15" s="1"/>
  <c r="BI256" i="34" l="1"/>
  <c r="BG72" i="15"/>
  <c r="BG66" i="15" l="1"/>
  <c r="BI257" i="34"/>
  <c r="BG74" i="15" l="1"/>
  <c r="BG81" i="15" l="1"/>
  <c r="BG76" i="15"/>
  <c r="BH53" i="15" s="1"/>
  <c r="BJ243" i="34" l="1"/>
  <c r="BJ247" i="34" s="1"/>
  <c r="BG83" i="15"/>
  <c r="BH68" i="15" l="1"/>
  <c r="BJ250" i="34"/>
  <c r="BG84" i="15"/>
  <c r="BG87" i="15" s="1"/>
  <c r="BJ256" i="34" l="1"/>
  <c r="BH72" i="15"/>
  <c r="BH66" i="15" l="1"/>
  <c r="BJ257" i="34"/>
  <c r="BH74" i="15" l="1"/>
  <c r="BH81" i="15" l="1"/>
  <c r="BH76" i="15"/>
  <c r="BI53" i="15" s="1"/>
  <c r="BK243" i="34" l="1"/>
  <c r="BK247" i="34" s="1"/>
  <c r="BH83" i="15"/>
  <c r="BH84" i="15" l="1"/>
  <c r="BH87" i="15" s="1"/>
  <c r="BI72" i="15"/>
  <c r="BK256" i="34"/>
  <c r="BK257" i="34" s="1"/>
  <c r="BI68" i="15" l="1"/>
  <c r="BK250" i="34"/>
  <c r="BI66" i="15"/>
  <c r="BI74" i="15" s="1"/>
  <c r="BI81" i="15" l="1"/>
  <c r="BI83" i="15" s="1"/>
  <c r="BI84" i="15" s="1"/>
  <c r="BI87" i="15" s="1"/>
  <c r="BI76" i="15"/>
  <c r="BJ53" i="15" s="1"/>
  <c r="BL243" i="34" l="1"/>
  <c r="BL247" i="34" s="1"/>
  <c r="BJ72" i="15" l="1"/>
  <c r="BL256" i="34"/>
  <c r="BL257" i="34" s="1"/>
  <c r="BJ68" i="15" l="1"/>
  <c r="BL250" i="34"/>
  <c r="BJ66" i="15"/>
  <c r="BJ74" i="15" s="1"/>
  <c r="BJ81" i="15" l="1"/>
  <c r="BJ83" i="15" s="1"/>
  <c r="BJ84" i="15" s="1"/>
  <c r="BJ87" i="15" s="1"/>
  <c r="BJ76" i="15"/>
  <c r="BK53" i="15" s="1"/>
  <c r="BM243" i="34" l="1"/>
  <c r="BM247" i="34" s="1"/>
  <c r="BM256" i="34" l="1"/>
  <c r="BM257" i="34" s="1"/>
  <c r="BK72" i="15"/>
  <c r="BK68" i="15" l="1"/>
  <c r="BK66" i="15" s="1"/>
  <c r="BK74" i="15" s="1"/>
  <c r="BM250" i="34"/>
  <c r="BK81" i="15" l="1"/>
  <c r="BK83" i="15" s="1"/>
  <c r="BK84" i="15" s="1"/>
  <c r="BK87" i="15" s="1"/>
  <c r="BK76" i="15"/>
  <c r="BL53" i="15" s="1"/>
  <c r="BN243" i="34" l="1"/>
  <c r="BN247" i="34" s="1"/>
  <c r="BN256" i="34" l="1"/>
  <c r="BN257" i="34" s="1"/>
  <c r="BL72" i="15"/>
  <c r="BL68" i="15" l="1"/>
  <c r="BN250" i="34"/>
  <c r="BL66" i="15"/>
  <c r="BL74" i="15" s="1"/>
  <c r="BL81" i="15" l="1"/>
  <c r="BL83" i="15" s="1"/>
  <c r="BL84" i="15" s="1"/>
  <c r="BL87" i="15" s="1"/>
  <c r="BL76" i="15"/>
  <c r="BM53" i="15" s="1"/>
  <c r="BO243" i="34" l="1"/>
  <c r="BO247" i="34" s="1"/>
  <c r="BO256" i="34" l="1"/>
  <c r="BO257" i="34" s="1"/>
  <c r="BM72" i="15"/>
  <c r="BM68" i="15" l="1"/>
  <c r="BM66" i="15" s="1"/>
  <c r="BM74" i="15" s="1"/>
  <c r="BO250" i="34"/>
  <c r="BM81" i="15" l="1"/>
  <c r="BM83" i="15" s="1"/>
  <c r="BM84" i="15" s="1"/>
  <c r="BM87" i="15" s="1"/>
  <c r="BM76" i="15"/>
  <c r="BN53" i="15" s="1"/>
  <c r="BP243" i="34" l="1"/>
  <c r="BP247" i="34" s="1"/>
  <c r="BN72" i="15" l="1"/>
  <c r="BP256" i="34"/>
  <c r="BP257" i="34" s="1"/>
  <c r="BN68" i="15" l="1"/>
  <c r="BP250" i="34"/>
  <c r="BN66" i="15"/>
  <c r="BN74" i="15" s="1"/>
  <c r="BN81" i="15" l="1"/>
  <c r="BN83" i="15" s="1"/>
  <c r="BN84" i="15" s="1"/>
  <c r="BN87" i="15" s="1"/>
  <c r="BN76" i="15"/>
  <c r="BO53" i="15" s="1"/>
  <c r="BQ243" i="34" l="1"/>
  <c r="BQ247" i="34" s="1"/>
  <c r="BO72" i="15" l="1"/>
  <c r="BQ256" i="34"/>
  <c r="BQ257" i="34" s="1"/>
  <c r="BO68" i="15" l="1"/>
  <c r="BO66" i="15" s="1"/>
  <c r="BO74" i="15" s="1"/>
  <c r="BQ250" i="34"/>
  <c r="BO81" i="15" l="1"/>
  <c r="BO83" i="15" s="1"/>
  <c r="BO84" i="15" s="1"/>
  <c r="BO76" i="15"/>
  <c r="Q84" i="15" l="1"/>
  <c r="O72" i="29" s="1"/>
  <c r="BO87" i="15"/>
  <c r="BP53" i="15"/>
  <c r="Q76" i="15"/>
  <c r="O64" i="29" s="1"/>
  <c r="R53" i="15" l="1"/>
  <c r="BR243" i="34"/>
  <c r="BR247" i="34" s="1"/>
  <c r="BP68" i="15" l="1"/>
  <c r="BR250" i="34"/>
  <c r="BR256" i="34" l="1"/>
  <c r="BP72" i="15"/>
  <c r="BP66" i="15" l="1"/>
  <c r="BR257" i="34"/>
  <c r="BP74" i="15" l="1"/>
  <c r="BP81" i="15" l="1"/>
  <c r="BP76" i="15"/>
  <c r="BQ53" i="15" s="1"/>
  <c r="BS243" i="34" l="1"/>
  <c r="BS247" i="34" s="1"/>
  <c r="BP83" i="15"/>
  <c r="BQ68" i="15" l="1"/>
  <c r="BS250" i="34"/>
  <c r="BP84" i="15"/>
  <c r="BP87" i="15" s="1"/>
  <c r="BS256" i="34" l="1"/>
  <c r="BQ72" i="15"/>
  <c r="BQ66" i="15" l="1"/>
  <c r="BS257" i="34"/>
  <c r="BQ74" i="15" l="1"/>
  <c r="BQ81" i="15" l="1"/>
  <c r="BQ76" i="15"/>
  <c r="BR53" i="15" s="1"/>
  <c r="BT243" i="34" l="1"/>
  <c r="BT247" i="34" s="1"/>
  <c r="BQ83" i="15"/>
  <c r="BR68" i="15" l="1"/>
  <c r="BT250" i="34"/>
  <c r="BQ84" i="15"/>
  <c r="BQ87" i="15" s="1"/>
  <c r="BT256" i="34" l="1"/>
  <c r="BR72" i="15"/>
  <c r="BR66" i="15" l="1"/>
  <c r="BT257" i="34"/>
  <c r="BR74" i="15" l="1"/>
  <c r="BR81" i="15" l="1"/>
  <c r="BR76" i="15"/>
  <c r="BS53" i="15" s="1"/>
  <c r="BU243" i="34" l="1"/>
  <c r="BU247" i="34" s="1"/>
  <c r="BR83" i="15"/>
  <c r="BS68" i="15" l="1"/>
  <c r="BU250" i="34"/>
  <c r="BR84" i="15"/>
  <c r="BR87" i="15" s="1"/>
  <c r="BU256" i="34" l="1"/>
  <c r="BS72" i="15"/>
  <c r="BS66" i="15" l="1"/>
  <c r="BU257" i="34"/>
  <c r="BS74" i="15" l="1"/>
  <c r="BS81" i="15" l="1"/>
  <c r="BS76" i="15"/>
  <c r="BT53" i="15" s="1"/>
  <c r="BV243" i="34" l="1"/>
  <c r="BV247" i="34" s="1"/>
  <c r="BS83" i="15"/>
  <c r="BT68" i="15" l="1"/>
  <c r="BV250" i="34"/>
  <c r="BS84" i="15"/>
  <c r="BS87" i="15" s="1"/>
  <c r="BT72" i="15" l="1"/>
  <c r="BV256" i="34"/>
  <c r="BV257" i="34" l="1"/>
  <c r="BT66" i="15"/>
  <c r="BT74" i="15" l="1"/>
  <c r="BT81" i="15" l="1"/>
  <c r="BT76" i="15"/>
  <c r="BU53" i="15" s="1"/>
  <c r="BW243" i="34" l="1"/>
  <c r="BW247" i="34" s="1"/>
  <c r="BT83" i="15"/>
  <c r="BT84" i="15" l="1"/>
  <c r="BT87" i="15" s="1"/>
  <c r="BU72" i="15"/>
  <c r="BW256" i="34"/>
  <c r="BW257" i="34" s="1"/>
  <c r="BU68" i="15" l="1"/>
  <c r="BW250" i="34"/>
  <c r="BU66" i="15"/>
  <c r="BU74" i="15" s="1"/>
  <c r="BU81" i="15" l="1"/>
  <c r="BU83" i="15" s="1"/>
  <c r="BU84" i="15" s="1"/>
  <c r="BU87" i="15" s="1"/>
  <c r="BU76" i="15"/>
  <c r="BV53" i="15" s="1"/>
  <c r="BX243" i="34" l="1"/>
  <c r="BX247" i="34" s="1"/>
  <c r="BV72" i="15" l="1"/>
  <c r="BX256" i="34"/>
  <c r="BX257" i="34" s="1"/>
  <c r="BV68" i="15" l="1"/>
  <c r="BX250" i="34"/>
  <c r="BV66" i="15"/>
  <c r="BV74" i="15" s="1"/>
  <c r="BV81" i="15" l="1"/>
  <c r="BV83" i="15" s="1"/>
  <c r="BV84" i="15" s="1"/>
  <c r="BV87" i="15" s="1"/>
  <c r="BV76" i="15"/>
  <c r="BW53" i="15" s="1"/>
  <c r="BY243" i="34" l="1"/>
  <c r="BY247" i="34" s="1"/>
  <c r="BY256" i="34" l="1"/>
  <c r="BY257" i="34" s="1"/>
  <c r="BW72" i="15"/>
  <c r="BW68" i="15" l="1"/>
  <c r="BY250" i="34"/>
  <c r="BW66" i="15"/>
  <c r="BW74" i="15" s="1"/>
  <c r="BW81" i="15" l="1"/>
  <c r="BW83" i="15" s="1"/>
  <c r="BW84" i="15" s="1"/>
  <c r="BW87" i="15" s="1"/>
  <c r="BW76" i="15"/>
  <c r="BX53" i="15" s="1"/>
  <c r="BZ243" i="34" l="1"/>
  <c r="BZ247" i="34" s="1"/>
  <c r="BX72" i="15" l="1"/>
  <c r="BZ256" i="34"/>
  <c r="BZ257" i="34" s="1"/>
  <c r="BX68" i="15" l="1"/>
  <c r="BZ250" i="34"/>
  <c r="BX66" i="15"/>
  <c r="BX74" i="15" s="1"/>
  <c r="BX81" i="15" l="1"/>
  <c r="BX76" i="15"/>
  <c r="BY53" i="15" s="1"/>
  <c r="BX83" i="15"/>
  <c r="BX84" i="15" s="1"/>
  <c r="BX87" i="15" s="1"/>
  <c r="CA243" i="34" l="1"/>
  <c r="CA247" i="34" s="1"/>
  <c r="CA256" i="34" l="1"/>
  <c r="CA257" i="34" s="1"/>
  <c r="BY72" i="15"/>
  <c r="BY68" i="15" l="1"/>
  <c r="CA250" i="34"/>
  <c r="BY66" i="15"/>
  <c r="BY74" i="15" s="1"/>
  <c r="BY81" i="15" l="1"/>
  <c r="BY83" i="15" s="1"/>
  <c r="BY84" i="15" s="1"/>
  <c r="BY87" i="15" s="1"/>
  <c r="BY76" i="15"/>
  <c r="BZ53" i="15" s="1"/>
  <c r="CB243" i="34" l="1"/>
  <c r="CB247" i="34" s="1"/>
  <c r="BZ72" i="15" l="1"/>
  <c r="CB256" i="34"/>
  <c r="CB257" i="34" s="1"/>
  <c r="BZ68" i="15" l="1"/>
  <c r="BZ66" i="15" s="1"/>
  <c r="BZ74" i="15" s="1"/>
  <c r="CB250" i="34"/>
  <c r="BZ81" i="15" l="1"/>
  <c r="BZ83" i="15" s="1"/>
  <c r="BZ84" i="15" s="1"/>
  <c r="BZ87" i="15" s="1"/>
  <c r="BZ76" i="15"/>
  <c r="CA53" i="15" s="1"/>
  <c r="CC243" i="34" l="1"/>
  <c r="CC247" i="34" s="1"/>
  <c r="CA68" i="15" l="1"/>
  <c r="P247" i="34"/>
  <c r="Q247" i="34"/>
  <c r="R247" i="34"/>
  <c r="S247" i="34"/>
  <c r="T247" i="34"/>
  <c r="CC250" i="34"/>
  <c r="P243" i="34"/>
  <c r="Q243" i="34"/>
  <c r="R243" i="34"/>
  <c r="S243" i="34"/>
  <c r="T243" i="34"/>
  <c r="N247" i="34" l="1"/>
  <c r="N68" i="15"/>
  <c r="O68" i="15"/>
  <c r="M57" i="29" s="1"/>
  <c r="P68" i="15"/>
  <c r="N57" i="29" s="1"/>
  <c r="Q68" i="15"/>
  <c r="O57" i="29" s="1"/>
  <c r="R68" i="15"/>
  <c r="P57" i="29" s="1"/>
  <c r="N243" i="34"/>
  <c r="CC256" i="34"/>
  <c r="CA72" i="15"/>
  <c r="P254" i="34"/>
  <c r="Q254" i="34"/>
  <c r="R254" i="34"/>
  <c r="S254" i="34"/>
  <c r="T254" i="34"/>
  <c r="L57" i="29" l="1"/>
  <c r="L68" i="15"/>
  <c r="J57" i="29" s="1"/>
  <c r="N254" i="34"/>
  <c r="CA66" i="15"/>
  <c r="N72" i="15"/>
  <c r="O72" i="15"/>
  <c r="M60" i="29" s="1"/>
  <c r="P72" i="15"/>
  <c r="N60" i="29" s="1"/>
  <c r="Q72" i="15"/>
  <c r="O60" i="29" s="1"/>
  <c r="R72" i="15"/>
  <c r="P60" i="29" s="1"/>
  <c r="CC257" i="34"/>
  <c r="P256" i="34"/>
  <c r="Q256" i="34"/>
  <c r="R256" i="34"/>
  <c r="S256" i="34"/>
  <c r="T256" i="34"/>
  <c r="N80" i="15" l="1"/>
  <c r="O80" i="15"/>
  <c r="M68" i="29" s="1"/>
  <c r="P80" i="15"/>
  <c r="N68" i="29" s="1"/>
  <c r="Q80" i="15"/>
  <c r="O68" i="29" s="1"/>
  <c r="R80" i="15"/>
  <c r="P68" i="29" s="1"/>
  <c r="CA74" i="15"/>
  <c r="N66" i="15"/>
  <c r="O66" i="15"/>
  <c r="M56" i="29" s="1"/>
  <c r="P66" i="15"/>
  <c r="N56" i="29" s="1"/>
  <c r="Q66" i="15"/>
  <c r="O56" i="29" s="1"/>
  <c r="R66" i="15"/>
  <c r="P56" i="29" s="1"/>
  <c r="N256" i="34"/>
  <c r="L72" i="15"/>
  <c r="J60" i="29" s="1"/>
  <c r="L60" i="29"/>
  <c r="L80" i="15" l="1"/>
  <c r="J68" i="29" s="1"/>
  <c r="L56" i="29"/>
  <c r="L66" i="15"/>
  <c r="L68" i="29"/>
  <c r="CA81" i="15"/>
  <c r="N74" i="15"/>
  <c r="O74" i="15"/>
  <c r="M62" i="29" s="1"/>
  <c r="P74" i="15"/>
  <c r="N62" i="29" s="1"/>
  <c r="Q74" i="15"/>
  <c r="O62" i="29" s="1"/>
  <c r="R74" i="15"/>
  <c r="P62" i="29" s="1"/>
  <c r="CA76" i="15"/>
  <c r="R76" i="15" s="1"/>
  <c r="P64" i="29" s="1"/>
  <c r="J56" i="29" l="1"/>
  <c r="L62" i="29"/>
  <c r="L74" i="15"/>
  <c r="J62" i="29" s="1"/>
  <c r="N81" i="15"/>
  <c r="O81" i="15"/>
  <c r="M69" i="29" s="1"/>
  <c r="P81" i="15"/>
  <c r="N69" i="29" s="1"/>
  <c r="Q81" i="15"/>
  <c r="O69" i="29" s="1"/>
  <c r="R81" i="15"/>
  <c r="P69" i="29" s="1"/>
  <c r="CA83" i="15"/>
  <c r="L86" i="15" s="1"/>
  <c r="L69" i="29" l="1"/>
  <c r="L81" i="15"/>
  <c r="J69" i="29" s="1"/>
  <c r="CA84" i="15"/>
  <c r="N83" i="15"/>
  <c r="O83" i="15"/>
  <c r="M71" i="29" s="1"/>
  <c r="P83" i="15"/>
  <c r="N71" i="29" s="1"/>
  <c r="Q83" i="15"/>
  <c r="O71" i="29" s="1"/>
  <c r="R83" i="15"/>
  <c r="P71" i="29" s="1"/>
  <c r="R84" i="15" l="1"/>
  <c r="P72" i="29" s="1"/>
  <c r="CA87" i="15"/>
  <c r="L83" i="15"/>
  <c r="L71" i="29"/>
  <c r="J74" i="29"/>
  <c r="L5" i="15"/>
  <c r="N5" i="18"/>
  <c r="N5" i="34"/>
  <c r="L4" i="15" l="1"/>
  <c r="J71" i="29"/>
  <c r="N4" i="18"/>
  <c r="N4" i="34"/>
  <c r="N87" i="15"/>
  <c r="O87" i="15"/>
  <c r="P87" i="15"/>
  <c r="Q87" i="15"/>
  <c r="R87" i="15"/>
  <c r="L87" i="15" l="1"/>
  <c r="J75" i="29" s="1"/>
</calcChain>
</file>

<file path=xl/sharedStrings.xml><?xml version="1.0" encoding="utf-8"?>
<sst xmlns="http://schemas.openxmlformats.org/spreadsheetml/2006/main" count="412" uniqueCount="207">
  <si>
    <t>Условные обозначения</t>
  </si>
  <si>
    <t xml:space="preserve"> - формула</t>
  </si>
  <si>
    <t>Содержание</t>
  </si>
  <si>
    <t>Лист</t>
  </si>
  <si>
    <t>Описание</t>
  </si>
  <si>
    <t>Расчет</t>
  </si>
  <si>
    <t>Выручка</t>
  </si>
  <si>
    <t>Себестоимость</t>
  </si>
  <si>
    <t>Операционные затраты</t>
  </si>
  <si>
    <t>Персонал</t>
  </si>
  <si>
    <t>Штат сотрудников и оплата труда</t>
  </si>
  <si>
    <t>Оборотный капитал</t>
  </si>
  <si>
    <t>Потребность в оборотном капитале</t>
  </si>
  <si>
    <t>Капитальные вложения и расчет амортизации</t>
  </si>
  <si>
    <t>Налоги</t>
  </si>
  <si>
    <t>Расчет налоговой нагрузки (Налог на прибыль, НДС)</t>
  </si>
  <si>
    <t>Финансирование</t>
  </si>
  <si>
    <t>Источнки финансирования и платежи (Долг, %, Собственный капитал)</t>
  </si>
  <si>
    <t>Отчетность</t>
  </si>
  <si>
    <t>Результат</t>
  </si>
  <si>
    <t>Схема модели</t>
  </si>
  <si>
    <t>Ввод</t>
  </si>
  <si>
    <t>FCFE</t>
  </si>
  <si>
    <t>IRR</t>
  </si>
  <si>
    <t>Показатели</t>
  </si>
  <si>
    <t>Ед. изм</t>
  </si>
  <si>
    <t>Итого</t>
  </si>
  <si>
    <t>Общие настройки</t>
  </si>
  <si>
    <t>Название компании</t>
  </si>
  <si>
    <t>текст</t>
  </si>
  <si>
    <t>Единицы измерения расчета модели</t>
  </si>
  <si>
    <t>руб</t>
  </si>
  <si>
    <t>Дата начала модели</t>
  </si>
  <si>
    <t>дата</t>
  </si>
  <si>
    <t>НДС</t>
  </si>
  <si>
    <t>Ставка исходящего НДС (доходы)</t>
  </si>
  <si>
    <t>%</t>
  </si>
  <si>
    <t>Ставка входящего НДС (расходы)</t>
  </si>
  <si>
    <t>Уменьшить НДС на входящий НДС?</t>
  </si>
  <si>
    <t>1-да / 0-нет</t>
  </si>
  <si>
    <t>Налог на прибыль</t>
  </si>
  <si>
    <t>Выбор налогового режима</t>
  </si>
  <si>
    <t>выбор</t>
  </si>
  <si>
    <t>1-УСН (Д), 2-УСН (Д-Р), 3-ОСН</t>
  </si>
  <si>
    <t>Ставка налога УСН (Доход)</t>
  </si>
  <si>
    <t>Ставка налога УСН (Доход-Расход)</t>
  </si>
  <si>
    <t>Ставка налога на прибыль ОСН</t>
  </si>
  <si>
    <t>Коммерческие затраты</t>
  </si>
  <si>
    <t>Общие и административные затраты</t>
  </si>
  <si>
    <t>Оплата труда</t>
  </si>
  <si>
    <t>Численность</t>
  </si>
  <si>
    <t>Оклады gross</t>
  </si>
  <si>
    <t>чел</t>
  </si>
  <si>
    <t>Оборач. дебиторской задолженности</t>
  </si>
  <si>
    <t>дней</t>
  </si>
  <si>
    <t>Оборач. кредиторской задолженности</t>
  </si>
  <si>
    <t>Оборач. запасов</t>
  </si>
  <si>
    <t>Капитальные вложения</t>
  </si>
  <si>
    <t>Долг</t>
  </si>
  <si>
    <t>Выручка без НДС</t>
  </si>
  <si>
    <t>Предпосылки</t>
  </si>
  <si>
    <t xml:space="preserve"> </t>
  </si>
  <si>
    <t>Рост</t>
  </si>
  <si>
    <t>Итого выручка</t>
  </si>
  <si>
    <t>Себестоимость без НДС</t>
  </si>
  <si>
    <t>Итого себестоимость</t>
  </si>
  <si>
    <t>Операционные затраты без НДС</t>
  </si>
  <si>
    <t>Дебиторская задолжность</t>
  </si>
  <si>
    <t>Кредиторская задолжность</t>
  </si>
  <si>
    <t>Затраты без ФОТ</t>
  </si>
  <si>
    <t>Запасы</t>
  </si>
  <si>
    <t>Вложения в оборотный капитал</t>
  </si>
  <si>
    <t>Капитальные вложения без НДС</t>
  </si>
  <si>
    <t>Распределение</t>
  </si>
  <si>
    <t>Амортизация</t>
  </si>
  <si>
    <t>СПИ</t>
  </si>
  <si>
    <t>Исходящий НДС</t>
  </si>
  <si>
    <t>Исходящий НДС (накопленно)</t>
  </si>
  <si>
    <t>Затраты</t>
  </si>
  <si>
    <t>Входящий НДС к вычету</t>
  </si>
  <si>
    <t>Входящий НДС (накопленно)</t>
  </si>
  <si>
    <t>Налоговая база (накопленно)</t>
  </si>
  <si>
    <t>Уплата НДС</t>
  </si>
  <si>
    <t>Ставка налога ОСН</t>
  </si>
  <si>
    <t>УСН (Доход)</t>
  </si>
  <si>
    <t>Доход</t>
  </si>
  <si>
    <t>Налог</t>
  </si>
  <si>
    <t>УСН (Доход-Расход)</t>
  </si>
  <si>
    <t>Расход</t>
  </si>
  <si>
    <t>ОСН</t>
  </si>
  <si>
    <t>Капитал</t>
  </si>
  <si>
    <t>Валовая прибыль</t>
  </si>
  <si>
    <t>Валовая маржа, % от выручки</t>
  </si>
  <si>
    <t>EBITDA</t>
  </si>
  <si>
    <t>EBITDA, % от выручки</t>
  </si>
  <si>
    <t>Чистая прибыль</t>
  </si>
  <si>
    <t>Чистая прибыль, % от выручки</t>
  </si>
  <si>
    <t>Отчет о движении денежных средств - Cash Flow</t>
  </si>
  <si>
    <t>Денежные средства на начало периода</t>
  </si>
  <si>
    <t>Операционный поток</t>
  </si>
  <si>
    <t>(+) Полученный НДС с продажами</t>
  </si>
  <si>
    <t>(-) Уплаченный НДС с затратами</t>
  </si>
  <si>
    <t>(-) Уплата НДС в бюджет</t>
  </si>
  <si>
    <t>(-) Уплата налога на прибыль</t>
  </si>
  <si>
    <t>(-) Изменение оборотного капитала</t>
  </si>
  <si>
    <t>Инвестиционный поток</t>
  </si>
  <si>
    <t>(-) Капитальные вложения без НДС</t>
  </si>
  <si>
    <t>Финансовый поток</t>
  </si>
  <si>
    <t>(-) Проценты</t>
  </si>
  <si>
    <t>Денежный поток</t>
  </si>
  <si>
    <t>Денежный поток актива</t>
  </si>
  <si>
    <t>Чистый денежный поток (FCFE)</t>
  </si>
  <si>
    <t>Внутренняя норма доходности (IRR)</t>
  </si>
  <si>
    <t>Период окупаемости (PBP)</t>
  </si>
  <si>
    <t>лет</t>
  </si>
  <si>
    <t>Отчет о прибылях и убытках - P&amp;L</t>
  </si>
  <si>
    <t>Выручка и чистая прибыль</t>
  </si>
  <si>
    <t>Привлечение долга</t>
  </si>
  <si>
    <t>Погашение долга</t>
  </si>
  <si>
    <t>Выплата процентов</t>
  </si>
  <si>
    <t>Дней  для расчета с клиентами</t>
  </si>
  <si>
    <t>Дней для расчета с подрядчиками</t>
  </si>
  <si>
    <t>Дней для производства товара</t>
  </si>
  <si>
    <t>Накопленный денежный поток (период окупаемости)</t>
  </si>
  <si>
    <t>Финансовая модель</t>
  </si>
  <si>
    <t>Блок</t>
  </si>
  <si>
    <t xml:space="preserve"> - ручной ввод данных</t>
  </si>
  <si>
    <t xml:space="preserve"> - ссылка на другой лист или блок</t>
  </si>
  <si>
    <t>(+) Привлечение долга</t>
  </si>
  <si>
    <t>Потребность проекта в финансировании</t>
  </si>
  <si>
    <t>(+) Привлечение капитала</t>
  </si>
  <si>
    <t>Оценка эффективности</t>
  </si>
  <si>
    <t>Накопленный денежный поток</t>
  </si>
  <si>
    <t>Финансирование за счет капитала</t>
  </si>
  <si>
    <t>Привлечение капитала</t>
  </si>
  <si>
    <t>Погашение тела</t>
  </si>
  <si>
    <t>Остаток долга</t>
  </si>
  <si>
    <t>Прогноз выручки: план продаж, динамика цен, структура доходов по направлениям.</t>
  </si>
  <si>
    <t>Прямые затраты: материалы, услуги, транспорт, логистика, и др.</t>
  </si>
  <si>
    <t>-</t>
  </si>
  <si>
    <t>P&amp;L (Отчёт о прибылях и убытках)</t>
  </si>
  <si>
    <t>Общие и административные расходы (аренда, маркетинг, связь, бухгалтерия, IT).</t>
  </si>
  <si>
    <t>CF (Денежный поток)</t>
  </si>
  <si>
    <t>Отражает финансовый результат проекта по периодам.</t>
  </si>
  <si>
    <t>Отчёт о движении денежных средств (операционный, инвестиционный и финансовый потоки).</t>
  </si>
  <si>
    <t>Сводка ключевых показателей по проекту, визуализация в виде графиков, анализ.</t>
  </si>
  <si>
    <t>Сумма с НДС</t>
  </si>
  <si>
    <t>(-) Погашение долга</t>
  </si>
  <si>
    <t>Накопленные чистый денежный поток</t>
  </si>
  <si>
    <t>Показатели эффективности</t>
  </si>
  <si>
    <t>Лист для ввода исходных данных. Содержит ключевые параметры проекта в разрезе блоков модели (выручка, затраты, персонал, инвестиции, налоги, финансирование).</t>
  </si>
  <si>
    <t>Чистый дененжный поток, IRR, срока окупаемости.</t>
  </si>
  <si>
    <t>Производство</t>
  </si>
  <si>
    <t>Логистика</t>
  </si>
  <si>
    <t>Администрация</t>
  </si>
  <si>
    <t>Начальник цеха</t>
  </si>
  <si>
    <t>Сварщик</t>
  </si>
  <si>
    <t>Оператор ЧПУ</t>
  </si>
  <si>
    <t>Токарь</t>
  </si>
  <si>
    <t>Разнорабочий</t>
  </si>
  <si>
    <t>Грузчик</t>
  </si>
  <si>
    <t>Логист</t>
  </si>
  <si>
    <t>Водитель</t>
  </si>
  <si>
    <t>Оператор службы доставки</t>
  </si>
  <si>
    <t>Генеральный директор</t>
  </si>
  <si>
    <t>Финансовый директор</t>
  </si>
  <si>
    <t>Главный бухгалтер</t>
  </si>
  <si>
    <t>Бухгалтер</t>
  </si>
  <si>
    <t>Главный менеджер продаж</t>
  </si>
  <si>
    <t>Менеджер продаж</t>
  </si>
  <si>
    <t>Маркетолог</t>
  </si>
  <si>
    <t>Покупка земельного участка</t>
  </si>
  <si>
    <t>Первая очередь цех</t>
  </si>
  <si>
    <t>Вторая очередь цех</t>
  </si>
  <si>
    <t>Наладчик</t>
  </si>
  <si>
    <t>Строительства завода по производству винтовых свай</t>
  </si>
  <si>
    <t>Как работает модель</t>
  </si>
  <si>
    <t>Оборудование и пусконаладочные работы</t>
  </si>
  <si>
    <t>Покупка ГАЗон+манипулятор</t>
  </si>
  <si>
    <t>Денежные средства на конец периода</t>
  </si>
  <si>
    <t>Труба г/к</t>
  </si>
  <si>
    <t>Лист г/к</t>
  </si>
  <si>
    <t>Расходные материалы</t>
  </si>
  <si>
    <t>Электроэнергия</t>
  </si>
  <si>
    <t>Коммунальные расходы</t>
  </si>
  <si>
    <t>Реклама</t>
  </si>
  <si>
    <t>Упаковка и маркировка</t>
  </si>
  <si>
    <t>ГСМ</t>
  </si>
  <si>
    <t>Расходы на транспортировку</t>
  </si>
  <si>
    <t>Расходы на управление</t>
  </si>
  <si>
    <t>Содержание имущества</t>
  </si>
  <si>
    <t>Связь, IT и офисные расходы</t>
  </si>
  <si>
    <t>Налоги, сборы, прочие расходы</t>
  </si>
  <si>
    <t>Проценты к уплате</t>
  </si>
  <si>
    <t>Прибыль до налогообложения (EBT)</t>
  </si>
  <si>
    <t>Коэффициент трубы в изделии</t>
  </si>
  <si>
    <t>Коэффициент листа в изделии</t>
  </si>
  <si>
    <t>Коэффициент расходных материалов в изделии</t>
  </si>
  <si>
    <t>Коэффициент электроэнергии в изделии</t>
  </si>
  <si>
    <t>Коэффициент коммунальных затрат в изделии</t>
  </si>
  <si>
    <t>Операционная прибыль (EBIT)</t>
  </si>
  <si>
    <t>Коэффициент затрат на рекламу</t>
  </si>
  <si>
    <t>Коэффициент затрат на упаковку</t>
  </si>
  <si>
    <t>Коэффициент затрат на ГСМ</t>
  </si>
  <si>
    <t>Коэффициент затрат на транспортировку</t>
  </si>
  <si>
    <t>Чистая прибыль (убыток)</t>
  </si>
  <si>
    <t>Модель построена в логике ввод → расчёты → отчётность → результаты.
Листы Отчётность и Результат формируются автоматически.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</si>
</sst>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;\(#,##0\);_-* &quot;-&quot;;_-@_-"/>
    <numFmt numFmtId="165" formatCode="_-* #,##0;\(#,##0\);_-* &quot;-&quot;;@"/>
    <numFmt numFmtId="166" formatCode="yyyy"/>
    <numFmt numFmtId="167" formatCode="#,##0_ ;[Red]\(#,##0\);\-\ "/>
    <numFmt numFmtId="168" formatCode="#,##0.0_ ;[Red]\(#,##0.0\);\-\ "/>
    <numFmt numFmtId="169" formatCode="_-* #,##0.0;\(#,##0.0\);_-* &quot;-&quot;;@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rgb="FF1E1E2F"/>
      <name val="Calibri"/>
      <family val="2"/>
      <charset val="204"/>
      <scheme val="minor"/>
    </font>
    <font>
      <b/>
      <sz val="11"/>
      <color rgb="FF1E1E2F"/>
      <name val="Calibri"/>
      <family val="2"/>
      <charset val="204"/>
      <scheme val="minor"/>
    </font>
    <font>
      <sz val="11"/>
      <color theme="0" tint="-0.499984740745262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theme="1" tint="0.499984740745262"/>
      <name val="Calibri"/>
      <family val="2"/>
      <charset val="204"/>
      <scheme val="minor"/>
    </font>
    <font>
      <sz val="11"/>
      <color theme="1" tint="0.499984740745262"/>
      <name val="Calibri"/>
      <family val="2"/>
      <charset val="204"/>
      <scheme val="minor"/>
    </font>
    <font>
      <i/>
      <sz val="11"/>
      <color rgb="FF1E1E2F"/>
      <name val="Calibri"/>
      <family val="2"/>
      <charset val="204"/>
      <scheme val="minor"/>
    </font>
    <font>
      <i/>
      <sz val="11"/>
      <color theme="1" tint="0.499984740745262"/>
      <name val="Calibri"/>
      <family val="2"/>
      <charset val="204"/>
      <scheme val="minor"/>
    </font>
    <font>
      <sz val="11"/>
      <color theme="1" tint="0.14999847407452621"/>
      <name val="Calibri"/>
      <family val="2"/>
      <charset val="204"/>
      <scheme val="minor"/>
    </font>
    <font>
      <b/>
      <sz val="11"/>
      <color theme="1" tint="0.1499984740745262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b/>
      <sz val="11"/>
      <color rgb="FF1E1E2F"/>
      <name val="Calibri"/>
      <family val="2"/>
      <charset val="204"/>
    </font>
    <font>
      <b/>
      <sz val="11"/>
      <color rgb="FF0070C0"/>
      <name val="Calibri"/>
      <family val="2"/>
      <charset val="204"/>
      <scheme val="minor"/>
    </font>
    <font>
      <b/>
      <i/>
      <sz val="11"/>
      <color theme="1" tint="0.499984740745262"/>
      <name val="Calibri"/>
      <family val="2"/>
      <charset val="204"/>
      <scheme val="minor"/>
    </font>
    <font>
      <b/>
      <sz val="28"/>
      <color theme="1" tint="0.14999847407452621"/>
      <name val="Calibri"/>
      <family val="2"/>
      <charset val="204"/>
      <scheme val="minor"/>
    </font>
    <font>
      <sz val="14"/>
      <color rgb="FF1E1E2F"/>
      <name val="Calibri"/>
      <family val="2"/>
      <charset val="204"/>
      <scheme val="minor"/>
    </font>
    <font>
      <sz val="11"/>
      <color theme="10"/>
      <name val="Calibri"/>
      <family val="2"/>
      <scheme val="minor"/>
    </font>
    <font>
      <sz val="9"/>
      <color theme="1"/>
      <name val="Arial"/>
      <family val="2"/>
      <charset val="204"/>
    </font>
    <font>
      <u/>
      <sz val="11"/>
      <color rgb="FF298B55"/>
      <name val="Calibri"/>
      <family val="2"/>
      <scheme val="minor"/>
    </font>
    <font>
      <u/>
      <sz val="11"/>
      <color theme="0" tint="-0.249977111117893"/>
      <name val="Calibri"/>
      <family val="2"/>
      <scheme val="minor"/>
    </font>
    <font>
      <u/>
      <sz val="11"/>
      <color rgb="FF8FD299"/>
      <name val="Calibri"/>
      <family val="2"/>
      <scheme val="minor"/>
    </font>
    <font>
      <i/>
      <sz val="11"/>
      <color theme="1" tint="0.34998626667073579"/>
      <name val="Calibri"/>
      <family val="2"/>
      <charset val="204"/>
      <scheme val="minor"/>
    </font>
    <font>
      <b/>
      <i/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i/>
      <u/>
      <sz val="11"/>
      <color theme="1" tint="0.34998626667073579"/>
      <name val="Calibri"/>
      <family val="2"/>
      <charset val="204"/>
      <scheme val="minor"/>
    </font>
    <font>
      <b/>
      <sz val="24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i/>
      <u/>
      <sz val="11"/>
      <color rgb="FF298B55"/>
      <name val="Calibri"/>
      <family val="2"/>
      <charset val="204"/>
      <scheme val="minor"/>
    </font>
    <font>
      <sz val="11"/>
      <color theme="1" tint="0.34998626667073579"/>
      <name val="Calibri"/>
      <family val="2"/>
      <charset val="204"/>
      <scheme val="minor"/>
    </font>
    <font>
      <u/>
      <sz val="11"/>
      <color theme="1" tint="0.34998626667073579"/>
      <name val="Calibri"/>
      <family val="2"/>
      <scheme val="minor"/>
    </font>
    <font>
      <sz val="11"/>
      <color rgb="FFFF000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rgb="FFDEF2E1"/>
        <bgColor indexed="64"/>
      </patternFill>
    </fill>
    <fill>
      <patternFill patternType="solid">
        <fgColor rgb="FF3A4E3D"/>
        <bgColor indexed="64"/>
      </patternFill>
    </fill>
    <fill>
      <patternFill patternType="solid">
        <fgColor rgb="FF8FD2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0691854609822"/>
      </bottom>
      <diagonal/>
    </border>
    <border>
      <left/>
      <right/>
      <top style="thin">
        <color theme="0" tint="-0.14990691854609822"/>
      </top>
      <bottom style="thin">
        <color theme="0" tint="-0.1498764000366222"/>
      </bottom>
      <diagonal/>
    </border>
    <border>
      <left/>
      <right/>
      <top style="thin">
        <color theme="0" tint="-0.1498764000366222"/>
      </top>
      <bottom style="thin">
        <color theme="0" tint="-0.1498764000366222"/>
      </bottom>
      <diagonal/>
    </border>
    <border>
      <left/>
      <right/>
      <top style="thin">
        <color theme="0" tint="-0.1498764000366222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0">
    <xf numFmtId="0" fontId="0" fillId="0" borderId="0"/>
    <xf numFmtId="9" fontId="14" fillId="0" borderId="0" applyFont="0" applyFill="0" applyBorder="0" applyAlignment="0" applyProtection="0"/>
    <xf numFmtId="164" fontId="20" fillId="0" borderId="0">
      <alignment horizontal="right"/>
      <protection hidden="1"/>
    </xf>
    <xf numFmtId="0" fontId="16" fillId="0" borderId="0" applyNumberFormat="0" applyFill="0" applyBorder="0" applyAlignment="0" applyProtection="0"/>
    <xf numFmtId="165" fontId="32" fillId="0" borderId="0">
      <alignment horizontal="right"/>
      <protection hidden="1"/>
    </xf>
    <xf numFmtId="165" fontId="20" fillId="0" borderId="0">
      <alignment horizontal="left"/>
      <protection hidden="1"/>
    </xf>
    <xf numFmtId="165" fontId="25" fillId="0" borderId="0">
      <alignment horizontal="left"/>
      <protection hidden="1"/>
    </xf>
    <xf numFmtId="0" fontId="39" fillId="0" borderId="0"/>
    <xf numFmtId="165" fontId="10" fillId="4" borderId="4">
      <alignment horizontal="right"/>
      <protection hidden="1"/>
    </xf>
    <xf numFmtId="49" fontId="48" fillId="9" borderId="0" applyNumberFormat="0" applyBorder="0" applyAlignment="0">
      <protection locked="0"/>
    </xf>
  </cellStyleXfs>
  <cellXfs count="380">
    <xf numFmtId="0" fontId="0" fillId="0" borderId="0" xfId="0"/>
    <xf numFmtId="165" fontId="21" fillId="2" borderId="0" xfId="1" applyNumberFormat="1" applyFont="1" applyFill="1" applyBorder="1" applyAlignment="1" applyProtection="1">
      <alignment horizontal="right" vertical="center"/>
      <protection hidden="1"/>
    </xf>
    <xf numFmtId="165" fontId="25" fillId="0" borderId="0" xfId="0" applyNumberFormat="1" applyFont="1" applyAlignment="1" applyProtection="1">
      <alignment horizontal="right" vertical="center"/>
      <protection hidden="1"/>
    </xf>
    <xf numFmtId="165" fontId="19" fillId="0" borderId="0" xfId="3" applyNumberFormat="1" applyFont="1" applyFill="1" applyBorder="1" applyAlignment="1" applyProtection="1">
      <alignment horizontal="center" vertical="center"/>
      <protection locked="0"/>
    </xf>
    <xf numFmtId="165" fontId="20" fillId="0" borderId="0" xfId="0" applyNumberFormat="1" applyFont="1" applyAlignment="1" applyProtection="1">
      <alignment vertical="center"/>
      <protection hidden="1"/>
    </xf>
    <xf numFmtId="165" fontId="21" fillId="0" borderId="0" xfId="1" applyNumberFormat="1" applyFont="1" applyFill="1" applyBorder="1" applyAlignment="1" applyProtection="1">
      <alignment horizontal="right" vertical="center"/>
      <protection hidden="1"/>
    </xf>
    <xf numFmtId="165" fontId="24" fillId="0" borderId="0" xfId="0" applyNumberFormat="1" applyFont="1" applyAlignment="1" applyProtection="1">
      <alignment horizontal="left" vertical="center"/>
      <protection hidden="1"/>
    </xf>
    <xf numFmtId="14" fontId="21" fillId="0" borderId="0" xfId="1" applyNumberFormat="1" applyFont="1" applyFill="1" applyBorder="1" applyAlignment="1" applyProtection="1">
      <alignment horizontal="right" vertical="center"/>
      <protection hidden="1"/>
    </xf>
    <xf numFmtId="165" fontId="31" fillId="0" borderId="0" xfId="0" applyNumberFormat="1" applyFont="1" applyAlignment="1" applyProtection="1">
      <alignment horizontal="right"/>
      <protection locked="0"/>
    </xf>
    <xf numFmtId="165" fontId="31" fillId="0" borderId="0" xfId="0" applyNumberFormat="1" applyFont="1" applyAlignment="1" applyProtection="1">
      <alignment horizontal="left"/>
      <protection locked="0"/>
    </xf>
    <xf numFmtId="165" fontId="31" fillId="0" borderId="0" xfId="0" quotePrefix="1" applyNumberFormat="1" applyFont="1" applyAlignment="1" applyProtection="1">
      <alignment horizontal="right"/>
      <protection locked="0"/>
    </xf>
    <xf numFmtId="165" fontId="30" fillId="0" borderId="0" xfId="0" applyNumberFormat="1" applyFont="1" applyAlignment="1" applyProtection="1">
      <alignment horizontal="right"/>
      <protection locked="0"/>
    </xf>
    <xf numFmtId="165" fontId="31" fillId="3" borderId="0" xfId="0" applyNumberFormat="1" applyFont="1" applyFill="1" applyAlignment="1" applyProtection="1">
      <alignment horizontal="right"/>
      <protection locked="0"/>
    </xf>
    <xf numFmtId="165" fontId="31" fillId="3" borderId="0" xfId="0" applyNumberFormat="1" applyFont="1" applyFill="1" applyAlignment="1" applyProtection="1">
      <alignment horizontal="left"/>
      <protection locked="0"/>
    </xf>
    <xf numFmtId="165" fontId="32" fillId="0" borderId="0" xfId="4" applyAlignment="1">
      <alignment horizontal="left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13" fillId="3" borderId="0" xfId="0" applyNumberFormat="1" applyFont="1" applyFill="1" applyAlignment="1" applyProtection="1">
      <alignment vertical="center"/>
      <protection hidden="1"/>
    </xf>
    <xf numFmtId="165" fontId="19" fillId="3" borderId="0" xfId="3" applyNumberFormat="1" applyFont="1" applyFill="1" applyBorder="1" applyAlignment="1" applyProtection="1">
      <alignment horizontal="center" vertical="center"/>
      <protection locked="0"/>
    </xf>
    <xf numFmtId="165" fontId="38" fillId="3" borderId="0" xfId="3" applyNumberFormat="1" applyFont="1" applyFill="1" applyAlignment="1">
      <alignment horizontal="right" vertical="center"/>
    </xf>
    <xf numFmtId="165" fontId="28" fillId="3" borderId="0" xfId="0" applyNumberFormat="1" applyFont="1" applyFill="1" applyAlignment="1">
      <alignment vertical="center"/>
    </xf>
    <xf numFmtId="165" fontId="13" fillId="3" borderId="0" xfId="0" applyNumberFormat="1" applyFont="1" applyFill="1" applyAlignment="1" applyProtection="1">
      <alignment horizontal="right" vertical="center"/>
      <protection hidden="1"/>
    </xf>
    <xf numFmtId="165" fontId="28" fillId="0" borderId="0" xfId="0" applyNumberFormat="1" applyFont="1" applyAlignment="1">
      <alignment vertical="center"/>
    </xf>
    <xf numFmtId="165" fontId="20" fillId="0" borderId="0" xfId="0" applyNumberFormat="1" applyFont="1" applyAlignment="1" applyProtection="1">
      <alignment horizontal="right" vertical="center"/>
      <protection hidden="1"/>
    </xf>
    <xf numFmtId="165" fontId="12" fillId="0" borderId="0" xfId="0" applyNumberFormat="1" applyFont="1" applyAlignment="1">
      <alignment horizontal="right" vertical="center"/>
    </xf>
    <xf numFmtId="165" fontId="32" fillId="0" borderId="0" xfId="4" applyAlignment="1">
      <alignment horizontal="left" vertical="center"/>
      <protection hidden="1"/>
    </xf>
    <xf numFmtId="165" fontId="12" fillId="3" borderId="0" xfId="0" applyNumberFormat="1" applyFont="1" applyFill="1" applyAlignment="1">
      <alignment horizontal="right" vertical="center"/>
    </xf>
    <xf numFmtId="165" fontId="16" fillId="0" borderId="0" xfId="3" applyNumberFormat="1" applyFill="1" applyAlignment="1" applyProtection="1">
      <alignment horizontal="left" vertical="center"/>
    </xf>
    <xf numFmtId="165" fontId="20" fillId="0" borderId="0" xfId="0" applyNumberFormat="1" applyFont="1" applyAlignment="1" applyProtection="1">
      <alignment horizontal="left" vertical="center"/>
      <protection hidden="1"/>
    </xf>
    <xf numFmtId="165" fontId="18" fillId="0" borderId="0" xfId="0" applyNumberFormat="1" applyFont="1" applyAlignment="1">
      <alignment horizontal="left" vertical="center"/>
    </xf>
    <xf numFmtId="165" fontId="20" fillId="0" borderId="0" xfId="1" applyNumberFormat="1" applyFont="1" applyFill="1" applyBorder="1" applyAlignment="1" applyProtection="1">
      <alignment horizontal="right" vertical="center"/>
      <protection hidden="1"/>
    </xf>
    <xf numFmtId="165" fontId="20" fillId="0" borderId="0" xfId="0" applyNumberFormat="1" applyFont="1" applyAlignment="1">
      <alignment horizontal="right" vertical="center"/>
    </xf>
    <xf numFmtId="165" fontId="25" fillId="0" borderId="0" xfId="0" applyNumberFormat="1" applyFont="1" applyAlignment="1" applyProtection="1">
      <alignment horizontal="left" vertical="center"/>
      <protection hidden="1"/>
    </xf>
    <xf numFmtId="165" fontId="27" fillId="0" borderId="0" xfId="0" applyNumberFormat="1" applyFont="1" applyAlignment="1" applyProtection="1">
      <alignment horizontal="left" vertical="center"/>
      <protection hidden="1"/>
    </xf>
    <xf numFmtId="165" fontId="13" fillId="0" borderId="0" xfId="0" applyNumberFormat="1" applyFont="1" applyAlignment="1" applyProtection="1">
      <alignment horizontal="right" vertical="center"/>
      <protection hidden="1"/>
    </xf>
    <xf numFmtId="165" fontId="33" fillId="0" borderId="0" xfId="0" applyNumberFormat="1" applyFont="1" applyAlignment="1">
      <alignment horizontal="left" vertical="center"/>
    </xf>
    <xf numFmtId="165" fontId="28" fillId="0" borderId="0" xfId="0" applyNumberFormat="1" applyFont="1" applyAlignment="1">
      <alignment horizontal="left" vertical="center"/>
    </xf>
    <xf numFmtId="165" fontId="29" fillId="0" borderId="0" xfId="0" applyNumberFormat="1" applyFont="1" applyAlignment="1">
      <alignment horizontal="left" vertical="center"/>
    </xf>
    <xf numFmtId="165" fontId="20" fillId="0" borderId="0" xfId="0" applyNumberFormat="1" applyFont="1" applyAlignment="1">
      <alignment horizontal="left" vertical="center"/>
    </xf>
    <xf numFmtId="165" fontId="21" fillId="0" borderId="0" xfId="0" applyNumberFormat="1" applyFont="1" applyAlignment="1">
      <alignment horizontal="left" vertical="center"/>
    </xf>
    <xf numFmtId="165" fontId="30" fillId="0" borderId="0" xfId="0" applyNumberFormat="1" applyFont="1" applyAlignment="1" applyProtection="1">
      <alignment horizontal="left" vertical="center"/>
      <protection hidden="1"/>
    </xf>
    <xf numFmtId="165" fontId="18" fillId="0" borderId="0" xfId="0" applyNumberFormat="1" applyFont="1" applyAlignment="1" applyProtection="1">
      <alignment horizontal="left" vertical="center"/>
      <protection hidden="1"/>
    </xf>
    <xf numFmtId="165" fontId="31" fillId="0" borderId="0" xfId="0" applyNumberFormat="1" applyFont="1" applyAlignment="1" applyProtection="1">
      <alignment horizontal="left" vertical="center"/>
      <protection hidden="1"/>
    </xf>
    <xf numFmtId="165" fontId="28" fillId="0" borderId="0" xfId="0" applyNumberFormat="1" applyFont="1" applyAlignment="1">
      <alignment horizontal="right" vertical="center"/>
    </xf>
    <xf numFmtId="165" fontId="29" fillId="0" borderId="0" xfId="0" applyNumberFormat="1" applyFont="1" applyAlignment="1">
      <alignment horizontal="right" vertical="center"/>
    </xf>
    <xf numFmtId="165" fontId="20" fillId="3" borderId="0" xfId="0" applyNumberFormat="1" applyFont="1" applyFill="1" applyAlignment="1">
      <alignment horizontal="right" vertical="center"/>
    </xf>
    <xf numFmtId="165" fontId="11" fillId="0" borderId="0" xfId="0" applyNumberFormat="1" applyFont="1" applyAlignment="1">
      <alignment horizontal="right" vertical="center"/>
    </xf>
    <xf numFmtId="165" fontId="32" fillId="0" borderId="0" xfId="1" applyNumberFormat="1" applyFont="1" applyFill="1" applyBorder="1" applyAlignment="1" applyProtection="1">
      <alignment horizontal="right" vertical="center"/>
      <protection hidden="1"/>
    </xf>
    <xf numFmtId="165" fontId="32" fillId="3" borderId="0" xfId="1" applyNumberFormat="1" applyFont="1" applyFill="1" applyBorder="1" applyAlignment="1" applyProtection="1">
      <alignment horizontal="right" vertical="center"/>
      <protection hidden="1"/>
    </xf>
    <xf numFmtId="165" fontId="35" fillId="0" borderId="0" xfId="0" applyNumberFormat="1" applyFont="1" applyAlignment="1" applyProtection="1">
      <alignment horizontal="left" vertical="center"/>
      <protection hidden="1"/>
    </xf>
    <xf numFmtId="165" fontId="24" fillId="0" borderId="0" xfId="0" applyNumberFormat="1" applyFont="1" applyAlignment="1" applyProtection="1">
      <alignment horizontal="right" vertical="center"/>
      <protection hidden="1"/>
    </xf>
    <xf numFmtId="165" fontId="20" fillId="2" borderId="0" xfId="0" applyNumberFormat="1" applyFont="1" applyFill="1" applyAlignment="1">
      <alignment horizontal="right" vertical="center"/>
    </xf>
    <xf numFmtId="165" fontId="20" fillId="3" borderId="0" xfId="0" applyNumberFormat="1" applyFont="1" applyFill="1" applyAlignment="1" applyProtection="1">
      <alignment horizontal="right" vertical="center"/>
      <protection hidden="1"/>
    </xf>
    <xf numFmtId="165" fontId="25" fillId="3" borderId="0" xfId="0" applyNumberFormat="1" applyFont="1" applyFill="1" applyAlignment="1" applyProtection="1">
      <alignment horizontal="left" vertical="center"/>
      <protection hidden="1"/>
    </xf>
    <xf numFmtId="9" fontId="20" fillId="0" borderId="0" xfId="1" applyFont="1" applyFill="1" applyBorder="1" applyAlignment="1" applyProtection="1">
      <alignment horizontal="right" vertical="center"/>
      <protection hidden="1"/>
    </xf>
    <xf numFmtId="14" fontId="20" fillId="0" borderId="0" xfId="1" applyNumberFormat="1" applyFont="1" applyFill="1" applyBorder="1" applyAlignment="1" applyProtection="1">
      <alignment horizontal="right" vertical="center"/>
      <protection hidden="1"/>
    </xf>
    <xf numFmtId="164" fontId="20" fillId="0" borderId="0" xfId="1" applyNumberFormat="1" applyFont="1" applyFill="1" applyBorder="1" applyAlignment="1" applyProtection="1">
      <alignment horizontal="right" vertical="center"/>
      <protection hidden="1"/>
    </xf>
    <xf numFmtId="165" fontId="28" fillId="3" borderId="0" xfId="0" applyNumberFormat="1" applyFont="1" applyFill="1" applyAlignment="1">
      <alignment horizontal="left" vertical="center"/>
    </xf>
    <xf numFmtId="165" fontId="38" fillId="0" borderId="0" xfId="3" applyNumberFormat="1" applyFont="1" applyAlignment="1">
      <alignment horizontal="right" vertical="center"/>
    </xf>
    <xf numFmtId="1" fontId="32" fillId="0" borderId="0" xfId="1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horizontal="right" vertical="center"/>
      <protection hidden="1"/>
    </xf>
    <xf numFmtId="165" fontId="21" fillId="0" borderId="0" xfId="0" applyNumberFormat="1" applyFont="1" applyAlignment="1" applyProtection="1">
      <alignment horizontal="left" vertical="center"/>
      <protection hidden="1"/>
    </xf>
    <xf numFmtId="165" fontId="34" fillId="0" borderId="0" xfId="1" applyNumberFormat="1" applyFont="1" applyFill="1" applyBorder="1" applyAlignment="1" applyProtection="1">
      <alignment horizontal="right" vertical="center"/>
      <protection hidden="1"/>
    </xf>
    <xf numFmtId="165" fontId="32" fillId="0" borderId="0" xfId="0" applyNumberFormat="1" applyFont="1" applyAlignment="1">
      <alignment horizontal="left" vertical="center"/>
    </xf>
    <xf numFmtId="165" fontId="26" fillId="0" borderId="0" xfId="0" applyNumberFormat="1" applyFont="1" applyAlignment="1" applyProtection="1">
      <alignment horizontal="left" vertical="center"/>
      <protection hidden="1"/>
    </xf>
    <xf numFmtId="9" fontId="32" fillId="0" borderId="0" xfId="1" applyFont="1" applyFill="1" applyBorder="1" applyAlignment="1" applyProtection="1">
      <alignment horizontal="right" vertical="center"/>
      <protection hidden="1"/>
    </xf>
    <xf numFmtId="165" fontId="21" fillId="0" borderId="0" xfId="0" applyNumberFormat="1" applyFont="1" applyAlignment="1" applyProtection="1">
      <alignment horizontal="right" vertical="center"/>
      <protection hidden="1"/>
    </xf>
    <xf numFmtId="165" fontId="21" fillId="3" borderId="0" xfId="0" applyNumberFormat="1" applyFont="1" applyFill="1" applyAlignment="1" applyProtection="1">
      <alignment horizontal="right" vertical="center"/>
      <protection hidden="1"/>
    </xf>
    <xf numFmtId="165" fontId="20" fillId="3" borderId="0" xfId="0" applyNumberFormat="1" applyFont="1" applyFill="1" applyAlignment="1" applyProtection="1">
      <alignment horizontal="left" vertical="center"/>
      <protection hidden="1"/>
    </xf>
    <xf numFmtId="165" fontId="31" fillId="0" borderId="0" xfId="0" applyNumberFormat="1" applyFont="1" applyAlignment="1" applyProtection="1">
      <alignment horizontal="right" vertical="center"/>
      <protection hidden="1"/>
    </xf>
    <xf numFmtId="165" fontId="26" fillId="0" borderId="0" xfId="0" applyNumberFormat="1" applyFont="1" applyAlignment="1">
      <alignment horizontal="right" vertical="center"/>
    </xf>
    <xf numFmtId="164" fontId="26" fillId="0" borderId="0" xfId="1" applyNumberFormat="1" applyFont="1" applyFill="1" applyBorder="1" applyAlignment="1" applyProtection="1">
      <alignment horizontal="right" vertical="center"/>
      <protection hidden="1"/>
    </xf>
    <xf numFmtId="165" fontId="26" fillId="3" borderId="0" xfId="0" applyNumberFormat="1" applyFont="1" applyFill="1" applyAlignment="1">
      <alignment horizontal="right" vertical="center"/>
    </xf>
    <xf numFmtId="165" fontId="18" fillId="0" borderId="0" xfId="0" applyNumberFormat="1" applyFont="1" applyAlignment="1">
      <alignment horizontal="right" vertical="center"/>
    </xf>
    <xf numFmtId="165" fontId="21" fillId="0" borderId="0" xfId="0" applyNumberFormat="1" applyFont="1" applyAlignment="1">
      <alignment horizontal="right" vertical="center"/>
    </xf>
    <xf numFmtId="165" fontId="18" fillId="3" borderId="0" xfId="0" applyNumberFormat="1" applyFont="1" applyFill="1" applyAlignment="1">
      <alignment horizontal="right" vertical="center"/>
    </xf>
    <xf numFmtId="9" fontId="32" fillId="0" borderId="0" xfId="1" applyFont="1" applyAlignment="1" applyProtection="1">
      <alignment horizontal="right" vertical="center"/>
      <protection hidden="1"/>
    </xf>
    <xf numFmtId="165" fontId="12" fillId="3" borderId="0" xfId="0" applyNumberFormat="1" applyFont="1" applyFill="1" applyAlignment="1">
      <alignment horizontal="left" vertical="center"/>
    </xf>
    <xf numFmtId="165" fontId="25" fillId="0" borderId="0" xfId="1" applyNumberFormat="1" applyFont="1" applyFill="1" applyBorder="1" applyAlignment="1" applyProtection="1">
      <alignment horizontal="right" vertical="center"/>
      <protection hidden="1"/>
    </xf>
    <xf numFmtId="9" fontId="27" fillId="0" borderId="0" xfId="1" applyFont="1" applyFill="1" applyBorder="1" applyAlignment="1" applyProtection="1">
      <alignment horizontal="right" vertical="center"/>
      <protection hidden="1"/>
    </xf>
    <xf numFmtId="165" fontId="36" fillId="0" borderId="0" xfId="0" applyNumberFormat="1" applyFont="1" applyAlignment="1">
      <alignment vertical="center"/>
    </xf>
    <xf numFmtId="165" fontId="37" fillId="0" borderId="0" xfId="0" applyNumberFormat="1" applyFont="1" applyAlignment="1" applyProtection="1">
      <alignment horizontal="left" vertical="center"/>
      <protection hidden="1"/>
    </xf>
    <xf numFmtId="165" fontId="19" fillId="3" borderId="0" xfId="3" applyNumberFormat="1" applyFont="1" applyFill="1" applyBorder="1" applyAlignment="1" applyProtection="1">
      <alignment horizontal="right" vertical="center"/>
      <protection hidden="1"/>
    </xf>
    <xf numFmtId="1" fontId="25" fillId="0" borderId="0" xfId="1" applyNumberFormat="1" applyFont="1" applyFill="1" applyBorder="1" applyAlignment="1" applyProtection="1">
      <alignment horizontal="right" vertical="center"/>
      <protection hidden="1"/>
    </xf>
    <xf numFmtId="9" fontId="27" fillId="0" borderId="0" xfId="1" applyFont="1" applyFill="1" applyBorder="1" applyAlignment="1" applyProtection="1">
      <alignment horizontal="left" vertical="center"/>
      <protection hidden="1"/>
    </xf>
    <xf numFmtId="9" fontId="25" fillId="3" borderId="0" xfId="1" applyFont="1" applyFill="1" applyBorder="1" applyAlignment="1" applyProtection="1">
      <alignment horizontal="right" vertical="center"/>
      <protection hidden="1"/>
    </xf>
    <xf numFmtId="9" fontId="25" fillId="0" borderId="0" xfId="1" applyFont="1" applyFill="1" applyBorder="1" applyAlignment="1" applyProtection="1">
      <alignment horizontal="right" vertical="center"/>
      <protection hidden="1"/>
    </xf>
    <xf numFmtId="9" fontId="27" fillId="0" borderId="0" xfId="1" applyFont="1" applyFill="1" applyBorder="1" applyAlignment="1">
      <alignment horizontal="left" vertical="center"/>
    </xf>
    <xf numFmtId="165" fontId="21" fillId="3" borderId="0" xfId="0" applyNumberFormat="1" applyFont="1" applyFill="1" applyAlignment="1">
      <alignment horizontal="right" vertical="center"/>
    </xf>
    <xf numFmtId="166" fontId="17" fillId="0" borderId="0" xfId="0" applyNumberFormat="1" applyFont="1" applyAlignment="1" applyProtection="1">
      <alignment horizontal="right" vertical="center"/>
      <protection hidden="1"/>
    </xf>
    <xf numFmtId="165" fontId="30" fillId="0" borderId="0" xfId="0" applyNumberFormat="1" applyFont="1" applyAlignment="1" applyProtection="1">
      <alignment horizontal="right" vertical="center"/>
      <protection hidden="1"/>
    </xf>
    <xf numFmtId="165" fontId="21" fillId="0" borderId="1" xfId="0" applyNumberFormat="1" applyFont="1" applyBorder="1" applyAlignment="1" applyProtection="1">
      <alignment horizontal="left" vertical="center"/>
      <protection hidden="1"/>
    </xf>
    <xf numFmtId="165" fontId="25" fillId="0" borderId="1" xfId="0" applyNumberFormat="1" applyFont="1" applyBorder="1" applyAlignment="1" applyProtection="1">
      <alignment horizontal="left" vertical="center"/>
      <protection hidden="1"/>
    </xf>
    <xf numFmtId="165" fontId="20" fillId="0" borderId="1" xfId="0" applyNumberFormat="1" applyFont="1" applyBorder="1" applyAlignment="1">
      <alignment horizontal="right" vertical="center"/>
    </xf>
    <xf numFmtId="165" fontId="20" fillId="0" borderId="1" xfId="1" applyNumberFormat="1" applyFont="1" applyFill="1" applyBorder="1" applyAlignment="1" applyProtection="1">
      <alignment horizontal="right" vertical="center"/>
      <protection hidden="1"/>
    </xf>
    <xf numFmtId="9" fontId="32" fillId="0" borderId="0" xfId="1" applyFont="1" applyAlignment="1" applyProtection="1">
      <alignment horizontal="right"/>
      <protection hidden="1"/>
    </xf>
    <xf numFmtId="165" fontId="10" fillId="4" borderId="4" xfId="8">
      <alignment horizontal="right"/>
      <protection hidden="1"/>
    </xf>
    <xf numFmtId="9" fontId="10" fillId="4" borderId="4" xfId="1" applyFont="1" applyFill="1" applyBorder="1" applyAlignment="1" applyProtection="1">
      <alignment horizontal="right"/>
      <protection hidden="1"/>
    </xf>
    <xf numFmtId="165" fontId="10" fillId="0" borderId="0" xfId="0" applyNumberFormat="1" applyFont="1" applyAlignment="1" applyProtection="1">
      <alignment horizontal="right" vertical="center"/>
      <protection hidden="1"/>
    </xf>
    <xf numFmtId="165" fontId="25" fillId="0" borderId="0" xfId="4" applyFont="1" applyAlignment="1">
      <alignment horizontal="left" vertical="center"/>
      <protection hidden="1"/>
    </xf>
    <xf numFmtId="9" fontId="25" fillId="0" borderId="0" xfId="4" applyNumberFormat="1" applyFont="1" applyAlignment="1">
      <alignment horizontal="right" vertical="center"/>
      <protection hidden="1"/>
    </xf>
    <xf numFmtId="165" fontId="25" fillId="0" borderId="0" xfId="0" applyNumberFormat="1" applyFont="1" applyAlignment="1" applyProtection="1">
      <alignment vertical="center"/>
      <protection hidden="1"/>
    </xf>
    <xf numFmtId="165" fontId="25" fillId="0" borderId="0" xfId="0" applyNumberFormat="1" applyFont="1" applyAlignment="1">
      <alignment vertical="center"/>
    </xf>
    <xf numFmtId="14" fontId="10" fillId="4" borderId="4" xfId="8" applyNumberFormat="1">
      <alignment horizontal="right"/>
      <protection hidden="1"/>
    </xf>
    <xf numFmtId="165" fontId="32" fillId="0" borderId="1" xfId="1" applyNumberFormat="1" applyFont="1" applyFill="1" applyBorder="1" applyAlignment="1" applyProtection="1">
      <alignment horizontal="right" vertical="center"/>
      <protection hidden="1"/>
    </xf>
    <xf numFmtId="164" fontId="20" fillId="0" borderId="1" xfId="1" applyNumberFormat="1" applyFont="1" applyFill="1" applyBorder="1" applyAlignment="1" applyProtection="1">
      <alignment horizontal="right" vertical="center"/>
      <protection hidden="1"/>
    </xf>
    <xf numFmtId="165" fontId="18" fillId="0" borderId="1" xfId="4" applyFont="1" applyBorder="1" applyAlignment="1">
      <alignment horizontal="left"/>
      <protection hidden="1"/>
    </xf>
    <xf numFmtId="165" fontId="10" fillId="0" borderId="0" xfId="0" applyNumberFormat="1" applyFont="1" applyAlignment="1" applyProtection="1">
      <alignment horizontal="left"/>
      <protection locked="0" hidden="1"/>
    </xf>
    <xf numFmtId="165" fontId="10" fillId="0" borderId="0" xfId="0" applyNumberFormat="1" applyFont="1" applyAlignment="1" applyProtection="1">
      <alignment vertical="top" wrapText="1"/>
      <protection locked="0" hidden="1"/>
    </xf>
    <xf numFmtId="165" fontId="10" fillId="3" borderId="0" xfId="0" applyNumberFormat="1" applyFont="1" applyFill="1" applyAlignment="1" applyProtection="1">
      <alignment vertical="center"/>
      <protection hidden="1"/>
    </xf>
    <xf numFmtId="165" fontId="10" fillId="3" borderId="0" xfId="0" applyNumberFormat="1" applyFont="1" applyFill="1" applyAlignment="1" applyProtection="1">
      <alignment horizontal="right" vertical="center"/>
      <protection hidden="1"/>
    </xf>
    <xf numFmtId="165" fontId="10" fillId="0" borderId="0" xfId="0" applyNumberFormat="1" applyFont="1" applyAlignment="1">
      <alignment horizontal="right" vertical="center"/>
    </xf>
    <xf numFmtId="165" fontId="10" fillId="3" borderId="0" xfId="0" applyNumberFormat="1" applyFont="1" applyFill="1" applyAlignment="1">
      <alignment horizontal="right" vertical="center"/>
    </xf>
    <xf numFmtId="165" fontId="10" fillId="2" borderId="0" xfId="0" applyNumberFormat="1" applyFont="1" applyFill="1" applyAlignment="1">
      <alignment horizontal="right" vertical="center"/>
    </xf>
    <xf numFmtId="165" fontId="10" fillId="0" borderId="0" xfId="0" applyNumberFormat="1" applyFont="1" applyAlignment="1" applyProtection="1">
      <alignment vertical="center"/>
      <protection hidden="1"/>
    </xf>
    <xf numFmtId="165" fontId="10" fillId="0" borderId="0" xfId="0" applyNumberFormat="1" applyFont="1" applyAlignment="1">
      <alignment horizontal="left" vertical="center"/>
    </xf>
    <xf numFmtId="9" fontId="10" fillId="0" borderId="0" xfId="1" applyFont="1" applyAlignment="1" applyProtection="1">
      <alignment horizontal="right" vertical="center"/>
      <protection hidden="1"/>
    </xf>
    <xf numFmtId="165" fontId="10" fillId="0" borderId="1" xfId="0" applyNumberFormat="1" applyFont="1" applyBorder="1" applyAlignment="1" applyProtection="1">
      <alignment horizontal="right" vertical="center"/>
      <protection hidden="1"/>
    </xf>
    <xf numFmtId="165" fontId="10" fillId="0" borderId="0" xfId="1" applyNumberFormat="1" applyFont="1" applyFill="1" applyBorder="1" applyAlignment="1" applyProtection="1">
      <alignment horizontal="right" vertical="center"/>
      <protection hidden="1"/>
    </xf>
    <xf numFmtId="165" fontId="10" fillId="3" borderId="0" xfId="0" applyNumberFormat="1" applyFont="1" applyFill="1" applyAlignment="1">
      <alignment horizontal="left" vertical="center"/>
    </xf>
    <xf numFmtId="165" fontId="10" fillId="0" borderId="0" xfId="0" applyNumberFormat="1" applyFont="1" applyAlignment="1" applyProtection="1">
      <alignment horizontal="left" vertical="center"/>
      <protection hidden="1"/>
    </xf>
    <xf numFmtId="165" fontId="36" fillId="0" borderId="0" xfId="0" applyNumberFormat="1" applyFont="1" applyAlignment="1">
      <alignment horizontal="left" vertical="center"/>
    </xf>
    <xf numFmtId="165" fontId="17" fillId="6" borderId="0" xfId="0" applyNumberFormat="1" applyFont="1" applyFill="1" applyAlignment="1">
      <alignment horizontal="left" vertical="center"/>
    </xf>
    <xf numFmtId="165" fontId="17" fillId="6" borderId="0" xfId="0" applyNumberFormat="1" applyFont="1" applyFill="1" applyAlignment="1" applyProtection="1">
      <alignment horizontal="right" vertical="center"/>
      <protection hidden="1"/>
    </xf>
    <xf numFmtId="165" fontId="18" fillId="5" borderId="1" xfId="0" applyNumberFormat="1" applyFont="1" applyFill="1" applyBorder="1" applyAlignment="1">
      <alignment horizontal="left" vertical="center"/>
    </xf>
    <xf numFmtId="165" fontId="24" fillId="5" borderId="1" xfId="0" applyNumberFormat="1" applyFont="1" applyFill="1" applyBorder="1" applyAlignment="1" applyProtection="1">
      <alignment horizontal="left" vertical="center"/>
      <protection hidden="1"/>
    </xf>
    <xf numFmtId="165" fontId="24" fillId="5" borderId="1" xfId="0" applyNumberFormat="1" applyFont="1" applyFill="1" applyBorder="1" applyAlignment="1" applyProtection="1">
      <alignment horizontal="right" vertical="center"/>
      <protection hidden="1"/>
    </xf>
    <xf numFmtId="165" fontId="21" fillId="5" borderId="1" xfId="1" applyNumberFormat="1" applyFont="1" applyFill="1" applyBorder="1" applyAlignment="1" applyProtection="1">
      <alignment horizontal="right" vertical="center"/>
      <protection hidden="1"/>
    </xf>
    <xf numFmtId="165" fontId="10" fillId="8" borderId="0" xfId="0" applyNumberFormat="1" applyFont="1" applyFill="1" applyAlignment="1">
      <alignment horizontal="left" vertical="center"/>
    </xf>
    <xf numFmtId="167" fontId="20" fillId="0" borderId="0" xfId="1" applyNumberFormat="1" applyFont="1" applyFill="1" applyBorder="1" applyAlignment="1" applyProtection="1">
      <alignment horizontal="right"/>
      <protection hidden="1"/>
    </xf>
    <xf numFmtId="165" fontId="28" fillId="3" borderId="0" xfId="0" applyNumberFormat="1" applyFont="1" applyFill="1"/>
    <xf numFmtId="165" fontId="10" fillId="7" borderId="0" xfId="0" applyNumberFormat="1" applyFont="1" applyFill="1" applyAlignment="1">
      <alignment horizontal="left"/>
    </xf>
    <xf numFmtId="165" fontId="10" fillId="0" borderId="0" xfId="0" applyNumberFormat="1" applyFont="1" applyAlignment="1">
      <alignment horizontal="left"/>
    </xf>
    <xf numFmtId="165" fontId="20" fillId="0" borderId="0" xfId="0" applyNumberFormat="1" applyFont="1" applyAlignment="1" applyProtection="1">
      <alignment horizontal="left"/>
      <protection hidden="1"/>
    </xf>
    <xf numFmtId="165" fontId="18" fillId="5" borderId="1" xfId="0" applyNumberFormat="1" applyFont="1" applyFill="1" applyBorder="1" applyAlignment="1">
      <alignment horizontal="left"/>
    </xf>
    <xf numFmtId="165" fontId="18" fillId="0" borderId="0" xfId="0" applyNumberFormat="1" applyFont="1" applyAlignment="1">
      <alignment horizontal="left"/>
    </xf>
    <xf numFmtId="165" fontId="28" fillId="0" borderId="0" xfId="0" applyNumberFormat="1" applyFont="1" applyAlignment="1">
      <alignment horizontal="left"/>
    </xf>
    <xf numFmtId="165" fontId="29" fillId="0" borderId="0" xfId="0" applyNumberFormat="1" applyFont="1" applyAlignment="1">
      <alignment horizontal="left"/>
    </xf>
    <xf numFmtId="165" fontId="20" fillId="0" borderId="0" xfId="0" applyNumberFormat="1" applyFont="1" applyAlignment="1">
      <alignment horizontal="left"/>
    </xf>
    <xf numFmtId="165" fontId="21" fillId="0" borderId="0" xfId="0" applyNumberFormat="1" applyFont="1" applyAlignment="1">
      <alignment horizontal="left"/>
    </xf>
    <xf numFmtId="165" fontId="10" fillId="0" borderId="0" xfId="0" applyNumberFormat="1" applyFont="1" applyAlignment="1" applyProtection="1">
      <alignment horizontal="right"/>
      <protection hidden="1"/>
    </xf>
    <xf numFmtId="165" fontId="31" fillId="0" borderId="0" xfId="0" applyNumberFormat="1" applyFont="1" applyAlignment="1" applyProtection="1">
      <alignment horizontal="left"/>
      <protection hidden="1"/>
    </xf>
    <xf numFmtId="165" fontId="30" fillId="0" borderId="0" xfId="0" applyNumberFormat="1" applyFont="1" applyAlignment="1" applyProtection="1">
      <alignment horizontal="left"/>
      <protection hidden="1"/>
    </xf>
    <xf numFmtId="165" fontId="21" fillId="0" borderId="1" xfId="0" applyNumberFormat="1" applyFont="1" applyBorder="1" applyAlignment="1" applyProtection="1">
      <alignment horizontal="left"/>
      <protection hidden="1"/>
    </xf>
    <xf numFmtId="165" fontId="18" fillId="0" borderId="0" xfId="0" applyNumberFormat="1" applyFont="1" applyAlignment="1">
      <alignment horizontal="right"/>
    </xf>
    <xf numFmtId="165" fontId="33" fillId="0" borderId="0" xfId="0" applyNumberFormat="1" applyFont="1" applyAlignment="1">
      <alignment horizontal="left"/>
    </xf>
    <xf numFmtId="165" fontId="28" fillId="3" borderId="0" xfId="0" applyNumberFormat="1" applyFont="1" applyFill="1" applyAlignment="1">
      <alignment horizontal="left"/>
    </xf>
    <xf numFmtId="167" fontId="40" fillId="0" borderId="0" xfId="3" applyNumberFormat="1" applyFont="1" applyBorder="1" applyAlignment="1">
      <alignment horizontal="left" vertical="center"/>
    </xf>
    <xf numFmtId="167" fontId="41" fillId="0" borderId="0" xfId="3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31" fillId="0" borderId="1" xfId="0" applyNumberFormat="1" applyFont="1" applyBorder="1" applyAlignment="1" applyProtection="1">
      <alignment horizontal="left" vertical="center"/>
      <protection hidden="1"/>
    </xf>
    <xf numFmtId="165" fontId="28" fillId="0" borderId="1" xfId="0" applyNumberFormat="1" applyFont="1" applyBorder="1" applyAlignment="1">
      <alignment horizontal="left" vertical="center"/>
    </xf>
    <xf numFmtId="165" fontId="10" fillId="0" borderId="1" xfId="0" applyNumberFormat="1" applyFont="1" applyBorder="1" applyAlignment="1">
      <alignment horizontal="left" vertical="center"/>
    </xf>
    <xf numFmtId="165" fontId="32" fillId="0" borderId="1" xfId="0" applyNumberFormat="1" applyFont="1" applyBorder="1" applyAlignment="1">
      <alignment horizontal="left" vertical="center"/>
    </xf>
    <xf numFmtId="165" fontId="24" fillId="0" borderId="1" xfId="0" applyNumberFormat="1" applyFont="1" applyBorder="1" applyAlignment="1" applyProtection="1">
      <alignment horizontal="left" vertical="center"/>
      <protection hidden="1"/>
    </xf>
    <xf numFmtId="165" fontId="20" fillId="0" borderId="1" xfId="0" applyNumberFormat="1" applyFont="1" applyBorder="1" applyAlignment="1" applyProtection="1">
      <alignment horizontal="left" vertical="center"/>
      <protection hidden="1"/>
    </xf>
    <xf numFmtId="167" fontId="25" fillId="0" borderId="0" xfId="0" applyNumberFormat="1" applyFont="1" applyAlignment="1" applyProtection="1">
      <alignment horizontal="right"/>
      <protection hidden="1"/>
    </xf>
    <xf numFmtId="167" fontId="25" fillId="0" borderId="0" xfId="1" applyNumberFormat="1" applyFont="1" applyFill="1" applyBorder="1" applyAlignment="1" applyProtection="1">
      <alignment horizontal="right"/>
      <protection hidden="1"/>
    </xf>
    <xf numFmtId="167" fontId="10" fillId="4" borderId="4" xfId="8" applyNumberFormat="1">
      <alignment horizontal="right"/>
      <protection hidden="1"/>
    </xf>
    <xf numFmtId="167" fontId="10" fillId="0" borderId="0" xfId="0" applyNumberFormat="1" applyFont="1" applyAlignment="1" applyProtection="1">
      <alignment horizontal="right"/>
      <protection hidden="1"/>
    </xf>
    <xf numFmtId="167" fontId="21" fillId="0" borderId="0" xfId="1" applyNumberFormat="1" applyFont="1" applyFill="1" applyBorder="1" applyAlignment="1" applyProtection="1">
      <alignment horizontal="right"/>
      <protection hidden="1"/>
    </xf>
    <xf numFmtId="167" fontId="28" fillId="0" borderId="0" xfId="0" applyNumberFormat="1" applyFont="1" applyAlignment="1">
      <alignment horizontal="right"/>
    </xf>
    <xf numFmtId="9" fontId="27" fillId="0" borderId="0" xfId="1" applyFont="1" applyFill="1" applyBorder="1" applyAlignment="1">
      <alignment horizontal="left"/>
    </xf>
    <xf numFmtId="165" fontId="31" fillId="0" borderId="1" xfId="0" applyNumberFormat="1" applyFont="1" applyBorder="1" applyAlignment="1" applyProtection="1">
      <alignment horizontal="left"/>
      <protection hidden="1"/>
    </xf>
    <xf numFmtId="165" fontId="18" fillId="0" borderId="1" xfId="0" applyNumberFormat="1" applyFont="1" applyBorder="1" applyAlignment="1">
      <alignment horizontal="left"/>
    </xf>
    <xf numFmtId="165" fontId="28" fillId="0" borderId="1" xfId="0" applyNumberFormat="1" applyFont="1" applyBorder="1" applyAlignment="1">
      <alignment horizontal="left"/>
    </xf>
    <xf numFmtId="165" fontId="10" fillId="0" borderId="1" xfId="0" applyNumberFormat="1" applyFont="1" applyBorder="1" applyAlignment="1">
      <alignment horizontal="left"/>
    </xf>
    <xf numFmtId="165" fontId="32" fillId="0" borderId="0" xfId="0" applyNumberFormat="1" applyFont="1" applyAlignment="1">
      <alignment horizontal="left"/>
    </xf>
    <xf numFmtId="165" fontId="32" fillId="0" borderId="1" xfId="0" applyNumberFormat="1" applyFont="1" applyBorder="1" applyAlignment="1">
      <alignment horizontal="left"/>
    </xf>
    <xf numFmtId="165" fontId="20" fillId="0" borderId="0" xfId="0" applyNumberFormat="1" applyFont="1" applyAlignment="1">
      <alignment horizontal="right"/>
    </xf>
    <xf numFmtId="165" fontId="21" fillId="0" borderId="0" xfId="0" applyNumberFormat="1" applyFont="1" applyAlignment="1" applyProtection="1">
      <alignment horizontal="left"/>
      <protection hidden="1"/>
    </xf>
    <xf numFmtId="165" fontId="20" fillId="0" borderId="1" xfId="0" applyNumberFormat="1" applyFont="1" applyBorder="1" applyAlignment="1" applyProtection="1">
      <alignment horizontal="left"/>
      <protection hidden="1"/>
    </xf>
    <xf numFmtId="167" fontId="20" fillId="0" borderId="0" xfId="0" applyNumberFormat="1" applyFont="1" applyAlignment="1">
      <alignment horizontal="right"/>
    </xf>
    <xf numFmtId="167" fontId="18" fillId="0" borderId="0" xfId="0" applyNumberFormat="1" applyFont="1" applyAlignment="1" applyProtection="1">
      <alignment horizontal="right"/>
      <protection hidden="1"/>
    </xf>
    <xf numFmtId="167" fontId="32" fillId="0" borderId="0" xfId="1" applyNumberFormat="1" applyFont="1" applyFill="1" applyBorder="1" applyAlignment="1" applyProtection="1">
      <alignment horizontal="right"/>
      <protection hidden="1"/>
    </xf>
    <xf numFmtId="167" fontId="24" fillId="0" borderId="0" xfId="0" applyNumberFormat="1" applyFont="1" applyAlignment="1" applyProtection="1">
      <alignment horizontal="right"/>
      <protection hidden="1"/>
    </xf>
    <xf numFmtId="167" fontId="20" fillId="0" borderId="0" xfId="0" applyNumberFormat="1" applyFont="1" applyAlignment="1" applyProtection="1">
      <alignment horizontal="right"/>
      <protection hidden="1"/>
    </xf>
    <xf numFmtId="167" fontId="27" fillId="0" borderId="0" xfId="0" applyNumberFormat="1" applyFont="1" applyAlignment="1" applyProtection="1">
      <alignment horizontal="right"/>
      <protection hidden="1"/>
    </xf>
    <xf numFmtId="167" fontId="26" fillId="0" borderId="0" xfId="1" applyNumberFormat="1" applyFont="1" applyFill="1" applyBorder="1" applyAlignment="1" applyProtection="1">
      <alignment horizontal="right"/>
      <protection hidden="1"/>
    </xf>
    <xf numFmtId="167" fontId="23" fillId="0" borderId="0" xfId="0" applyNumberFormat="1" applyFont="1" applyAlignment="1" applyProtection="1">
      <alignment horizontal="right"/>
      <protection hidden="1"/>
    </xf>
    <xf numFmtId="167" fontId="35" fillId="0" borderId="0" xfId="0" applyNumberFormat="1" applyFont="1" applyAlignment="1" applyProtection="1">
      <alignment horizontal="right"/>
      <protection hidden="1"/>
    </xf>
    <xf numFmtId="167" fontId="20" fillId="3" borderId="0" xfId="0" applyNumberFormat="1" applyFont="1" applyFill="1" applyAlignment="1">
      <alignment horizontal="right"/>
    </xf>
    <xf numFmtId="167" fontId="29" fillId="0" borderId="0" xfId="0" applyNumberFormat="1" applyFont="1" applyAlignment="1">
      <alignment horizontal="right"/>
    </xf>
    <xf numFmtId="167" fontId="21" fillId="3" borderId="0" xfId="0" applyNumberFormat="1" applyFont="1" applyFill="1" applyAlignment="1">
      <alignment horizontal="right"/>
    </xf>
    <xf numFmtId="167" fontId="10" fillId="3" borderId="0" xfId="0" applyNumberFormat="1" applyFont="1" applyFill="1" applyAlignment="1">
      <alignment horizontal="right"/>
    </xf>
    <xf numFmtId="167" fontId="12" fillId="0" borderId="0" xfId="0" applyNumberFormat="1" applyFont="1" applyAlignment="1">
      <alignment horizontal="right"/>
    </xf>
    <xf numFmtId="165" fontId="10" fillId="5" borderId="0" xfId="0" applyNumberFormat="1" applyFont="1" applyFill="1" applyAlignment="1">
      <alignment horizontal="left"/>
    </xf>
    <xf numFmtId="167" fontId="42" fillId="0" borderId="0" xfId="3" applyNumberFormat="1" applyFont="1" applyBorder="1" applyAlignment="1">
      <alignment horizontal="left" vertical="center"/>
    </xf>
    <xf numFmtId="165" fontId="18" fillId="0" borderId="0" xfId="0" applyNumberFormat="1" applyFont="1" applyAlignment="1" applyProtection="1">
      <alignment horizontal="left"/>
      <protection hidden="1"/>
    </xf>
    <xf numFmtId="165" fontId="26" fillId="0" borderId="0" xfId="0" applyNumberFormat="1" applyFont="1" applyAlignment="1" applyProtection="1">
      <alignment horizontal="left"/>
      <protection hidden="1"/>
    </xf>
    <xf numFmtId="165" fontId="10" fillId="0" borderId="0" xfId="0" applyNumberFormat="1" applyFont="1" applyAlignment="1" applyProtection="1">
      <alignment horizontal="left"/>
      <protection hidden="1"/>
    </xf>
    <xf numFmtId="167" fontId="21" fillId="0" borderId="0" xfId="0" applyNumberFormat="1" applyFont="1" applyAlignment="1" applyProtection="1">
      <alignment horizontal="right"/>
      <protection hidden="1"/>
    </xf>
    <xf numFmtId="165" fontId="20" fillId="0" borderId="0" xfId="1" applyNumberFormat="1" applyFont="1" applyFill="1" applyBorder="1" applyAlignment="1" applyProtection="1">
      <alignment horizontal="right"/>
      <protection hidden="1"/>
    </xf>
    <xf numFmtId="165" fontId="31" fillId="0" borderId="0" xfId="0" applyNumberFormat="1" applyFont="1" applyAlignment="1" applyProtection="1">
      <alignment horizontal="left" vertical="center" wrapText="1"/>
      <protection locked="0"/>
    </xf>
    <xf numFmtId="167" fontId="32" fillId="0" borderId="0" xfId="1" applyNumberFormat="1" applyFont="1" applyFill="1" applyBorder="1" applyAlignment="1" applyProtection="1">
      <alignment horizontal="right"/>
      <protection locked="0" hidden="1"/>
    </xf>
    <xf numFmtId="167" fontId="31" fillId="0" borderId="0" xfId="0" applyNumberFormat="1" applyFont="1" applyAlignment="1" applyProtection="1">
      <alignment horizontal="right"/>
      <protection locked="0"/>
    </xf>
    <xf numFmtId="165" fontId="23" fillId="0" borderId="1" xfId="0" applyNumberFormat="1" applyFont="1" applyBorder="1" applyAlignment="1">
      <alignment horizontal="left"/>
    </xf>
    <xf numFmtId="165" fontId="43" fillId="0" borderId="0" xfId="0" applyNumberFormat="1" applyFont="1" applyAlignment="1" applyProtection="1">
      <alignment horizontal="left" indent="1"/>
      <protection locked="0"/>
    </xf>
    <xf numFmtId="165" fontId="30" fillId="0" borderId="5" xfId="0" applyNumberFormat="1" applyFont="1" applyBorder="1" applyAlignment="1" applyProtection="1">
      <alignment horizontal="right" vertical="top"/>
      <protection locked="0"/>
    </xf>
    <xf numFmtId="165" fontId="37" fillId="0" borderId="0" xfId="0" applyNumberFormat="1" applyFont="1" applyAlignment="1" applyProtection="1">
      <alignment vertical="center"/>
      <protection locked="0" hidden="1"/>
    </xf>
    <xf numFmtId="165" fontId="18" fillId="3" borderId="5" xfId="0" applyNumberFormat="1" applyFont="1" applyFill="1" applyBorder="1" applyAlignment="1" applyProtection="1">
      <alignment horizontal="left" vertical="top"/>
      <protection locked="0"/>
    </xf>
    <xf numFmtId="165" fontId="31" fillId="3" borderId="5" xfId="0" applyNumberFormat="1" applyFont="1" applyFill="1" applyBorder="1" applyAlignment="1" applyProtection="1">
      <alignment horizontal="right" vertical="top"/>
      <protection locked="0"/>
    </xf>
    <xf numFmtId="165" fontId="30" fillId="3" borderId="0" xfId="0" applyNumberFormat="1" applyFont="1" applyFill="1" applyAlignment="1" applyProtection="1">
      <alignment horizontal="left" vertical="top"/>
      <protection locked="0"/>
    </xf>
    <xf numFmtId="165" fontId="31" fillId="3" borderId="0" xfId="0" applyNumberFormat="1" applyFont="1" applyFill="1" applyAlignment="1" applyProtection="1">
      <alignment horizontal="right" vertical="top"/>
      <protection locked="0"/>
    </xf>
    <xf numFmtId="165" fontId="30" fillId="3" borderId="0" xfId="0" applyNumberFormat="1" applyFont="1" applyFill="1" applyAlignment="1" applyProtection="1">
      <alignment horizontal="right" vertical="top"/>
      <protection locked="0"/>
    </xf>
    <xf numFmtId="165" fontId="30" fillId="3" borderId="5" xfId="0" applyNumberFormat="1" applyFont="1" applyFill="1" applyBorder="1" applyAlignment="1" applyProtection="1">
      <alignment horizontal="right" vertical="top"/>
      <protection locked="0"/>
    </xf>
    <xf numFmtId="165" fontId="30" fillId="3" borderId="5" xfId="0" applyNumberFormat="1" applyFont="1" applyFill="1" applyBorder="1" applyAlignment="1" applyProtection="1">
      <alignment horizontal="left" vertical="top"/>
      <protection locked="0"/>
    </xf>
    <xf numFmtId="165" fontId="46" fillId="0" borderId="0" xfId="3" applyNumberFormat="1" applyFont="1" applyFill="1" applyAlignment="1" applyProtection="1">
      <alignment horizontal="right" indent="1"/>
      <protection locked="0"/>
    </xf>
    <xf numFmtId="165" fontId="18" fillId="3" borderId="1" xfId="0" applyNumberFormat="1" applyFont="1" applyFill="1" applyBorder="1" applyAlignment="1">
      <alignment horizontal="left"/>
    </xf>
    <xf numFmtId="165" fontId="18" fillId="3" borderId="1" xfId="0" applyNumberFormat="1" applyFont="1" applyFill="1" applyBorder="1" applyAlignment="1">
      <alignment horizontal="left" vertical="center"/>
    </xf>
    <xf numFmtId="165" fontId="24" fillId="3" borderId="3" xfId="0" applyNumberFormat="1" applyFont="1" applyFill="1" applyBorder="1" applyAlignment="1" applyProtection="1">
      <alignment horizontal="left" vertical="center"/>
      <protection hidden="1"/>
    </xf>
    <xf numFmtId="165" fontId="21" fillId="3" borderId="3" xfId="1" applyNumberFormat="1" applyFont="1" applyFill="1" applyBorder="1" applyAlignment="1" applyProtection="1">
      <alignment horizontal="right" vertical="center"/>
      <protection hidden="1"/>
    </xf>
    <xf numFmtId="167" fontId="21" fillId="3" borderId="3" xfId="1" applyNumberFormat="1" applyFont="1" applyFill="1" applyBorder="1" applyAlignment="1" applyProtection="1">
      <alignment horizontal="right"/>
      <protection hidden="1"/>
    </xf>
    <xf numFmtId="165" fontId="24" fillId="3" borderId="1" xfId="0" applyNumberFormat="1" applyFont="1" applyFill="1" applyBorder="1" applyAlignment="1" applyProtection="1">
      <alignment horizontal="left" vertical="center"/>
      <protection hidden="1"/>
    </xf>
    <xf numFmtId="165" fontId="18" fillId="3" borderId="2" xfId="0" applyNumberFormat="1" applyFont="1" applyFill="1" applyBorder="1" applyAlignment="1">
      <alignment horizontal="left"/>
    </xf>
    <xf numFmtId="165" fontId="24" fillId="3" borderId="3" xfId="0" applyNumberFormat="1" applyFont="1" applyFill="1" applyBorder="1" applyAlignment="1" applyProtection="1">
      <alignment horizontal="right" vertical="center"/>
      <protection hidden="1"/>
    </xf>
    <xf numFmtId="165" fontId="8" fillId="0" borderId="0" xfId="0" applyNumberFormat="1" applyFont="1" applyAlignment="1">
      <alignment horizontal="left"/>
    </xf>
    <xf numFmtId="165" fontId="24" fillId="0" borderId="1" xfId="0" applyNumberFormat="1" applyFont="1" applyBorder="1" applyAlignment="1" applyProtection="1">
      <alignment horizontal="right" vertical="center"/>
      <protection hidden="1"/>
    </xf>
    <xf numFmtId="165" fontId="21" fillId="0" borderId="1" xfId="1" applyNumberFormat="1" applyFont="1" applyFill="1" applyBorder="1" applyAlignment="1" applyProtection="1">
      <alignment horizontal="right" vertical="center"/>
      <protection hidden="1"/>
    </xf>
    <xf numFmtId="14" fontId="20" fillId="0" borderId="1" xfId="1" applyNumberFormat="1" applyFont="1" applyFill="1" applyBorder="1" applyAlignment="1" applyProtection="1">
      <alignment horizontal="right" vertical="center"/>
      <protection hidden="1"/>
    </xf>
    <xf numFmtId="165" fontId="11" fillId="3" borderId="0" xfId="0" applyNumberFormat="1" applyFont="1" applyFill="1" applyAlignment="1">
      <alignment horizontal="right" vertical="center"/>
    </xf>
    <xf numFmtId="165" fontId="18" fillId="3" borderId="3" xfId="0" applyNumberFormat="1" applyFont="1" applyFill="1" applyBorder="1" applyAlignment="1">
      <alignment horizontal="left"/>
    </xf>
    <xf numFmtId="165" fontId="18" fillId="3" borderId="3" xfId="0" applyNumberFormat="1" applyFont="1" applyFill="1" applyBorder="1" applyAlignment="1">
      <alignment horizontal="left" vertical="center"/>
    </xf>
    <xf numFmtId="165" fontId="35" fillId="0" borderId="1" xfId="0" applyNumberFormat="1" applyFont="1" applyBorder="1" applyAlignment="1" applyProtection="1">
      <alignment horizontal="left" vertical="center"/>
      <protection hidden="1"/>
    </xf>
    <xf numFmtId="9" fontId="21" fillId="0" borderId="0" xfId="1" applyFont="1" applyFill="1" applyBorder="1" applyAlignment="1" applyProtection="1">
      <alignment horizontal="right" vertical="center"/>
      <protection hidden="1"/>
    </xf>
    <xf numFmtId="165" fontId="32" fillId="0" borderId="0" xfId="4">
      <alignment horizontal="right"/>
      <protection hidden="1"/>
    </xf>
    <xf numFmtId="165" fontId="21" fillId="0" borderId="0" xfId="1" applyNumberFormat="1" applyFont="1" applyFill="1" applyBorder="1" applyAlignment="1" applyProtection="1">
      <alignment horizontal="right"/>
      <protection hidden="1"/>
    </xf>
    <xf numFmtId="165" fontId="18" fillId="0" borderId="0" xfId="1" applyNumberFormat="1" applyFont="1" applyFill="1" applyBorder="1" applyAlignment="1" applyProtection="1">
      <alignment horizontal="right"/>
      <protection hidden="1"/>
    </xf>
    <xf numFmtId="165" fontId="18" fillId="0" borderId="0" xfId="0" applyNumberFormat="1" applyFont="1" applyAlignment="1" applyProtection="1">
      <alignment horizontal="right"/>
      <protection hidden="1"/>
    </xf>
    <xf numFmtId="165" fontId="32" fillId="0" borderId="0" xfId="1" applyNumberFormat="1" applyFont="1" applyFill="1" applyBorder="1" applyAlignment="1" applyProtection="1">
      <alignment horizontal="right"/>
      <protection hidden="1"/>
    </xf>
    <xf numFmtId="165" fontId="5" fillId="0" borderId="0" xfId="1" applyNumberFormat="1" applyFont="1" applyFill="1" applyBorder="1" applyAlignment="1" applyProtection="1">
      <alignment horizontal="right"/>
      <protection hidden="1"/>
    </xf>
    <xf numFmtId="165" fontId="21" fillId="3" borderId="3" xfId="1" applyNumberFormat="1" applyFont="1" applyFill="1" applyBorder="1" applyAlignment="1" applyProtection="1">
      <alignment horizontal="right"/>
      <protection hidden="1"/>
    </xf>
    <xf numFmtId="165" fontId="26" fillId="0" borderId="0" xfId="1" applyNumberFormat="1" applyFont="1" applyFill="1" applyBorder="1" applyAlignment="1" applyProtection="1">
      <alignment horizontal="right"/>
      <protection hidden="1"/>
    </xf>
    <xf numFmtId="165" fontId="23" fillId="0" borderId="0" xfId="0" applyNumberFormat="1" applyFont="1" applyAlignment="1" applyProtection="1">
      <alignment horizontal="right"/>
      <protection hidden="1"/>
    </xf>
    <xf numFmtId="165" fontId="5" fillId="0" borderId="0" xfId="0" applyNumberFormat="1" applyFont="1" applyAlignment="1" applyProtection="1">
      <alignment horizontal="right"/>
      <protection hidden="1"/>
    </xf>
    <xf numFmtId="165" fontId="34" fillId="0" borderId="0" xfId="4" applyFont="1">
      <alignment horizontal="right"/>
      <protection hidden="1"/>
    </xf>
    <xf numFmtId="165" fontId="24" fillId="0" borderId="0" xfId="0" applyNumberFormat="1" applyFont="1" applyAlignment="1" applyProtection="1">
      <alignment horizontal="right"/>
      <protection hidden="1"/>
    </xf>
    <xf numFmtId="165" fontId="29" fillId="0" borderId="0" xfId="0" applyNumberFormat="1" applyFont="1" applyAlignment="1">
      <alignment horizontal="right"/>
    </xf>
    <xf numFmtId="165" fontId="28" fillId="0" borderId="0" xfId="0" applyNumberFormat="1" applyFont="1" applyAlignment="1">
      <alignment horizontal="right"/>
    </xf>
    <xf numFmtId="165" fontId="21" fillId="0" borderId="0" xfId="0" applyNumberFormat="1" applyFont="1" applyAlignment="1" applyProtection="1">
      <alignment horizontal="right"/>
      <protection hidden="1"/>
    </xf>
    <xf numFmtId="165" fontId="20" fillId="0" borderId="0" xfId="0" applyNumberFormat="1" applyFont="1" applyAlignment="1" applyProtection="1">
      <alignment horizontal="right"/>
      <protection hidden="1"/>
    </xf>
    <xf numFmtId="165" fontId="6" fillId="0" borderId="0" xfId="0" applyNumberFormat="1" applyFont="1" applyAlignment="1" applyProtection="1">
      <alignment horizontal="right"/>
      <protection hidden="1"/>
    </xf>
    <xf numFmtId="169" fontId="21" fillId="0" borderId="0" xfId="1" applyNumberFormat="1" applyFont="1" applyFill="1" applyBorder="1" applyAlignment="1" applyProtection="1">
      <alignment horizontal="right"/>
      <protection hidden="1"/>
    </xf>
    <xf numFmtId="165" fontId="25" fillId="0" borderId="0" xfId="4" applyFont="1">
      <alignment horizontal="right"/>
      <protection hidden="1"/>
    </xf>
    <xf numFmtId="165" fontId="25" fillId="0" borderId="0" xfId="0" applyNumberFormat="1" applyFont="1" applyAlignment="1" applyProtection="1">
      <alignment horizontal="right"/>
      <protection hidden="1"/>
    </xf>
    <xf numFmtId="165" fontId="25" fillId="0" borderId="0" xfId="1" applyNumberFormat="1" applyFont="1" applyFill="1" applyBorder="1" applyAlignment="1" applyProtection="1">
      <alignment horizontal="right"/>
      <protection hidden="1"/>
    </xf>
    <xf numFmtId="165" fontId="25" fillId="0" borderId="0" xfId="0" applyNumberFormat="1" applyFont="1" applyAlignment="1" applyProtection="1">
      <alignment horizontal="right" vertical="top"/>
      <protection hidden="1"/>
    </xf>
    <xf numFmtId="166" fontId="17" fillId="6" borderId="0" xfId="0" applyNumberFormat="1" applyFont="1" applyFill="1" applyAlignment="1" applyProtection="1">
      <alignment horizontal="right" vertical="center"/>
      <protection hidden="1"/>
    </xf>
    <xf numFmtId="17" fontId="17" fillId="6" borderId="0" xfId="0" applyNumberFormat="1" applyFont="1" applyFill="1" applyAlignment="1" applyProtection="1">
      <alignment horizontal="right" vertical="center"/>
      <protection hidden="1"/>
    </xf>
    <xf numFmtId="165" fontId="10" fillId="0" borderId="0" xfId="1" applyNumberFormat="1" applyFont="1" applyFill="1" applyBorder="1" applyAlignment="1" applyProtection="1">
      <alignment horizontal="right"/>
      <protection hidden="1"/>
    </xf>
    <xf numFmtId="165" fontId="10" fillId="0" borderId="0" xfId="0" applyNumberFormat="1" applyFont="1" applyAlignment="1">
      <alignment horizontal="right"/>
    </xf>
    <xf numFmtId="165" fontId="27" fillId="0" borderId="0" xfId="1" applyNumberFormat="1" applyFont="1" applyFill="1" applyBorder="1" applyAlignment="1" applyProtection="1">
      <alignment horizontal="right"/>
      <protection hidden="1"/>
    </xf>
    <xf numFmtId="165" fontId="32" fillId="0" borderId="0" xfId="1" applyNumberFormat="1" applyFont="1" applyAlignment="1" applyProtection="1">
      <alignment horizontal="right"/>
      <protection hidden="1"/>
    </xf>
    <xf numFmtId="165" fontId="7" fillId="0" borderId="0" xfId="0" applyNumberFormat="1" applyFont="1" applyAlignment="1" applyProtection="1">
      <alignment horizontal="right"/>
      <protection hidden="1"/>
    </xf>
    <xf numFmtId="165" fontId="4" fillId="0" borderId="0" xfId="0" applyNumberFormat="1" applyFont="1" applyAlignment="1" applyProtection="1">
      <alignment horizontal="right"/>
      <protection hidden="1"/>
    </xf>
    <xf numFmtId="165" fontId="4" fillId="0" borderId="0" xfId="0" applyNumberFormat="1" applyFont="1" applyAlignment="1" applyProtection="1">
      <alignment horizontal="right" vertical="center"/>
      <protection hidden="1"/>
    </xf>
    <xf numFmtId="165" fontId="0" fillId="0" borderId="0" xfId="0" applyNumberFormat="1" applyAlignment="1">
      <alignment horizontal="right"/>
    </xf>
    <xf numFmtId="165" fontId="31" fillId="0" borderId="7" xfId="0" applyNumberFormat="1" applyFont="1" applyBorder="1" applyAlignment="1" applyProtection="1">
      <alignment horizontal="right" vertical="top"/>
      <protection locked="0"/>
    </xf>
    <xf numFmtId="165" fontId="30" fillId="0" borderId="7" xfId="0" applyNumberFormat="1" applyFont="1" applyBorder="1" applyAlignment="1" applyProtection="1">
      <alignment horizontal="right" vertical="top"/>
      <protection locked="0"/>
    </xf>
    <xf numFmtId="165" fontId="31" fillId="0" borderId="8" xfId="0" applyNumberFormat="1" applyFont="1" applyBorder="1" applyAlignment="1" applyProtection="1">
      <alignment horizontal="right" vertical="top"/>
      <protection locked="0"/>
    </xf>
    <xf numFmtId="165" fontId="30" fillId="0" borderId="8" xfId="0" applyNumberFormat="1" applyFont="1" applyBorder="1" applyAlignment="1" applyProtection="1">
      <alignment horizontal="right" vertical="top"/>
      <protection locked="0"/>
    </xf>
    <xf numFmtId="165" fontId="30" fillId="3" borderId="6" xfId="0" applyNumberFormat="1" applyFont="1" applyFill="1" applyBorder="1" applyAlignment="1" applyProtection="1">
      <alignment horizontal="left" vertical="top"/>
      <protection locked="0"/>
    </xf>
    <xf numFmtId="165" fontId="31" fillId="3" borderId="6" xfId="0" applyNumberFormat="1" applyFont="1" applyFill="1" applyBorder="1" applyAlignment="1" applyProtection="1">
      <alignment horizontal="right" vertical="top"/>
      <protection locked="0"/>
    </xf>
    <xf numFmtId="165" fontId="30" fillId="0" borderId="7" xfId="0" applyNumberFormat="1" applyFont="1" applyBorder="1" applyAlignment="1" applyProtection="1">
      <alignment horizontal="left" vertical="top" indent="1"/>
      <protection locked="0"/>
    </xf>
    <xf numFmtId="165" fontId="30" fillId="0" borderId="8" xfId="0" applyNumberFormat="1" applyFont="1" applyBorder="1" applyAlignment="1" applyProtection="1">
      <alignment horizontal="left" vertical="top" indent="1"/>
      <protection locked="0"/>
    </xf>
    <xf numFmtId="165" fontId="31" fillId="0" borderId="5" xfId="0" applyNumberFormat="1" applyFont="1" applyBorder="1" applyAlignment="1" applyProtection="1">
      <alignment horizontal="left" vertical="top" indent="1"/>
      <protection locked="0"/>
    </xf>
    <xf numFmtId="165" fontId="30" fillId="0" borderId="9" xfId="0" applyNumberFormat="1" applyFont="1" applyBorder="1" applyAlignment="1" applyProtection="1">
      <alignment horizontal="left" vertical="top" indent="1"/>
      <protection locked="0"/>
    </xf>
    <xf numFmtId="165" fontId="31" fillId="0" borderId="9" xfId="0" applyNumberFormat="1" applyFont="1" applyBorder="1" applyAlignment="1" applyProtection="1">
      <alignment horizontal="right" vertical="top"/>
      <protection locked="0"/>
    </xf>
    <xf numFmtId="165" fontId="30" fillId="0" borderId="9" xfId="0" applyNumberFormat="1" applyFont="1" applyBorder="1" applyAlignment="1" applyProtection="1">
      <alignment horizontal="right" vertical="top"/>
      <protection locked="0"/>
    </xf>
    <xf numFmtId="165" fontId="30" fillId="0" borderId="10" xfId="0" applyNumberFormat="1" applyFont="1" applyBorder="1" applyAlignment="1" applyProtection="1">
      <alignment horizontal="left" vertical="top" indent="1"/>
      <protection locked="0"/>
    </xf>
    <xf numFmtId="165" fontId="31" fillId="0" borderId="10" xfId="0" applyNumberFormat="1" applyFont="1" applyBorder="1" applyAlignment="1" applyProtection="1">
      <alignment horizontal="right" vertical="top"/>
      <protection locked="0"/>
    </xf>
    <xf numFmtId="165" fontId="30" fillId="0" borderId="10" xfId="0" applyNumberFormat="1" applyFont="1" applyBorder="1" applyAlignment="1" applyProtection="1">
      <alignment horizontal="right" vertical="top"/>
      <protection locked="0"/>
    </xf>
    <xf numFmtId="165" fontId="9" fillId="0" borderId="10" xfId="0" applyNumberFormat="1" applyFont="1" applyBorder="1" applyAlignment="1" applyProtection="1">
      <alignment horizontal="left" vertical="top"/>
      <protection locked="0" hidden="1"/>
    </xf>
    <xf numFmtId="165" fontId="44" fillId="0" borderId="10" xfId="0" applyNumberFormat="1" applyFont="1" applyBorder="1" applyAlignment="1" applyProtection="1">
      <alignment horizontal="right" vertical="top"/>
      <protection locked="0"/>
    </xf>
    <xf numFmtId="165" fontId="45" fillId="0" borderId="10" xfId="0" applyNumberFormat="1" applyFont="1" applyBorder="1" applyAlignment="1" applyProtection="1">
      <alignment horizontal="right" vertical="top"/>
      <protection locked="0"/>
    </xf>
    <xf numFmtId="165" fontId="23" fillId="0" borderId="10" xfId="0" applyNumberFormat="1" applyFont="1" applyBorder="1" applyAlignment="1" applyProtection="1">
      <alignment horizontal="left" vertical="center"/>
      <protection locked="0" hidden="1"/>
    </xf>
    <xf numFmtId="165" fontId="30" fillId="0" borderId="11" xfId="0" applyNumberFormat="1" applyFont="1" applyBorder="1" applyAlignment="1" applyProtection="1">
      <alignment horizontal="left" vertical="top" indent="1"/>
      <protection locked="0"/>
    </xf>
    <xf numFmtId="165" fontId="31" fillId="0" borderId="11" xfId="0" applyNumberFormat="1" applyFont="1" applyBorder="1" applyAlignment="1" applyProtection="1">
      <alignment horizontal="right" vertical="top"/>
      <protection locked="0"/>
    </xf>
    <xf numFmtId="165" fontId="30" fillId="0" borderId="11" xfId="0" applyNumberFormat="1" applyFont="1" applyBorder="1" applyAlignment="1" applyProtection="1">
      <alignment horizontal="right" vertical="top"/>
      <protection locked="0"/>
    </xf>
    <xf numFmtId="165" fontId="9" fillId="0" borderId="11" xfId="0" applyNumberFormat="1" applyFont="1" applyBorder="1" applyAlignment="1" applyProtection="1">
      <alignment horizontal="left" vertical="top"/>
      <protection locked="0" hidden="1"/>
    </xf>
    <xf numFmtId="165" fontId="44" fillId="0" borderId="11" xfId="0" applyNumberFormat="1" applyFont="1" applyBorder="1" applyAlignment="1" applyProtection="1">
      <alignment horizontal="right" vertical="top"/>
      <protection locked="0"/>
    </xf>
    <xf numFmtId="165" fontId="45" fillId="0" borderId="11" xfId="0" applyNumberFormat="1" applyFont="1" applyBorder="1" applyAlignment="1" applyProtection="1">
      <alignment horizontal="right" vertical="top"/>
      <protection locked="0"/>
    </xf>
    <xf numFmtId="165" fontId="23" fillId="0" borderId="11" xfId="0" applyNumberFormat="1" applyFont="1" applyBorder="1" applyAlignment="1" applyProtection="1">
      <alignment horizontal="left" vertical="center"/>
      <protection locked="0" hidden="1"/>
    </xf>
    <xf numFmtId="165" fontId="31" fillId="0" borderId="0" xfId="0" applyNumberFormat="1" applyFont="1" applyAlignment="1" applyProtection="1">
      <alignment horizontal="left" vertical="top" wrapText="1"/>
      <protection locked="0"/>
    </xf>
    <xf numFmtId="165" fontId="3" fillId="0" borderId="0" xfId="0" applyNumberFormat="1" applyFont="1" applyAlignment="1" applyProtection="1">
      <alignment horizontal="right" vertical="center"/>
      <protection hidden="1"/>
    </xf>
    <xf numFmtId="165" fontId="34" fillId="0" borderId="0" xfId="4" applyFont="1" applyAlignment="1">
      <alignment horizontal="left"/>
      <protection hidden="1"/>
    </xf>
    <xf numFmtId="165" fontId="20" fillId="3" borderId="0" xfId="1" applyNumberFormat="1" applyFont="1" applyFill="1" applyBorder="1" applyAlignment="1" applyProtection="1">
      <alignment horizontal="right" vertical="center"/>
      <protection hidden="1"/>
    </xf>
    <xf numFmtId="167" fontId="32" fillId="3" borderId="0" xfId="4" applyNumberFormat="1" applyFill="1">
      <alignment horizontal="right"/>
      <protection hidden="1"/>
    </xf>
    <xf numFmtId="167" fontId="3" fillId="3" borderId="0" xfId="0" applyNumberFormat="1" applyFont="1" applyFill="1" applyAlignment="1" applyProtection="1">
      <alignment horizontal="right"/>
      <protection hidden="1"/>
    </xf>
    <xf numFmtId="165" fontId="34" fillId="0" borderId="0" xfId="0" applyNumberFormat="1" applyFont="1" applyAlignment="1">
      <alignment horizontal="left"/>
    </xf>
    <xf numFmtId="165" fontId="32" fillId="0" borderId="0" xfId="0" applyNumberFormat="1" applyFont="1" applyAlignment="1" applyProtection="1">
      <alignment horizontal="left"/>
      <protection hidden="1"/>
    </xf>
    <xf numFmtId="165" fontId="10" fillId="3" borderId="0" xfId="0" applyNumberFormat="1" applyFont="1" applyFill="1" applyAlignment="1" applyProtection="1">
      <alignment horizontal="right"/>
      <protection hidden="1"/>
    </xf>
    <xf numFmtId="167" fontId="10" fillId="3" borderId="0" xfId="0" applyNumberFormat="1" applyFont="1" applyFill="1" applyAlignment="1" applyProtection="1">
      <alignment horizontal="right"/>
      <protection hidden="1"/>
    </xf>
    <xf numFmtId="165" fontId="31" fillId="0" borderId="6" xfId="0" applyNumberFormat="1" applyFont="1" applyBorder="1" applyAlignment="1" applyProtection="1">
      <alignment horizontal="left" vertical="top" indent="1"/>
      <protection locked="0"/>
    </xf>
    <xf numFmtId="165" fontId="30" fillId="0" borderId="6" xfId="0" applyNumberFormat="1" applyFont="1" applyBorder="1" applyAlignment="1" applyProtection="1">
      <alignment horizontal="right" vertical="top"/>
      <protection locked="0"/>
    </xf>
    <xf numFmtId="165" fontId="30" fillId="0" borderId="0" xfId="0" applyNumberFormat="1" applyFont="1" applyAlignment="1" applyProtection="1">
      <alignment horizontal="right" vertical="top"/>
      <protection locked="0"/>
    </xf>
    <xf numFmtId="165" fontId="49" fillId="0" borderId="0" xfId="3" applyNumberFormat="1" applyFont="1" applyFill="1" applyAlignment="1" applyProtection="1">
      <alignment horizontal="left"/>
      <protection locked="0"/>
    </xf>
    <xf numFmtId="165" fontId="50" fillId="0" borderId="0" xfId="0" applyNumberFormat="1" applyFont="1" applyAlignment="1">
      <alignment horizontal="left" vertical="center"/>
    </xf>
    <xf numFmtId="165" fontId="51" fillId="0" borderId="0" xfId="3" applyNumberFormat="1" applyFont="1" applyAlignment="1">
      <alignment horizontal="left" vertical="center"/>
    </xf>
    <xf numFmtId="165" fontId="38" fillId="3" borderId="0" xfId="3" applyNumberFormat="1" applyFont="1" applyFill="1" applyAlignment="1" applyProtection="1">
      <alignment horizontal="right" vertical="center"/>
      <protection locked="0"/>
    </xf>
    <xf numFmtId="165" fontId="31" fillId="3" borderId="0" xfId="0" applyNumberFormat="1" applyFont="1" applyFill="1" applyAlignment="1" applyProtection="1">
      <alignment horizontal="right" vertical="center"/>
      <protection locked="0"/>
    </xf>
    <xf numFmtId="165" fontId="31" fillId="3" borderId="0" xfId="0" applyNumberFormat="1" applyFont="1" applyFill="1" applyAlignment="1" applyProtection="1">
      <alignment horizontal="left" vertical="center"/>
      <protection locked="0"/>
    </xf>
    <xf numFmtId="165" fontId="20" fillId="0" borderId="0" xfId="0" applyNumberFormat="1" applyFont="1" applyAlignment="1" applyProtection="1">
      <alignment horizontal="right" vertical="center"/>
      <protection locked="0"/>
    </xf>
    <xf numFmtId="165" fontId="36" fillId="0" borderId="0" xfId="0" applyNumberFormat="1" applyFont="1" applyAlignment="1" applyProtection="1">
      <alignment vertical="center"/>
      <protection locked="0"/>
    </xf>
    <xf numFmtId="165" fontId="20" fillId="3" borderId="0" xfId="0" applyNumberFormat="1" applyFont="1" applyFill="1" applyAlignment="1" applyProtection="1">
      <alignment horizontal="right" vertical="center"/>
      <protection locked="0"/>
    </xf>
    <xf numFmtId="165" fontId="20" fillId="3" borderId="0" xfId="0" applyNumberFormat="1" applyFont="1" applyFill="1" applyAlignment="1" applyProtection="1">
      <alignment horizontal="left" vertical="center"/>
      <protection locked="0"/>
    </xf>
    <xf numFmtId="165" fontId="20" fillId="0" borderId="0" xfId="0" applyNumberFormat="1" applyFont="1" applyAlignment="1" applyProtection="1">
      <alignment horizontal="left"/>
      <protection locked="0"/>
    </xf>
    <xf numFmtId="165" fontId="36" fillId="0" borderId="0" xfId="0" applyNumberFormat="1" applyFont="1" applyAlignment="1" applyProtection="1">
      <alignment horizontal="left" vertical="center"/>
      <protection locked="0"/>
    </xf>
    <xf numFmtId="165" fontId="27" fillId="0" borderId="0" xfId="0" applyNumberFormat="1" applyFont="1" applyAlignment="1" applyProtection="1">
      <alignment horizontal="left" vertical="center" indent="1"/>
      <protection locked="0"/>
    </xf>
    <xf numFmtId="165" fontId="10" fillId="5" borderId="0" xfId="0" applyNumberFormat="1" applyFont="1" applyFill="1" applyAlignment="1" applyProtection="1">
      <alignment horizontal="left"/>
      <protection locked="0"/>
    </xf>
    <xf numFmtId="165" fontId="10" fillId="7" borderId="0" xfId="0" applyNumberFormat="1" applyFont="1" applyFill="1" applyAlignment="1" applyProtection="1">
      <alignment horizontal="left"/>
      <protection locked="0"/>
    </xf>
    <xf numFmtId="167" fontId="42" fillId="0" borderId="0" xfId="3" applyNumberFormat="1" applyFont="1" applyBorder="1" applyAlignment="1" applyProtection="1">
      <alignment horizontal="left" vertical="center"/>
      <protection locked="0"/>
    </xf>
    <xf numFmtId="167" fontId="40" fillId="0" borderId="0" xfId="3" applyNumberFormat="1" applyFont="1" applyBorder="1" applyAlignment="1" applyProtection="1">
      <alignment horizontal="left" vertical="center"/>
      <protection locked="0"/>
    </xf>
    <xf numFmtId="164" fontId="22" fillId="0" borderId="0" xfId="0" applyNumberFormat="1" applyFont="1" applyAlignment="1" applyProtection="1">
      <alignment horizontal="right" vertical="center"/>
      <protection locked="0"/>
    </xf>
    <xf numFmtId="165" fontId="17" fillId="6" borderId="0" xfId="0" applyNumberFormat="1" applyFont="1" applyFill="1" applyAlignment="1" applyProtection="1">
      <alignment horizontal="left" vertical="center"/>
      <protection locked="0"/>
    </xf>
    <xf numFmtId="165" fontId="17" fillId="6" borderId="0" xfId="0" applyNumberFormat="1" applyFont="1" applyFill="1" applyAlignment="1" applyProtection="1">
      <alignment horizontal="right" vertical="center"/>
      <protection locked="0"/>
    </xf>
    <xf numFmtId="166" fontId="17" fillId="6" borderId="0" xfId="0" applyNumberFormat="1" applyFont="1" applyFill="1" applyAlignment="1" applyProtection="1">
      <alignment horizontal="right" vertical="center"/>
      <protection locked="0"/>
    </xf>
    <xf numFmtId="165" fontId="18" fillId="5" borderId="1" xfId="0" applyNumberFormat="1" applyFont="1" applyFill="1" applyBorder="1" applyAlignment="1" applyProtection="1">
      <alignment horizontal="left"/>
      <protection locked="0"/>
    </xf>
    <xf numFmtId="165" fontId="24" fillId="5" borderId="1" xfId="0" applyNumberFormat="1" applyFont="1" applyFill="1" applyBorder="1" applyAlignment="1" applyProtection="1">
      <alignment horizontal="left" vertical="center"/>
      <protection locked="0"/>
    </xf>
    <xf numFmtId="165" fontId="10" fillId="0" borderId="0" xfId="0" applyNumberFormat="1" applyFont="1" applyAlignment="1" applyProtection="1">
      <alignment horizontal="right" vertical="center"/>
      <protection locked="0"/>
    </xf>
    <xf numFmtId="165" fontId="10" fillId="3" borderId="0" xfId="0" applyNumberFormat="1" applyFont="1" applyFill="1" applyAlignment="1" applyProtection="1">
      <alignment horizontal="right" vertical="center"/>
      <protection locked="0"/>
    </xf>
    <xf numFmtId="165" fontId="13" fillId="3" borderId="0" xfId="0" applyNumberFormat="1" applyFont="1" applyFill="1" applyAlignment="1" applyProtection="1">
      <alignment horizontal="right" vertical="center"/>
      <protection locked="0"/>
    </xf>
    <xf numFmtId="165" fontId="18" fillId="0" borderId="0" xfId="0" applyNumberFormat="1" applyFont="1" applyAlignment="1" applyProtection="1">
      <alignment horizontal="left"/>
      <protection locked="0"/>
    </xf>
    <xf numFmtId="165" fontId="18" fillId="0" borderId="0" xfId="0" applyNumberFormat="1" applyFont="1" applyAlignment="1" applyProtection="1">
      <alignment horizontal="left" vertical="center"/>
      <protection locked="0"/>
    </xf>
    <xf numFmtId="165" fontId="18" fillId="0" borderId="0" xfId="0" applyNumberFormat="1" applyFont="1" applyAlignment="1" applyProtection="1">
      <alignment horizontal="right" vertical="center"/>
      <protection locked="0"/>
    </xf>
    <xf numFmtId="165" fontId="10" fillId="3" borderId="0" xfId="0" applyNumberFormat="1" applyFont="1" applyFill="1" applyAlignment="1" applyProtection="1">
      <alignment horizontal="left" vertical="center"/>
      <protection locked="0"/>
    </xf>
    <xf numFmtId="165" fontId="25" fillId="0" borderId="0" xfId="0" applyNumberFormat="1" applyFont="1" applyAlignment="1" applyProtection="1">
      <alignment horizontal="left" vertical="center"/>
      <protection locked="0"/>
    </xf>
    <xf numFmtId="165" fontId="20" fillId="0" borderId="0" xfId="1" applyNumberFormat="1" applyFont="1" applyFill="1" applyBorder="1" applyAlignment="1" applyProtection="1">
      <alignment horizontal="right"/>
      <protection locked="0"/>
    </xf>
    <xf numFmtId="165" fontId="25" fillId="3" borderId="0" xfId="0" applyNumberFormat="1" applyFont="1" applyFill="1" applyAlignment="1" applyProtection="1">
      <alignment horizontal="left" vertical="center"/>
      <protection locked="0"/>
    </xf>
    <xf numFmtId="165" fontId="25" fillId="3" borderId="0" xfId="0" applyNumberFormat="1" applyFont="1" applyFill="1" applyAlignment="1" applyProtection="1">
      <alignment horizontal="right" vertical="center"/>
      <protection locked="0"/>
    </xf>
    <xf numFmtId="165" fontId="18" fillId="0" borderId="0" xfId="0" applyNumberFormat="1" applyFont="1" applyAlignment="1" applyProtection="1">
      <alignment horizontal="right"/>
      <protection locked="0"/>
    </xf>
    <xf numFmtId="165" fontId="30" fillId="3" borderId="0" xfId="0" applyNumberFormat="1" applyFont="1" applyFill="1" applyAlignment="1" applyProtection="1">
      <alignment horizontal="right" vertical="center"/>
      <protection locked="0"/>
    </xf>
    <xf numFmtId="165" fontId="21" fillId="0" borderId="0" xfId="0" applyNumberFormat="1" applyFont="1" applyAlignment="1" applyProtection="1">
      <alignment horizontal="right" vertical="center"/>
      <protection locked="0"/>
    </xf>
    <xf numFmtId="165" fontId="21" fillId="0" borderId="0" xfId="0" applyNumberFormat="1" applyFont="1" applyAlignment="1" applyProtection="1">
      <alignment horizontal="left"/>
      <protection locked="0"/>
    </xf>
    <xf numFmtId="165" fontId="24" fillId="0" borderId="0" xfId="0" applyNumberFormat="1" applyFont="1" applyAlignment="1" applyProtection="1">
      <alignment horizontal="left" vertical="center"/>
      <protection locked="0"/>
    </xf>
    <xf numFmtId="165" fontId="21" fillId="0" borderId="0" xfId="1" applyNumberFormat="1" applyFont="1" applyFill="1" applyBorder="1" applyAlignment="1" applyProtection="1">
      <alignment horizontal="right"/>
      <protection locked="0"/>
    </xf>
    <xf numFmtId="165" fontId="21" fillId="3" borderId="0" xfId="0" applyNumberFormat="1" applyFont="1" applyFill="1" applyAlignment="1" applyProtection="1">
      <alignment horizontal="right" vertical="center"/>
      <protection locked="0"/>
    </xf>
    <xf numFmtId="165" fontId="21" fillId="3" borderId="0" xfId="0" applyNumberFormat="1" applyFont="1" applyFill="1" applyAlignment="1" applyProtection="1">
      <alignment horizontal="left" vertical="center"/>
      <protection locked="0"/>
    </xf>
    <xf numFmtId="165" fontId="27" fillId="0" borderId="0" xfId="0" applyNumberFormat="1" applyFont="1" applyAlignment="1" applyProtection="1">
      <alignment horizontal="left"/>
      <protection locked="0"/>
    </xf>
    <xf numFmtId="165" fontId="27" fillId="0" borderId="0" xfId="0" applyNumberFormat="1" applyFont="1" applyAlignment="1" applyProtection="1">
      <alignment horizontal="left" vertical="center"/>
      <protection locked="0"/>
    </xf>
    <xf numFmtId="9" fontId="27" fillId="0" borderId="0" xfId="1" applyFont="1" applyFill="1" applyBorder="1" applyAlignment="1" applyProtection="1">
      <alignment horizontal="right" vertical="center"/>
      <protection locked="0"/>
    </xf>
    <xf numFmtId="9" fontId="35" fillId="0" borderId="0" xfId="1" applyFont="1" applyFill="1" applyAlignment="1" applyProtection="1">
      <alignment horizontal="right" vertical="center"/>
      <protection locked="0"/>
    </xf>
    <xf numFmtId="9" fontId="20" fillId="0" borderId="0" xfId="1" applyFont="1" applyFill="1" applyBorder="1" applyAlignment="1" applyProtection="1">
      <alignment horizontal="right" vertical="center"/>
      <protection locked="0"/>
    </xf>
    <xf numFmtId="9" fontId="18" fillId="0" borderId="0" xfId="1" applyFont="1" applyFill="1" applyAlignment="1" applyProtection="1">
      <alignment horizontal="right" vertical="center"/>
      <protection locked="0"/>
    </xf>
    <xf numFmtId="165" fontId="18" fillId="0" borderId="0" xfId="1" applyNumberFormat="1" applyFont="1" applyFill="1" applyAlignment="1" applyProtection="1">
      <alignment horizontal="right"/>
      <protection locked="0"/>
    </xf>
    <xf numFmtId="165" fontId="20" fillId="0" borderId="0" xfId="0" applyNumberFormat="1" applyFont="1" applyAlignment="1" applyProtection="1">
      <alignment horizontal="left" vertical="center"/>
      <protection locked="0"/>
    </xf>
    <xf numFmtId="165" fontId="20" fillId="0" borderId="0" xfId="1" applyNumberFormat="1" applyFont="1" applyFill="1" applyBorder="1" applyAlignment="1" applyProtection="1">
      <alignment horizontal="right" vertical="center"/>
      <protection locked="0"/>
    </xf>
    <xf numFmtId="165" fontId="18" fillId="0" borderId="1" xfId="0" applyNumberFormat="1" applyFont="1" applyBorder="1" applyAlignment="1" applyProtection="1">
      <alignment horizontal="left"/>
      <protection locked="0"/>
    </xf>
    <xf numFmtId="165" fontId="24" fillId="0" borderId="1" xfId="0" applyNumberFormat="1" applyFont="1" applyBorder="1" applyAlignment="1" applyProtection="1">
      <alignment horizontal="left" vertical="center"/>
      <protection locked="0"/>
    </xf>
    <xf numFmtId="165" fontId="21" fillId="0" borderId="0" xfId="0" applyNumberFormat="1" applyFont="1" applyAlignment="1" applyProtection="1">
      <alignment horizontal="left" vertical="center"/>
      <protection locked="0"/>
    </xf>
    <xf numFmtId="167" fontId="25" fillId="0" borderId="0" xfId="0" applyNumberFormat="1" applyFont="1" applyAlignment="1" applyProtection="1">
      <alignment horizontal="right"/>
      <protection locked="0"/>
    </xf>
    <xf numFmtId="165" fontId="10" fillId="0" borderId="0" xfId="0" applyNumberFormat="1" applyFont="1" applyAlignment="1" applyProtection="1">
      <alignment horizontal="right"/>
      <protection locked="0"/>
    </xf>
    <xf numFmtId="17" fontId="25" fillId="3" borderId="0" xfId="0" applyNumberFormat="1" applyFont="1" applyFill="1" applyAlignment="1" applyProtection="1">
      <alignment horizontal="right" vertical="center"/>
      <protection locked="0"/>
    </xf>
    <xf numFmtId="9" fontId="21" fillId="0" borderId="0" xfId="1" applyFont="1" applyFill="1" applyBorder="1" applyAlignment="1" applyProtection="1">
      <alignment horizontal="right" vertical="center"/>
      <protection locked="0"/>
    </xf>
    <xf numFmtId="168" fontId="21" fillId="0" borderId="0" xfId="1" applyNumberFormat="1" applyFont="1" applyFill="1" applyBorder="1" applyAlignment="1" applyProtection="1">
      <alignment horizontal="right"/>
      <protection locked="0"/>
    </xf>
    <xf numFmtId="165" fontId="31" fillId="0" borderId="0" xfId="0" applyNumberFormat="1" applyFont="1" applyAlignment="1" applyProtection="1">
      <alignment horizontal="right" vertical="center"/>
      <protection locked="0"/>
    </xf>
    <xf numFmtId="165" fontId="13" fillId="0" borderId="0" xfId="0" applyNumberFormat="1" applyFont="1" applyAlignment="1" applyProtection="1">
      <alignment horizontal="right" vertical="center"/>
      <protection locked="0"/>
    </xf>
    <xf numFmtId="165" fontId="2" fillId="0" borderId="0" xfId="4" applyFont="1" applyAlignment="1">
      <alignment horizontal="left"/>
      <protection hidden="1"/>
    </xf>
    <xf numFmtId="165" fontId="2" fillId="0" borderId="0" xfId="0" applyNumberFormat="1" applyFont="1" applyAlignment="1">
      <alignment horizontal="left"/>
    </xf>
    <xf numFmtId="165" fontId="1" fillId="0" borderId="0" xfId="4" applyFont="1" applyAlignment="1">
      <alignment horizontal="left"/>
      <protection hidden="1"/>
    </xf>
    <xf numFmtId="165" fontId="1" fillId="4" borderId="4" xfId="8" applyFont="1" applyAlignment="1">
      <alignment horizontal="right" wrapText="1"/>
      <protection hidden="1"/>
    </xf>
    <xf numFmtId="165" fontId="1" fillId="0" borderId="0" xfId="0" applyNumberFormat="1" applyFont="1" applyAlignment="1">
      <alignment horizontal="left"/>
    </xf>
    <xf numFmtId="9" fontId="10" fillId="4" borderId="12" xfId="1" applyFont="1" applyFill="1" applyBorder="1" applyAlignment="1" applyProtection="1">
      <alignment horizontal="right"/>
      <protection hidden="1"/>
    </xf>
    <xf numFmtId="165" fontId="0" fillId="0" borderId="0" xfId="0" applyNumberFormat="1"/>
    <xf numFmtId="165" fontId="1" fillId="0" borderId="0" xfId="0" applyNumberFormat="1" applyFont="1" applyAlignment="1" applyProtection="1">
      <alignment horizontal="left"/>
      <protection hidden="1"/>
    </xf>
    <xf numFmtId="9" fontId="10" fillId="10" borderId="12" xfId="0" applyNumberFormat="1" applyFont="1" applyFill="1" applyBorder="1" applyAlignment="1" applyProtection="1">
      <alignment horizontal="right" vertical="center"/>
      <protection hidden="1"/>
    </xf>
    <xf numFmtId="165" fontId="22" fillId="0" borderId="0" xfId="0" applyNumberFormat="1" applyFont="1" applyAlignment="1" applyProtection="1">
      <alignment horizontal="left" vertical="center"/>
      <protection hidden="1"/>
    </xf>
    <xf numFmtId="9" fontId="10" fillId="2" borderId="0" xfId="0" applyNumberFormat="1" applyFont="1" applyFill="1" applyAlignment="1" applyProtection="1">
      <alignment horizontal="right" vertical="center"/>
      <protection hidden="1"/>
    </xf>
    <xf numFmtId="10" fontId="10" fillId="10" borderId="12" xfId="0" applyNumberFormat="1" applyFont="1" applyFill="1" applyBorder="1" applyAlignment="1" applyProtection="1">
      <alignment horizontal="right" vertical="center"/>
      <protection hidden="1"/>
    </xf>
    <xf numFmtId="165" fontId="20" fillId="2" borderId="0" xfId="1" applyNumberFormat="1" applyFont="1" applyFill="1" applyBorder="1" applyAlignment="1" applyProtection="1">
      <alignment horizontal="right"/>
      <protection locked="0"/>
    </xf>
    <xf numFmtId="165" fontId="21" fillId="2" borderId="0" xfId="1" applyNumberFormat="1" applyFont="1" applyFill="1" applyBorder="1" applyAlignment="1" applyProtection="1">
      <alignment horizontal="right"/>
      <protection locked="0"/>
    </xf>
    <xf numFmtId="165" fontId="52" fillId="0" borderId="0" xfId="1" applyNumberFormat="1" applyFont="1" applyFill="1" applyBorder="1" applyAlignment="1" applyProtection="1">
      <alignment horizontal="right"/>
      <protection hidden="1"/>
    </xf>
    <xf numFmtId="165" fontId="9" fillId="0" borderId="9" xfId="0" applyNumberFormat="1" applyFont="1" applyBorder="1" applyAlignment="1" applyProtection="1">
      <alignment horizontal="left" vertical="top" wrapText="1"/>
      <protection locked="0" hidden="1"/>
    </xf>
    <xf numFmtId="165" fontId="9" fillId="0" borderId="10" xfId="0" applyNumberFormat="1" applyFont="1" applyBorder="1" applyAlignment="1" applyProtection="1">
      <alignment horizontal="left" vertical="top" wrapText="1"/>
      <protection locked="0" hidden="1"/>
    </xf>
    <xf numFmtId="165" fontId="9" fillId="0" borderId="6" xfId="0" applyNumberFormat="1" applyFont="1" applyBorder="1" applyAlignment="1" applyProtection="1">
      <alignment horizontal="left" vertical="top" wrapText="1"/>
      <protection locked="0" hidden="1"/>
    </xf>
    <xf numFmtId="165" fontId="9" fillId="0" borderId="0" xfId="0" applyNumberFormat="1" applyFont="1" applyAlignment="1" applyProtection="1">
      <alignment horizontal="left" vertical="top" wrapText="1"/>
      <protection locked="0" hidden="1"/>
    </xf>
    <xf numFmtId="165" fontId="47" fillId="0" borderId="0" xfId="0" applyNumberFormat="1" applyFont="1" applyAlignment="1" applyProtection="1">
      <alignment horizontal="left" vertical="center"/>
      <protection locked="0"/>
    </xf>
    <xf numFmtId="165" fontId="9" fillId="0" borderId="5" xfId="0" applyNumberFormat="1" applyFont="1" applyBorder="1" applyAlignment="1" applyProtection="1">
      <alignment horizontal="left" vertical="top" wrapText="1"/>
      <protection locked="0" hidden="1"/>
    </xf>
    <xf numFmtId="165" fontId="9" fillId="0" borderId="7" xfId="0" applyNumberFormat="1" applyFont="1" applyBorder="1" applyAlignment="1" applyProtection="1">
      <alignment horizontal="left" vertical="top"/>
      <protection locked="0" hidden="1"/>
    </xf>
    <xf numFmtId="165" fontId="9" fillId="0" borderId="8" xfId="0" applyNumberFormat="1" applyFont="1" applyBorder="1" applyAlignment="1" applyProtection="1">
      <alignment horizontal="left" vertical="top"/>
      <protection locked="0" hidden="1"/>
    </xf>
    <xf numFmtId="165" fontId="31" fillId="0" borderId="0" xfId="0" applyNumberFormat="1" applyFont="1" applyAlignment="1" applyProtection="1">
      <alignment horizontal="left" vertical="top" wrapText="1"/>
      <protection locked="0"/>
    </xf>
  </cellXfs>
  <cellStyles count="10">
    <cellStyle name="AI Input" xfId="9" xr:uid="{D821DD2C-4ED0-4D51-957B-0504FF19F6BD}"/>
    <cellStyle name="Гиперссылка" xfId="3" builtinId="8"/>
    <cellStyle name="Обычный" xfId="0" builtinId="0"/>
    <cellStyle name="Обычный 2 3" xfId="7" xr:uid="{30940291-EB35-4F7C-9273-2BE9214545FE}"/>
    <cellStyle name="Процентный" xfId="1" builtinId="5"/>
    <cellStyle name="Ссылка на другой лист" xfId="4" xr:uid="{07A5AE36-C8A6-46DE-99B1-6F3C7FCBA37B}"/>
    <cellStyle name="Стиль 1" xfId="8" xr:uid="{2BCF7B7E-5EC2-4C3B-AB81-D107CB396B02}"/>
    <cellStyle name="Текст вспомогательный" xfId="6" xr:uid="{35CD3520-27C0-4BEE-AB91-2EBBC8455F75}"/>
    <cellStyle name="Текст основной" xfId="5" xr:uid="{3854D55B-3193-4547-A5AC-A56C3D88CA3C}"/>
    <cellStyle name="Формула" xfId="2" xr:uid="{B17027D0-2CF0-416C-AE4C-0D9DC3A489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298B55"/>
      <color rgb="FF8FD299"/>
      <color rgb="FF3A4E3D"/>
      <color rgb="FFDEF2E1"/>
      <color rgb="FFFBFBFB"/>
      <color rgb="FFF5F5F5"/>
      <color rgb="FFFDFDFD"/>
      <color rgb="FFE4EDF3"/>
      <color rgb="FFD2F2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200458190148912E-2"/>
          <c:y val="0.20625786285923647"/>
          <c:w val="0.94959908361970213"/>
          <c:h val="0.697233451973307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Результат!$D$11</c:f>
              <c:strCache>
                <c:ptCount val="1"/>
                <c:pt idx="0">
                  <c:v>Выручка</c:v>
                </c:pt>
              </c:strCache>
            </c:strRef>
          </c:tx>
          <c:spPr>
            <a:solidFill>
              <a:srgbClr val="DEF2E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Результат!$L$8:$P$8</c:f>
              <c:numCache>
                <c:formatCode>yyyy</c:formatCode>
                <c:ptCount val="5"/>
                <c:pt idx="0">
                  <c:v>44197</c:v>
                </c:pt>
                <c:pt idx="1">
                  <c:v>44562</c:v>
                </c:pt>
                <c:pt idx="2">
                  <c:v>44927</c:v>
                </c:pt>
                <c:pt idx="3">
                  <c:v>45292</c:v>
                </c:pt>
                <c:pt idx="4">
                  <c:v>45658</c:v>
                </c:pt>
              </c:numCache>
            </c:numRef>
          </c:cat>
          <c:val>
            <c:numRef>
              <c:f>Результат!$L$11:$P$11</c:f>
              <c:numCache>
                <c:formatCode>_-* #\ ##0;\(#\ ##0\);_-* "-";@</c:formatCode>
                <c:ptCount val="5"/>
                <c:pt idx="0">
                  <c:v>44600000</c:v>
                </c:pt>
                <c:pt idx="1">
                  <c:v>104400000</c:v>
                </c:pt>
                <c:pt idx="2">
                  <c:v>133200000</c:v>
                </c:pt>
                <c:pt idx="3">
                  <c:v>162000000</c:v>
                </c:pt>
                <c:pt idx="4">
                  <c:v>190800000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25-4C10-9D28-D1558B4B4EE5}"/>
            </c:ext>
          </c:extLst>
        </c:ser>
        <c:ser>
          <c:idx val="1"/>
          <c:order val="1"/>
          <c:tx>
            <c:strRef>
              <c:f>Результат!$D$27</c:f>
              <c:strCache>
                <c:ptCount val="1"/>
                <c:pt idx="0">
                  <c:v>Чистая прибыль (убыток)</c:v>
                </c:pt>
              </c:strCache>
            </c:strRef>
          </c:tx>
          <c:spPr>
            <a:solidFill>
              <a:srgbClr val="3A4E3D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Результат!$L$8:$P$8</c:f>
              <c:numCache>
                <c:formatCode>yyyy</c:formatCode>
                <c:ptCount val="5"/>
                <c:pt idx="0">
                  <c:v>44197</c:v>
                </c:pt>
                <c:pt idx="1">
                  <c:v>44562</c:v>
                </c:pt>
                <c:pt idx="2">
                  <c:v>44927</c:v>
                </c:pt>
                <c:pt idx="3">
                  <c:v>45292</c:v>
                </c:pt>
                <c:pt idx="4">
                  <c:v>45658</c:v>
                </c:pt>
              </c:numCache>
            </c:numRef>
          </c:cat>
          <c:val>
            <c:numRef>
              <c:f>Результат!$L$27:$P$27</c:f>
              <c:numCache>
                <c:formatCode>_-* #\ ##0;\(#\ ##0\);_-* "-";@</c:formatCode>
                <c:ptCount val="5"/>
                <c:pt idx="0">
                  <c:v>-13465729.631704932</c:v>
                </c:pt>
                <c:pt idx="1">
                  <c:v>5008407.6332309414</c:v>
                </c:pt>
                <c:pt idx="2">
                  <c:v>18108996.808024358</c:v>
                </c:pt>
                <c:pt idx="3">
                  <c:v>31416371.823485658</c:v>
                </c:pt>
                <c:pt idx="4">
                  <c:v>44998145.481376804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25-4C10-9D28-D1558B4B4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3967071"/>
        <c:axId val="703968511"/>
      </c:barChart>
      <c:dateAx>
        <c:axId val="703967071"/>
        <c:scaling>
          <c:orientation val="minMax"/>
        </c:scaling>
        <c:delete val="0"/>
        <c:axPos val="b"/>
        <c:numFmt formatCode="yy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3968511"/>
        <c:crosses val="autoZero"/>
        <c:auto val="1"/>
        <c:lblOffset val="100"/>
        <c:baseTimeUnit val="years"/>
      </c:dateAx>
      <c:valAx>
        <c:axId val="703968511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70396707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Отчетность!$D$11</c:f>
              <c:strCache>
                <c:ptCount val="1"/>
                <c:pt idx="0">
                  <c:v>Выручка</c:v>
                </c:pt>
              </c:strCache>
            </c:strRef>
          </c:tx>
          <c:spPr>
            <a:solidFill>
              <a:srgbClr val="3A4E3D"/>
            </a:solidFill>
            <a:ln>
              <a:noFill/>
            </a:ln>
            <a:effectLst/>
          </c:spPr>
          <c:invertIfNegative val="0"/>
          <c:cat>
            <c:numRef>
              <c:f>Отчетность!$T$8:$CA$8</c:f>
              <c:numCache>
                <c:formatCode>mmm\-yy</c:formatCode>
                <c:ptCount val="60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</c:numCache>
            </c:numRef>
          </c:cat>
          <c:val>
            <c:numRef>
              <c:f>Отчетность!$T$11:$CA$11</c:f>
              <c:numCache>
                <c:formatCode>_-* #\ ##0;\(#\ ##0\);_-* "-";@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5000000</c:v>
                </c:pt>
                <c:pt idx="6">
                  <c:v>5500000</c:v>
                </c:pt>
                <c:pt idx="7">
                  <c:v>6000000</c:v>
                </c:pt>
                <c:pt idx="8">
                  <c:v>6500000</c:v>
                </c:pt>
                <c:pt idx="9">
                  <c:v>7000000</c:v>
                </c:pt>
                <c:pt idx="10">
                  <c:v>7200000</c:v>
                </c:pt>
                <c:pt idx="11">
                  <c:v>7400000</c:v>
                </c:pt>
                <c:pt idx="12">
                  <c:v>7600000</c:v>
                </c:pt>
                <c:pt idx="13">
                  <c:v>7800000</c:v>
                </c:pt>
                <c:pt idx="14">
                  <c:v>8000000</c:v>
                </c:pt>
                <c:pt idx="15">
                  <c:v>8200000</c:v>
                </c:pt>
                <c:pt idx="16">
                  <c:v>8400000</c:v>
                </c:pt>
                <c:pt idx="17">
                  <c:v>8600000</c:v>
                </c:pt>
                <c:pt idx="18">
                  <c:v>8800000</c:v>
                </c:pt>
                <c:pt idx="19">
                  <c:v>9000000</c:v>
                </c:pt>
                <c:pt idx="20">
                  <c:v>9200000</c:v>
                </c:pt>
                <c:pt idx="21">
                  <c:v>9400000</c:v>
                </c:pt>
                <c:pt idx="22">
                  <c:v>9600000</c:v>
                </c:pt>
                <c:pt idx="23">
                  <c:v>9800000</c:v>
                </c:pt>
                <c:pt idx="24">
                  <c:v>10000000</c:v>
                </c:pt>
                <c:pt idx="25">
                  <c:v>10200000</c:v>
                </c:pt>
                <c:pt idx="26">
                  <c:v>10400000</c:v>
                </c:pt>
                <c:pt idx="27">
                  <c:v>10600000</c:v>
                </c:pt>
                <c:pt idx="28">
                  <c:v>10800000</c:v>
                </c:pt>
                <c:pt idx="29">
                  <c:v>11000000</c:v>
                </c:pt>
                <c:pt idx="30">
                  <c:v>11200000</c:v>
                </c:pt>
                <c:pt idx="31">
                  <c:v>11400000</c:v>
                </c:pt>
                <c:pt idx="32">
                  <c:v>11600000</c:v>
                </c:pt>
                <c:pt idx="33">
                  <c:v>11800000</c:v>
                </c:pt>
                <c:pt idx="34">
                  <c:v>12000000</c:v>
                </c:pt>
                <c:pt idx="35">
                  <c:v>12200000</c:v>
                </c:pt>
                <c:pt idx="36">
                  <c:v>12400000</c:v>
                </c:pt>
                <c:pt idx="37">
                  <c:v>12600000</c:v>
                </c:pt>
                <c:pt idx="38">
                  <c:v>12800000</c:v>
                </c:pt>
                <c:pt idx="39">
                  <c:v>13000000</c:v>
                </c:pt>
                <c:pt idx="40">
                  <c:v>13200000</c:v>
                </c:pt>
                <c:pt idx="41">
                  <c:v>13400000</c:v>
                </c:pt>
                <c:pt idx="42">
                  <c:v>13600000</c:v>
                </c:pt>
                <c:pt idx="43">
                  <c:v>13800000</c:v>
                </c:pt>
                <c:pt idx="44">
                  <c:v>14000000</c:v>
                </c:pt>
                <c:pt idx="45">
                  <c:v>14200000</c:v>
                </c:pt>
                <c:pt idx="46">
                  <c:v>14400000</c:v>
                </c:pt>
                <c:pt idx="47">
                  <c:v>14600000</c:v>
                </c:pt>
                <c:pt idx="48">
                  <c:v>14800000</c:v>
                </c:pt>
                <c:pt idx="49">
                  <c:v>15000000</c:v>
                </c:pt>
                <c:pt idx="50">
                  <c:v>15200000</c:v>
                </c:pt>
                <c:pt idx="51">
                  <c:v>15400000</c:v>
                </c:pt>
                <c:pt idx="52">
                  <c:v>15600000</c:v>
                </c:pt>
                <c:pt idx="53">
                  <c:v>15800000</c:v>
                </c:pt>
                <c:pt idx="54">
                  <c:v>16000000</c:v>
                </c:pt>
                <c:pt idx="55">
                  <c:v>16200000</c:v>
                </c:pt>
                <c:pt idx="56">
                  <c:v>16400000</c:v>
                </c:pt>
                <c:pt idx="57">
                  <c:v>16600000</c:v>
                </c:pt>
                <c:pt idx="58">
                  <c:v>16800000</c:v>
                </c:pt>
                <c:pt idx="59">
                  <c:v>17000000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D-4442-B0C8-8D0AE8986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2500383"/>
        <c:axId val="1662514783"/>
      </c:barChart>
      <c:dateAx>
        <c:axId val="1662500383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2514783"/>
        <c:crosses val="autoZero"/>
        <c:auto val="1"/>
        <c:lblOffset val="100"/>
        <c:baseTimeUnit val="months"/>
        <c:majorUnit val="4"/>
        <c:majorTimeUnit val="months"/>
      </c:dateAx>
      <c:valAx>
        <c:axId val="1662514783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2500383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3A4E3D"/>
            </a:solidFill>
            <a:ln>
              <a:noFill/>
            </a:ln>
            <a:effectLst/>
          </c:spPr>
          <c:invertIfNegative val="0"/>
          <c:dLbls>
            <c:dLbl>
              <c:idx val="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DF8-4BE3-8526-4376D02346E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Отчетность!$T$8:$CA$8</c:f>
              <c:numCache>
                <c:formatCode>mmm\-yy</c:formatCode>
                <c:ptCount val="60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</c:numCache>
            </c:numRef>
          </c:cat>
          <c:val>
            <c:numRef>
              <c:f>Отчетность!$T$84:$CA$84</c:f>
              <c:numCache>
                <c:formatCode>_-* #\ ##0;\(#\ ##0\);_-* "-";@</c:formatCode>
                <c:ptCount val="60"/>
                <c:pt idx="0">
                  <c:v>-1000000</c:v>
                </c:pt>
                <c:pt idx="1">
                  <c:v>-1000000</c:v>
                </c:pt>
                <c:pt idx="2">
                  <c:v>-1000000</c:v>
                </c:pt>
                <c:pt idx="3">
                  <c:v>-1000000</c:v>
                </c:pt>
                <c:pt idx="4">
                  <c:v>-6000000</c:v>
                </c:pt>
                <c:pt idx="5">
                  <c:v>-6000000</c:v>
                </c:pt>
                <c:pt idx="6">
                  <c:v>-6000000</c:v>
                </c:pt>
                <c:pt idx="7">
                  <c:v>-6000000</c:v>
                </c:pt>
                <c:pt idx="8">
                  <c:v>-6000000</c:v>
                </c:pt>
                <c:pt idx="9">
                  <c:v>-11000000</c:v>
                </c:pt>
                <c:pt idx="10">
                  <c:v>-11000000</c:v>
                </c:pt>
                <c:pt idx="11">
                  <c:v>-11000000</c:v>
                </c:pt>
                <c:pt idx="12">
                  <c:v>-11000000</c:v>
                </c:pt>
                <c:pt idx="13">
                  <c:v>-11000000</c:v>
                </c:pt>
                <c:pt idx="14">
                  <c:v>-11000000</c:v>
                </c:pt>
                <c:pt idx="15">
                  <c:v>-11000000</c:v>
                </c:pt>
                <c:pt idx="16">
                  <c:v>-10984391.487766027</c:v>
                </c:pt>
                <c:pt idx="17">
                  <c:v>-10889370.732711295</c:v>
                </c:pt>
                <c:pt idx="18">
                  <c:v>-10714975.103062507</c:v>
                </c:pt>
                <c:pt idx="19">
                  <c:v>-10461242.496429581</c:v>
                </c:pt>
                <c:pt idx="20">
                  <c:v>-10128211.347305242</c:v>
                </c:pt>
                <c:pt idx="21">
                  <c:v>-9715920.6346708611</c:v>
                </c:pt>
                <c:pt idx="22">
                  <c:v>-9224409.8897100482</c:v>
                </c:pt>
                <c:pt idx="23">
                  <c:v>-8653719.2036315091</c:v>
                </c:pt>
                <c:pt idx="24">
                  <c:v>-8003889.2356027449</c:v>
                </c:pt>
                <c:pt idx="25">
                  <c:v>-7274961.2207961269</c:v>
                </c:pt>
                <c:pt idx="26">
                  <c:v>-6466976.9785489682</c:v>
                </c:pt>
                <c:pt idx="27">
                  <c:v>-5579978.9206391955</c:v>
                </c:pt>
                <c:pt idx="28">
                  <c:v>-4614010.0596782546</c:v>
                </c:pt>
                <c:pt idx="29">
                  <c:v>-3569114.0176229202</c:v>
                </c:pt>
                <c:pt idx="30">
                  <c:v>-2445335.0344076888</c:v>
                </c:pt>
                <c:pt idx="31">
                  <c:v>-1242717.9766994617</c:v>
                </c:pt>
                <c:pt idx="32">
                  <c:v>38691.653223745059</c:v>
                </c:pt>
                <c:pt idx="33">
                  <c:v>1398847.7084683105</c:v>
                </c:pt>
                <c:pt idx="34">
                  <c:v>2837703.3883929532</c:v>
                </c:pt>
                <c:pt idx="35">
                  <c:v>4355211.2293473091</c:v>
                </c:pt>
                <c:pt idx="36">
                  <c:v>5951323.0952792978</c:v>
                </c:pt>
                <c:pt idx="37">
                  <c:v>7625990.1682094354</c:v>
                </c:pt>
                <c:pt idx="38">
                  <c:v>9379162.9385701977</c:v>
                </c:pt>
                <c:pt idx="39">
                  <c:v>11210791.195408516</c:v>
                </c:pt>
                <c:pt idx="40">
                  <c:v>13120824.016449491</c:v>
                </c:pt>
                <c:pt idx="41">
                  <c:v>15109209.758019326</c:v>
                </c:pt>
                <c:pt idx="42">
                  <c:v>17175896.044825513</c:v>
                </c:pt>
                <c:pt idx="43">
                  <c:v>19320829.759592235</c:v>
                </c:pt>
                <c:pt idx="44">
                  <c:v>21543957.03254893</c:v>
                </c:pt>
                <c:pt idx="45">
                  <c:v>23845223.230769962</c:v>
                </c:pt>
                <c:pt idx="46">
                  <c:v>26224572.947363235</c:v>
                </c:pt>
                <c:pt idx="47">
                  <c:v>28681949.990505695</c:v>
                </c:pt>
                <c:pt idx="48">
                  <c:v>31217297.372323453</c:v>
                </c:pt>
                <c:pt idx="49">
                  <c:v>33830557.297614411</c:v>
                </c:pt>
                <c:pt idx="50">
                  <c:v>36521671.152411103</c:v>
                </c:pt>
                <c:pt idx="51">
                  <c:v>39290579.492381528</c:v>
                </c:pt>
                <c:pt idx="52">
                  <c:v>42137222.03106565</c:v>
                </c:pt>
                <c:pt idx="53">
                  <c:v>45061537.627945237</c:v>
                </c:pt>
                <c:pt idx="54">
                  <c:v>48063464.276344731</c:v>
                </c:pt>
                <c:pt idx="55">
                  <c:v>51142939.09116067</c:v>
                </c:pt>
                <c:pt idx="56">
                  <c:v>54299898.296417281</c:v>
                </c:pt>
                <c:pt idx="57">
                  <c:v>57534277.212645799</c:v>
                </c:pt>
                <c:pt idx="58">
                  <c:v>60846010.244085006</c:v>
                </c:pt>
                <c:pt idx="59">
                  <c:v>64235030.865700379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F8-4BE3-8526-4376D0234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7343775"/>
        <c:axId val="1667345215"/>
      </c:barChart>
      <c:dateAx>
        <c:axId val="1667343775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7345215"/>
        <c:crosses val="autoZero"/>
        <c:auto val="1"/>
        <c:lblOffset val="100"/>
        <c:baseTimeUnit val="months"/>
      </c:dateAx>
      <c:valAx>
        <c:axId val="1667345215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7343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33</xdr:row>
      <xdr:rowOff>171450</xdr:rowOff>
    </xdr:from>
    <xdr:to>
      <xdr:col>4</xdr:col>
      <xdr:colOff>723900</xdr:colOff>
      <xdr:row>36</xdr:row>
      <xdr:rowOff>66675</xdr:rowOff>
    </xdr:to>
    <xdr:sp macro="" textlink="">
      <xdr:nvSpPr>
        <xdr:cNvPr id="3" name="Прямоугольник: скругленные углы 2">
          <a:extLst>
            <a:ext uri="{FF2B5EF4-FFF2-40B4-BE49-F238E27FC236}">
              <a16:creationId xmlns:a16="http://schemas.microsoft.com/office/drawing/2014/main" id="{E12ECFD3-823D-23B0-5D35-326AEF10EEC2}"/>
            </a:ext>
          </a:extLst>
        </xdr:cNvPr>
        <xdr:cNvSpPr/>
      </xdr:nvSpPr>
      <xdr:spPr>
        <a:xfrm>
          <a:off x="561975" y="9963150"/>
          <a:ext cx="1485900" cy="466725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0">
              <a:solidFill>
                <a:schemeClr val="tx1"/>
              </a:solidFill>
            </a:rPr>
            <a:t>Ввод</a:t>
          </a:r>
        </a:p>
      </xdr:txBody>
    </xdr:sp>
    <xdr:clientData fLocksWithSheet="0"/>
  </xdr:twoCellAnchor>
  <xdr:twoCellAnchor>
    <xdr:from>
      <xdr:col>6</xdr:col>
      <xdr:colOff>225425</xdr:colOff>
      <xdr:row>33</xdr:row>
      <xdr:rowOff>171450</xdr:rowOff>
    </xdr:from>
    <xdr:to>
      <xdr:col>8</xdr:col>
      <xdr:colOff>149225</xdr:colOff>
      <xdr:row>36</xdr:row>
      <xdr:rowOff>66675</xdr:rowOff>
    </xdr:to>
    <xdr:sp macro="" textlink="">
      <xdr:nvSpPr>
        <xdr:cNvPr id="4" name="Прямоугольник: скругленные углы 3">
          <a:extLst>
            <a:ext uri="{FF2B5EF4-FFF2-40B4-BE49-F238E27FC236}">
              <a16:creationId xmlns:a16="http://schemas.microsoft.com/office/drawing/2014/main" id="{9360A3EF-C3B2-ABE9-F306-53B8444F3469}"/>
            </a:ext>
          </a:extLst>
        </xdr:cNvPr>
        <xdr:cNvSpPr/>
      </xdr:nvSpPr>
      <xdr:spPr>
        <a:xfrm>
          <a:off x="3111500" y="11668125"/>
          <a:ext cx="1485900" cy="466725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0">
              <a:solidFill>
                <a:schemeClr val="tx1"/>
              </a:solidFill>
            </a:rPr>
            <a:t>Расчет</a:t>
          </a:r>
        </a:p>
      </xdr:txBody>
    </xdr:sp>
    <xdr:clientData fLocksWithSheet="0"/>
  </xdr:twoCellAnchor>
  <xdr:twoCellAnchor>
    <xdr:from>
      <xdr:col>9</xdr:col>
      <xdr:colOff>431800</xdr:colOff>
      <xdr:row>33</xdr:row>
      <xdr:rowOff>171450</xdr:rowOff>
    </xdr:from>
    <xdr:to>
      <xdr:col>11</xdr:col>
      <xdr:colOff>355600</xdr:colOff>
      <xdr:row>36</xdr:row>
      <xdr:rowOff>66675</xdr:rowOff>
    </xdr:to>
    <xdr:sp macro="" textlink="">
      <xdr:nvSpPr>
        <xdr:cNvPr id="8" name="Прямоугольник: скругленные углы 7">
          <a:extLst>
            <a:ext uri="{FF2B5EF4-FFF2-40B4-BE49-F238E27FC236}">
              <a16:creationId xmlns:a16="http://schemas.microsoft.com/office/drawing/2014/main" id="{FAD93038-A7EE-AF05-7FDA-081778F23511}"/>
            </a:ext>
          </a:extLst>
        </xdr:cNvPr>
        <xdr:cNvSpPr/>
      </xdr:nvSpPr>
      <xdr:spPr>
        <a:xfrm>
          <a:off x="5661025" y="11668125"/>
          <a:ext cx="1485900" cy="466725"/>
        </a:xfrm>
        <a:prstGeom prst="roundRect">
          <a:avLst/>
        </a:prstGeom>
        <a:solidFill>
          <a:srgbClr val="8FD29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0">
              <a:solidFill>
                <a:schemeClr val="tx1"/>
              </a:solidFill>
            </a:rPr>
            <a:t>Отчетность</a:t>
          </a:r>
        </a:p>
      </xdr:txBody>
    </xdr:sp>
    <xdr:clientData fLocksWithSheet="0"/>
  </xdr:twoCellAnchor>
  <xdr:twoCellAnchor>
    <xdr:from>
      <xdr:col>12</xdr:col>
      <xdr:colOff>638175</xdr:colOff>
      <xdr:row>33</xdr:row>
      <xdr:rowOff>171450</xdr:rowOff>
    </xdr:from>
    <xdr:to>
      <xdr:col>14</xdr:col>
      <xdr:colOff>561975</xdr:colOff>
      <xdr:row>36</xdr:row>
      <xdr:rowOff>66675</xdr:rowOff>
    </xdr:to>
    <xdr:sp macro="" textlink="">
      <xdr:nvSpPr>
        <xdr:cNvPr id="9" name="Прямоугольник: скругленные углы 8">
          <a:extLst>
            <a:ext uri="{FF2B5EF4-FFF2-40B4-BE49-F238E27FC236}">
              <a16:creationId xmlns:a16="http://schemas.microsoft.com/office/drawing/2014/main" id="{81FA2A02-6046-3B91-0CDF-1E04C86B243D}"/>
            </a:ext>
          </a:extLst>
        </xdr:cNvPr>
        <xdr:cNvSpPr/>
      </xdr:nvSpPr>
      <xdr:spPr>
        <a:xfrm>
          <a:off x="8210550" y="11668125"/>
          <a:ext cx="1485900" cy="466725"/>
        </a:xfrm>
        <a:prstGeom prst="roundRect">
          <a:avLst/>
        </a:prstGeom>
        <a:solidFill>
          <a:srgbClr val="8FD29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0">
              <a:solidFill>
                <a:schemeClr val="tx1"/>
              </a:solidFill>
            </a:rPr>
            <a:t>Результат</a:t>
          </a:r>
        </a:p>
      </xdr:txBody>
    </xdr:sp>
    <xdr:clientData fLocksWithSheet="0"/>
  </xdr:twoCellAnchor>
  <xdr:twoCellAnchor>
    <xdr:from>
      <xdr:col>4</xdr:col>
      <xdr:colOff>723900</xdr:colOff>
      <xdr:row>35</xdr:row>
      <xdr:rowOff>23813</xdr:rowOff>
    </xdr:from>
    <xdr:to>
      <xdr:col>6</xdr:col>
      <xdr:colOff>225425</xdr:colOff>
      <xdr:row>35</xdr:row>
      <xdr:rowOff>23813</xdr:rowOff>
    </xdr:to>
    <xdr:cxnSp macro="">
      <xdr:nvCxnSpPr>
        <xdr:cNvPr id="11" name="Прямая со стрелкой 10">
          <a:extLst>
            <a:ext uri="{FF2B5EF4-FFF2-40B4-BE49-F238E27FC236}">
              <a16:creationId xmlns:a16="http://schemas.microsoft.com/office/drawing/2014/main" id="{D718F0F3-76FA-3020-AD46-6DB27FBF693C}"/>
            </a:ext>
          </a:extLst>
        </xdr:cNvPr>
        <xdr:cNvCxnSpPr>
          <a:stCxn id="3" idx="3"/>
          <a:endCxn id="4" idx="1"/>
        </xdr:cNvCxnSpPr>
      </xdr:nvCxnSpPr>
      <xdr:spPr>
        <a:xfrm>
          <a:off x="2047875" y="11901488"/>
          <a:ext cx="1063625" cy="0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twoCellAnchor>
  <xdr:twoCellAnchor>
    <xdr:from>
      <xdr:col>8</xdr:col>
      <xdr:colOff>149225</xdr:colOff>
      <xdr:row>35</xdr:row>
      <xdr:rowOff>23813</xdr:rowOff>
    </xdr:from>
    <xdr:to>
      <xdr:col>9</xdr:col>
      <xdr:colOff>431800</xdr:colOff>
      <xdr:row>35</xdr:row>
      <xdr:rowOff>23813</xdr:rowOff>
    </xdr:to>
    <xdr:cxnSp macro="">
      <xdr:nvCxnSpPr>
        <xdr:cNvPr id="12" name="Прямая со стрелкой 11">
          <a:extLst>
            <a:ext uri="{FF2B5EF4-FFF2-40B4-BE49-F238E27FC236}">
              <a16:creationId xmlns:a16="http://schemas.microsoft.com/office/drawing/2014/main" id="{E0466DD8-A6A7-BCB2-CAAF-08D903345E52}"/>
            </a:ext>
          </a:extLst>
        </xdr:cNvPr>
        <xdr:cNvCxnSpPr>
          <a:stCxn id="4" idx="3"/>
          <a:endCxn id="8" idx="1"/>
        </xdr:cNvCxnSpPr>
      </xdr:nvCxnSpPr>
      <xdr:spPr>
        <a:xfrm>
          <a:off x="4597400" y="11901488"/>
          <a:ext cx="1063625" cy="0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twoCellAnchor>
  <xdr:twoCellAnchor>
    <xdr:from>
      <xdr:col>11</xdr:col>
      <xdr:colOff>355600</xdr:colOff>
      <xdr:row>35</xdr:row>
      <xdr:rowOff>23813</xdr:rowOff>
    </xdr:from>
    <xdr:to>
      <xdr:col>12</xdr:col>
      <xdr:colOff>638175</xdr:colOff>
      <xdr:row>35</xdr:row>
      <xdr:rowOff>23813</xdr:rowOff>
    </xdr:to>
    <xdr:cxnSp macro="">
      <xdr:nvCxnSpPr>
        <xdr:cNvPr id="18" name="Прямая со стрелкой 17">
          <a:extLst>
            <a:ext uri="{FF2B5EF4-FFF2-40B4-BE49-F238E27FC236}">
              <a16:creationId xmlns:a16="http://schemas.microsoft.com/office/drawing/2014/main" id="{BEBADF0E-DEF8-4D39-C860-13C7820EAA50}"/>
            </a:ext>
          </a:extLst>
        </xdr:cNvPr>
        <xdr:cNvCxnSpPr>
          <a:stCxn id="8" idx="3"/>
          <a:endCxn id="9" idx="1"/>
        </xdr:cNvCxnSpPr>
      </xdr:nvCxnSpPr>
      <xdr:spPr>
        <a:xfrm>
          <a:off x="7146925" y="11901488"/>
          <a:ext cx="1063625" cy="0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47626</xdr:colOff>
      <xdr:row>31</xdr:row>
      <xdr:rowOff>114300</xdr:rowOff>
    </xdr:from>
    <xdr:to>
      <xdr:col>8</xdr:col>
      <xdr:colOff>326573</xdr:colOff>
      <xdr:row>46</xdr:row>
      <xdr:rowOff>57149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BD03E72-0721-7F92-6FB2-B667FEA64A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8</xdr:col>
      <xdr:colOff>568779</xdr:colOff>
      <xdr:row>31</xdr:row>
      <xdr:rowOff>190499</xdr:rowOff>
    </xdr:from>
    <xdr:to>
      <xdr:col>16</xdr:col>
      <xdr:colOff>54429</xdr:colOff>
      <xdr:row>46</xdr:row>
      <xdr:rowOff>28575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7219B886-59AF-4C8B-9375-42108DED30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2</xdr:col>
      <xdr:colOff>180974</xdr:colOff>
      <xdr:row>79</xdr:row>
      <xdr:rowOff>0</xdr:rowOff>
    </xdr:from>
    <xdr:to>
      <xdr:col>15</xdr:col>
      <xdr:colOff>781049</xdr:colOff>
      <xdr:row>100</xdr:row>
      <xdr:rowOff>133350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E56B8654-62E6-4585-976B-D430ED5214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A5A74-4402-46AD-8735-488B248FAC4F}">
  <sheetPr codeName="Лист2">
    <tabColor theme="0"/>
  </sheetPr>
  <dimension ref="A1:R54"/>
  <sheetViews>
    <sheetView showGridLines="0" tabSelected="1" zoomScaleNormal="100" workbookViewId="0">
      <selection activeCell="F15" sqref="F15"/>
    </sheetView>
  </sheetViews>
  <sheetFormatPr defaultColWidth="0" defaultRowHeight="15" customHeight="1" zeroHeight="1" x14ac:dyDescent="0.3"/>
  <cols>
    <col min="1" max="3" width="2.6640625" style="12" customWidth="1"/>
    <col min="4" max="4" width="11.6640625" style="13" customWidth="1"/>
    <col min="5" max="15" width="11.6640625" style="12" customWidth="1"/>
    <col min="16" max="18" width="2.6640625" style="12" customWidth="1"/>
    <col min="19" max="16384" width="11.6640625" style="12" hidden="1"/>
  </cols>
  <sheetData>
    <row r="1" spans="2:17" ht="15" customHeight="1" x14ac:dyDescent="0.3"/>
    <row r="2" spans="2:17" ht="15" customHeight="1" x14ac:dyDescent="0.3">
      <c r="B2" s="8"/>
      <c r="C2" s="8"/>
      <c r="D2" s="9"/>
      <c r="E2" s="9"/>
      <c r="F2" s="9"/>
      <c r="G2" s="9"/>
      <c r="H2" s="9"/>
      <c r="I2" s="9"/>
      <c r="J2" s="9"/>
      <c r="K2" s="9"/>
      <c r="L2" s="8"/>
      <c r="M2" s="8"/>
      <c r="N2" s="8"/>
      <c r="O2" s="8"/>
      <c r="P2" s="8"/>
      <c r="Q2" s="8"/>
    </row>
    <row r="3" spans="2:17" ht="15" customHeight="1" x14ac:dyDescent="0.3">
      <c r="B3" s="8"/>
      <c r="C3" s="8"/>
      <c r="D3" s="9"/>
      <c r="E3" s="9"/>
      <c r="F3" s="9"/>
      <c r="G3" s="9"/>
      <c r="H3" s="9"/>
      <c r="I3" s="9"/>
      <c r="J3" s="9"/>
      <c r="K3" s="9"/>
      <c r="L3" s="8"/>
      <c r="M3" s="8"/>
      <c r="N3" s="8"/>
      <c r="O3" s="8"/>
      <c r="P3" s="8"/>
      <c r="Q3" s="8"/>
    </row>
    <row r="4" spans="2:17" ht="15" customHeight="1" x14ac:dyDescent="0.3">
      <c r="B4" s="8"/>
      <c r="C4" s="8"/>
      <c r="D4" s="375" t="s">
        <v>124</v>
      </c>
      <c r="E4" s="375"/>
      <c r="F4" s="375"/>
      <c r="G4" s="375"/>
      <c r="H4" s="9"/>
      <c r="I4" s="9"/>
      <c r="J4" s="9"/>
      <c r="K4" s="9"/>
      <c r="L4" s="8"/>
      <c r="M4" s="8"/>
      <c r="N4" s="8"/>
      <c r="O4" s="8"/>
      <c r="P4" s="8"/>
      <c r="Q4" s="8"/>
    </row>
    <row r="5" spans="2:17" ht="15" customHeight="1" x14ac:dyDescent="0.3">
      <c r="B5" s="8"/>
      <c r="C5" s="8"/>
      <c r="D5" s="375"/>
      <c r="E5" s="375"/>
      <c r="F5" s="375"/>
      <c r="G5" s="375"/>
      <c r="H5" s="9"/>
      <c r="I5" s="9"/>
      <c r="J5" s="9"/>
      <c r="K5" s="9"/>
      <c r="L5" s="8"/>
      <c r="M5" s="8"/>
      <c r="N5" s="8"/>
      <c r="O5" s="8"/>
      <c r="P5" s="8"/>
      <c r="Q5" s="8"/>
    </row>
    <row r="6" spans="2:17" ht="15" customHeight="1" x14ac:dyDescent="0.3">
      <c r="B6" s="8"/>
      <c r="C6" s="8"/>
      <c r="D6" s="196" t="str">
        <f>Ввод!M11</f>
        <v>Строительства завода по производству винтовых свай</v>
      </c>
      <c r="E6" s="8"/>
      <c r="F6" s="8"/>
      <c r="G6" s="8"/>
      <c r="H6" s="9"/>
      <c r="I6" s="9"/>
      <c r="J6" s="9"/>
      <c r="K6" s="9"/>
      <c r="L6" s="8"/>
      <c r="M6" s="8"/>
      <c r="N6" s="8"/>
      <c r="O6" s="206"/>
      <c r="P6" s="8"/>
      <c r="Q6" s="8"/>
    </row>
    <row r="7" spans="2:17" ht="15" customHeight="1" x14ac:dyDescent="0.3">
      <c r="B7" s="8"/>
      <c r="C7" s="8"/>
      <c r="D7" s="8"/>
      <c r="E7" s="9"/>
      <c r="F7" s="9"/>
      <c r="G7" s="9"/>
      <c r="H7" s="9"/>
      <c r="I7" s="9"/>
      <c r="J7" s="9"/>
      <c r="K7" s="9"/>
      <c r="L7" s="8"/>
      <c r="M7" s="8"/>
      <c r="N7" s="8"/>
      <c r="O7" s="8"/>
      <c r="P7" s="8"/>
      <c r="Q7" s="8"/>
    </row>
    <row r="8" spans="2:17" ht="15" customHeight="1" x14ac:dyDescent="0.3">
      <c r="B8" s="8"/>
      <c r="C8" s="8"/>
      <c r="D8" s="133" t="s">
        <v>176</v>
      </c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8"/>
      <c r="Q8" s="8"/>
    </row>
    <row r="9" spans="2:17" ht="15" customHeight="1" x14ac:dyDescent="0.3">
      <c r="B9" s="8"/>
      <c r="C9" s="8"/>
      <c r="D9" s="282"/>
      <c r="E9" s="282"/>
      <c r="F9" s="282"/>
      <c r="G9" s="282"/>
      <c r="H9" s="282"/>
      <c r="I9" s="282"/>
      <c r="J9" s="282"/>
      <c r="K9" s="282"/>
      <c r="L9" s="282"/>
      <c r="M9" s="282"/>
      <c r="N9" s="282"/>
      <c r="O9" s="282"/>
      <c r="P9" s="8"/>
      <c r="Q9" s="8"/>
    </row>
    <row r="10" spans="2:17" ht="56.4" customHeight="1" x14ac:dyDescent="0.3">
      <c r="B10" s="8"/>
      <c r="C10" s="8"/>
      <c r="D10" s="379" t="s">
        <v>206</v>
      </c>
      <c r="E10" s="379"/>
      <c r="F10" s="379"/>
      <c r="G10" s="379"/>
      <c r="H10" s="379"/>
      <c r="I10" s="379"/>
      <c r="J10" s="379"/>
      <c r="K10" s="379"/>
      <c r="L10" s="379"/>
      <c r="M10" s="379"/>
      <c r="N10" s="379"/>
      <c r="O10" s="379"/>
      <c r="P10" s="8"/>
      <c r="Q10" s="8"/>
    </row>
    <row r="11" spans="2:17" ht="15" customHeight="1" x14ac:dyDescent="0.3">
      <c r="B11" s="8"/>
      <c r="C11" s="8"/>
      <c r="D11" s="282"/>
      <c r="E11" s="282"/>
      <c r="F11" s="282"/>
      <c r="G11" s="282"/>
      <c r="H11" s="282"/>
      <c r="I11" s="282"/>
      <c r="J11" s="282"/>
      <c r="K11" s="282"/>
      <c r="L11" s="282"/>
      <c r="M11" s="282"/>
      <c r="N11" s="282"/>
      <c r="O11" s="282"/>
      <c r="P11" s="8"/>
      <c r="Q11" s="8"/>
    </row>
    <row r="12" spans="2:17" ht="15" customHeight="1" x14ac:dyDescent="0.3">
      <c r="B12" s="8"/>
      <c r="C12" s="8"/>
      <c r="D12" s="133" t="s">
        <v>2</v>
      </c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8"/>
      <c r="Q12" s="8"/>
    </row>
    <row r="13" spans="2:17" ht="15" customHeight="1" x14ac:dyDescent="0.3">
      <c r="B13" s="8"/>
      <c r="C13" s="8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8"/>
      <c r="Q13" s="8"/>
    </row>
    <row r="14" spans="2:17" ht="15" customHeight="1" x14ac:dyDescent="0.3">
      <c r="B14" s="8"/>
      <c r="C14" s="8"/>
      <c r="D14" s="163" t="s">
        <v>3</v>
      </c>
      <c r="E14" s="163"/>
      <c r="F14" s="163" t="s">
        <v>125</v>
      </c>
      <c r="G14" s="163"/>
      <c r="H14" s="163"/>
      <c r="I14" s="163" t="s">
        <v>4</v>
      </c>
      <c r="J14" s="163"/>
      <c r="K14" s="195"/>
      <c r="L14" s="195"/>
      <c r="M14" s="195"/>
      <c r="N14" s="195"/>
      <c r="O14" s="195"/>
      <c r="P14" s="8"/>
      <c r="Q14" s="8"/>
    </row>
    <row r="15" spans="2:17" ht="15" customHeight="1" x14ac:dyDescent="0.3">
      <c r="B15" s="8"/>
      <c r="C15" s="8"/>
      <c r="D15" s="9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2:17" ht="36.75" customHeight="1" x14ac:dyDescent="0.3">
      <c r="B16" s="8"/>
      <c r="C16" s="8"/>
      <c r="D16" s="199" t="s">
        <v>21</v>
      </c>
      <c r="E16" s="200"/>
      <c r="F16" s="264" t="s">
        <v>139</v>
      </c>
      <c r="G16" s="197"/>
      <c r="H16" s="197"/>
      <c r="I16" s="376" t="s">
        <v>150</v>
      </c>
      <c r="J16" s="376"/>
      <c r="K16" s="376"/>
      <c r="L16" s="376"/>
      <c r="M16" s="376"/>
      <c r="N16" s="376"/>
      <c r="O16" s="376"/>
      <c r="P16" s="8"/>
      <c r="Q16" s="8"/>
    </row>
    <row r="17" spans="2:17" ht="23.25" customHeight="1" x14ac:dyDescent="0.3">
      <c r="B17" s="8"/>
      <c r="C17" s="8"/>
      <c r="D17" s="260" t="s">
        <v>5</v>
      </c>
      <c r="E17" s="261"/>
      <c r="F17" s="262" t="s">
        <v>6</v>
      </c>
      <c r="G17" s="256"/>
      <c r="H17" s="257"/>
      <c r="I17" s="377" t="s">
        <v>137</v>
      </c>
      <c r="J17" s="377"/>
      <c r="K17" s="377"/>
      <c r="L17" s="377"/>
      <c r="M17" s="377"/>
      <c r="N17" s="377"/>
      <c r="O17" s="377"/>
      <c r="P17" s="8"/>
      <c r="Q17" s="8"/>
    </row>
    <row r="18" spans="2:17" ht="23.25" customHeight="1" x14ac:dyDescent="0.3">
      <c r="B18" s="8"/>
      <c r="C18" s="8"/>
      <c r="D18" s="203"/>
      <c r="E18" s="202"/>
      <c r="F18" s="263" t="s">
        <v>7</v>
      </c>
      <c r="G18" s="258"/>
      <c r="H18" s="259"/>
      <c r="I18" s="378" t="s">
        <v>138</v>
      </c>
      <c r="J18" s="378"/>
      <c r="K18" s="378"/>
      <c r="L18" s="378"/>
      <c r="M18" s="378"/>
      <c r="N18" s="378"/>
      <c r="O18" s="378"/>
      <c r="P18" s="8"/>
      <c r="Q18" s="8"/>
    </row>
    <row r="19" spans="2:17" ht="23.25" customHeight="1" x14ac:dyDescent="0.3">
      <c r="B19" s="8"/>
      <c r="C19" s="8"/>
      <c r="D19" s="203"/>
      <c r="E19" s="202"/>
      <c r="F19" s="265" t="s">
        <v>8</v>
      </c>
      <c r="G19" s="266"/>
      <c r="H19" s="267"/>
      <c r="I19" s="371" t="s">
        <v>141</v>
      </c>
      <c r="J19" s="371"/>
      <c r="K19" s="371"/>
      <c r="L19" s="371"/>
      <c r="M19" s="371"/>
      <c r="N19" s="371"/>
      <c r="O19" s="371"/>
      <c r="P19" s="8"/>
      <c r="Q19" s="8"/>
    </row>
    <row r="20" spans="2:17" ht="23.25" customHeight="1" x14ac:dyDescent="0.3">
      <c r="B20" s="8"/>
      <c r="C20" s="8"/>
      <c r="D20" s="203"/>
      <c r="E20" s="202"/>
      <c r="F20" s="268" t="s">
        <v>9</v>
      </c>
      <c r="G20" s="269"/>
      <c r="H20" s="270"/>
      <c r="I20" s="271" t="s">
        <v>10</v>
      </c>
      <c r="J20" s="272"/>
      <c r="K20" s="273"/>
      <c r="L20" s="274"/>
      <c r="M20" s="274"/>
      <c r="N20" s="274"/>
      <c r="O20" s="274"/>
      <c r="P20" s="8"/>
      <c r="Q20" s="8"/>
    </row>
    <row r="21" spans="2:17" ht="23.25" customHeight="1" x14ac:dyDescent="0.3">
      <c r="B21" s="8"/>
      <c r="C21" s="8"/>
      <c r="D21" s="203"/>
      <c r="E21" s="202"/>
      <c r="F21" s="268" t="s">
        <v>11</v>
      </c>
      <c r="G21" s="269"/>
      <c r="H21" s="270"/>
      <c r="I21" s="271" t="s">
        <v>12</v>
      </c>
      <c r="J21" s="272"/>
      <c r="K21" s="273"/>
      <c r="L21" s="274"/>
      <c r="M21" s="274"/>
      <c r="N21" s="274"/>
      <c r="O21" s="274"/>
      <c r="P21" s="8"/>
      <c r="Q21" s="8"/>
    </row>
    <row r="22" spans="2:17" ht="23.25" customHeight="1" x14ac:dyDescent="0.3">
      <c r="B22" s="8"/>
      <c r="C22" s="8"/>
      <c r="D22" s="203"/>
      <c r="E22" s="202"/>
      <c r="F22" s="268" t="s">
        <v>57</v>
      </c>
      <c r="G22" s="269"/>
      <c r="H22" s="270"/>
      <c r="I22" s="271" t="s">
        <v>13</v>
      </c>
      <c r="J22" s="272"/>
      <c r="K22" s="273"/>
      <c r="L22" s="274"/>
      <c r="M22" s="274"/>
      <c r="N22" s="274"/>
      <c r="O22" s="274"/>
      <c r="P22" s="8"/>
      <c r="Q22" s="8"/>
    </row>
    <row r="23" spans="2:17" ht="23.25" customHeight="1" x14ac:dyDescent="0.3">
      <c r="B23" s="8"/>
      <c r="C23" s="8"/>
      <c r="D23" s="203"/>
      <c r="E23" s="202"/>
      <c r="F23" s="268" t="s">
        <v>14</v>
      </c>
      <c r="G23" s="269"/>
      <c r="H23" s="270"/>
      <c r="I23" s="271" t="s">
        <v>15</v>
      </c>
      <c r="J23" s="272"/>
      <c r="K23" s="273"/>
      <c r="L23" s="274"/>
      <c r="M23" s="274"/>
      <c r="N23" s="274"/>
      <c r="O23" s="274"/>
      <c r="P23" s="8"/>
      <c r="Q23" s="8"/>
    </row>
    <row r="24" spans="2:17" ht="23.25" customHeight="1" x14ac:dyDescent="0.3">
      <c r="B24" s="8"/>
      <c r="C24" s="8"/>
      <c r="D24" s="204"/>
      <c r="E24" s="200"/>
      <c r="F24" s="275" t="s">
        <v>16</v>
      </c>
      <c r="G24" s="276"/>
      <c r="H24" s="277"/>
      <c r="I24" s="278" t="s">
        <v>17</v>
      </c>
      <c r="J24" s="279"/>
      <c r="K24" s="280"/>
      <c r="L24" s="281"/>
      <c r="M24" s="281"/>
      <c r="N24" s="281"/>
      <c r="O24" s="281"/>
      <c r="P24" s="8"/>
      <c r="Q24" s="8"/>
    </row>
    <row r="25" spans="2:17" ht="23.25" customHeight="1" x14ac:dyDescent="0.3">
      <c r="B25" s="8"/>
      <c r="C25" s="8"/>
      <c r="D25" s="201" t="s">
        <v>18</v>
      </c>
      <c r="E25" s="202"/>
      <c r="F25" s="268" t="s">
        <v>140</v>
      </c>
      <c r="G25" s="269"/>
      <c r="H25" s="270"/>
      <c r="I25" s="271" t="s">
        <v>143</v>
      </c>
      <c r="J25" s="272"/>
      <c r="K25" s="273"/>
      <c r="L25" s="274"/>
      <c r="M25" s="274"/>
      <c r="N25" s="274"/>
      <c r="O25" s="274"/>
      <c r="P25" s="8"/>
      <c r="Q25" s="8"/>
    </row>
    <row r="26" spans="2:17" ht="32.25" customHeight="1" x14ac:dyDescent="0.3">
      <c r="B26" s="8"/>
      <c r="C26" s="8"/>
      <c r="D26" s="201"/>
      <c r="E26" s="202"/>
      <c r="F26" s="268" t="s">
        <v>142</v>
      </c>
      <c r="G26" s="269"/>
      <c r="H26" s="270"/>
      <c r="I26" s="372" t="s">
        <v>144</v>
      </c>
      <c r="J26" s="372"/>
      <c r="K26" s="372"/>
      <c r="L26" s="372"/>
      <c r="M26" s="372"/>
      <c r="N26" s="372"/>
      <c r="O26" s="372"/>
      <c r="P26" s="8"/>
      <c r="Q26" s="8"/>
    </row>
    <row r="27" spans="2:17" ht="23.25" customHeight="1" x14ac:dyDescent="0.3">
      <c r="B27" s="8"/>
      <c r="C27" s="8"/>
      <c r="D27" s="205"/>
      <c r="E27" s="200"/>
      <c r="F27" s="275" t="s">
        <v>131</v>
      </c>
      <c r="G27" s="276"/>
      <c r="H27" s="277"/>
      <c r="I27" s="278" t="s">
        <v>151</v>
      </c>
      <c r="J27" s="279"/>
      <c r="K27" s="280"/>
      <c r="L27" s="281"/>
      <c r="M27" s="281"/>
      <c r="N27" s="281"/>
      <c r="O27" s="281"/>
      <c r="P27" s="8"/>
      <c r="Q27" s="8"/>
    </row>
    <row r="28" spans="2:17" ht="20.100000000000001" customHeight="1" x14ac:dyDescent="0.3">
      <c r="B28" s="8"/>
      <c r="C28" s="8"/>
      <c r="D28" s="260" t="s">
        <v>19</v>
      </c>
      <c r="E28" s="261"/>
      <c r="F28" s="292" t="s">
        <v>139</v>
      </c>
      <c r="G28" s="293"/>
      <c r="H28" s="293"/>
      <c r="I28" s="373" t="s">
        <v>145</v>
      </c>
      <c r="J28" s="373"/>
      <c r="K28" s="373"/>
      <c r="L28" s="373"/>
      <c r="M28" s="373"/>
      <c r="N28" s="373"/>
      <c r="O28" s="373"/>
      <c r="P28" s="8"/>
      <c r="Q28" s="8"/>
    </row>
    <row r="29" spans="2:17" ht="20.100000000000001" customHeight="1" x14ac:dyDescent="0.3">
      <c r="B29" s="8"/>
      <c r="C29" s="8"/>
      <c r="D29" s="201"/>
      <c r="E29" s="202"/>
      <c r="F29" s="294"/>
      <c r="G29" s="294"/>
      <c r="H29" s="294"/>
      <c r="I29" s="374"/>
      <c r="J29" s="374"/>
      <c r="K29" s="374"/>
      <c r="L29" s="374"/>
      <c r="M29" s="374"/>
      <c r="N29" s="374"/>
      <c r="O29" s="374"/>
      <c r="P29" s="8"/>
      <c r="Q29" s="8"/>
    </row>
    <row r="30" spans="2:17" ht="15" customHeight="1" x14ac:dyDescent="0.3">
      <c r="B30" s="8"/>
      <c r="C30" s="8"/>
      <c r="D30" s="9"/>
      <c r="E30" s="8"/>
      <c r="F30" s="11"/>
      <c r="G30" s="11"/>
      <c r="H30" s="11"/>
      <c r="I30" s="107"/>
      <c r="J30" s="107"/>
      <c r="K30" s="107"/>
      <c r="L30" s="107"/>
      <c r="M30" s="107"/>
      <c r="N30" s="107"/>
      <c r="O30" s="107"/>
      <c r="P30" s="8"/>
      <c r="Q30" s="8"/>
    </row>
    <row r="31" spans="2:17" ht="15" customHeight="1" x14ac:dyDescent="0.3">
      <c r="B31" s="8"/>
      <c r="C31" s="8"/>
      <c r="D31" s="133" t="s">
        <v>20</v>
      </c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8"/>
      <c r="Q31" s="8"/>
    </row>
    <row r="32" spans="2:17" ht="15" customHeight="1" x14ac:dyDescent="0.3">
      <c r="B32" s="8"/>
      <c r="C32" s="8"/>
      <c r="D32" s="9"/>
      <c r="E32" s="8"/>
      <c r="F32" s="11"/>
      <c r="G32" s="11"/>
      <c r="H32" s="11"/>
      <c r="I32" s="107"/>
      <c r="J32" s="107"/>
      <c r="K32" s="107"/>
      <c r="L32" s="107"/>
      <c r="M32" s="107"/>
      <c r="N32" s="107"/>
      <c r="O32" s="107"/>
      <c r="P32" s="8"/>
      <c r="Q32" s="8"/>
    </row>
    <row r="33" spans="2:17" ht="15" customHeight="1" x14ac:dyDescent="0.3">
      <c r="B33" s="8"/>
      <c r="C33" s="8"/>
      <c r="D33" s="9"/>
      <c r="E33" s="8"/>
      <c r="F33" s="11"/>
      <c r="G33" s="11"/>
      <c r="H33" s="11"/>
      <c r="I33" s="107"/>
      <c r="J33" s="107"/>
      <c r="K33" s="107"/>
      <c r="L33" s="107"/>
      <c r="M33" s="107"/>
      <c r="N33" s="107"/>
      <c r="O33" s="107"/>
      <c r="P33" s="8"/>
      <c r="Q33" s="8"/>
    </row>
    <row r="34" spans="2:17" ht="15" customHeight="1" x14ac:dyDescent="0.3">
      <c r="B34" s="8"/>
      <c r="C34" s="8"/>
      <c r="D34" s="9"/>
      <c r="E34" s="8"/>
      <c r="F34" s="11"/>
      <c r="G34" s="11"/>
      <c r="H34" s="11"/>
      <c r="I34" s="107"/>
      <c r="J34" s="107"/>
      <c r="K34" s="107"/>
      <c r="L34" s="107"/>
      <c r="M34" s="107"/>
      <c r="N34" s="107"/>
      <c r="O34" s="107"/>
      <c r="P34" s="8"/>
      <c r="Q34" s="8"/>
    </row>
    <row r="35" spans="2:17" ht="15" customHeight="1" x14ac:dyDescent="0.3">
      <c r="B35" s="8"/>
      <c r="C35" s="8"/>
      <c r="D35" s="9"/>
      <c r="E35" s="8"/>
      <c r="F35" s="11"/>
      <c r="G35" s="11"/>
      <c r="H35" s="11"/>
      <c r="I35" s="107"/>
      <c r="J35" s="107"/>
      <c r="K35" s="107"/>
      <c r="L35" s="107"/>
      <c r="M35" s="107"/>
      <c r="N35" s="107"/>
      <c r="O35" s="107"/>
      <c r="P35" s="8"/>
      <c r="Q35" s="8"/>
    </row>
    <row r="36" spans="2:17" ht="15" customHeight="1" x14ac:dyDescent="0.3">
      <c r="B36" s="8"/>
      <c r="C36" s="8"/>
      <c r="D36" s="9"/>
      <c r="E36" s="8"/>
      <c r="F36" s="11"/>
      <c r="G36" s="11"/>
      <c r="H36" s="11"/>
      <c r="I36" s="107"/>
      <c r="J36" s="107"/>
      <c r="K36" s="107"/>
      <c r="L36" s="107"/>
      <c r="M36" s="107"/>
      <c r="N36" s="107"/>
      <c r="O36" s="107"/>
      <c r="P36" s="8"/>
      <c r="Q36" s="8"/>
    </row>
    <row r="37" spans="2:17" ht="15" customHeight="1" x14ac:dyDescent="0.3">
      <c r="B37" s="8"/>
      <c r="C37" s="8"/>
      <c r="D37" s="9"/>
      <c r="E37" s="8"/>
      <c r="F37" s="11"/>
      <c r="G37" s="11"/>
      <c r="H37" s="11"/>
      <c r="I37" s="107"/>
      <c r="J37" s="107"/>
      <c r="K37" s="107"/>
      <c r="L37" s="107"/>
      <c r="M37" s="107"/>
      <c r="N37" s="107"/>
      <c r="O37" s="107"/>
      <c r="P37" s="8"/>
      <c r="Q37" s="8"/>
    </row>
    <row r="38" spans="2:17" ht="15" customHeight="1" x14ac:dyDescent="0.3">
      <c r="B38" s="8"/>
      <c r="C38" s="8"/>
      <c r="D38" s="9"/>
      <c r="E38" s="8"/>
      <c r="F38" s="11"/>
      <c r="G38" s="11"/>
      <c r="H38" s="11"/>
      <c r="I38" s="107"/>
      <c r="J38" s="107"/>
      <c r="K38" s="107"/>
      <c r="L38" s="107"/>
      <c r="M38" s="107"/>
      <c r="N38" s="107"/>
      <c r="O38" s="107"/>
      <c r="P38" s="8"/>
      <c r="Q38" s="8"/>
    </row>
    <row r="39" spans="2:17" ht="15" customHeight="1" x14ac:dyDescent="0.3">
      <c r="B39" s="8"/>
      <c r="C39" s="8"/>
      <c r="D39" s="9"/>
      <c r="E39" s="8"/>
      <c r="F39" s="11"/>
      <c r="G39" s="11"/>
      <c r="H39" s="11"/>
      <c r="I39" s="107"/>
      <c r="J39" s="107"/>
      <c r="K39" s="107"/>
      <c r="L39" s="107"/>
      <c r="M39" s="107"/>
      <c r="N39" s="107"/>
      <c r="O39" s="107"/>
      <c r="P39" s="8"/>
      <c r="Q39" s="8"/>
    </row>
    <row r="40" spans="2:17" ht="15" customHeight="1" x14ac:dyDescent="0.3">
      <c r="B40" s="8"/>
      <c r="C40" s="8"/>
      <c r="D40" s="133" t="s">
        <v>0</v>
      </c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8"/>
      <c r="Q40" s="8"/>
    </row>
    <row r="41" spans="2:17" ht="15" customHeight="1" x14ac:dyDescent="0.3">
      <c r="B41" s="8"/>
      <c r="C41" s="8"/>
      <c r="D41" s="9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</row>
    <row r="42" spans="2:17" ht="15" customHeight="1" x14ac:dyDescent="0.3">
      <c r="B42" s="8"/>
      <c r="C42" s="8"/>
      <c r="D42" s="157">
        <v>123</v>
      </c>
      <c r="E42" s="106" t="s">
        <v>126</v>
      </c>
      <c r="F42" s="8"/>
      <c r="G42" s="8"/>
      <c r="H42" s="8"/>
      <c r="I42" s="8"/>
      <c r="J42" s="8"/>
      <c r="K42" s="10"/>
      <c r="L42" s="8"/>
      <c r="M42" s="8"/>
      <c r="N42" s="8"/>
      <c r="O42" s="8"/>
      <c r="P42" s="8"/>
      <c r="Q42" s="8"/>
    </row>
    <row r="43" spans="2:17" ht="15" customHeight="1" x14ac:dyDescent="0.3">
      <c r="B43" s="8"/>
      <c r="C43" s="8"/>
      <c r="D43" s="193">
        <f>D42</f>
        <v>123</v>
      </c>
      <c r="E43" s="106" t="s">
        <v>127</v>
      </c>
      <c r="F43" s="8"/>
      <c r="G43" s="8"/>
      <c r="H43" s="8"/>
      <c r="I43" s="8"/>
      <c r="J43" s="8"/>
      <c r="K43" s="10"/>
      <c r="L43" s="8"/>
      <c r="M43" s="8"/>
      <c r="N43" s="8"/>
      <c r="O43" s="8"/>
      <c r="P43" s="8"/>
      <c r="Q43" s="8"/>
    </row>
    <row r="44" spans="2:17" ht="15" customHeight="1" x14ac:dyDescent="0.3">
      <c r="B44" s="8"/>
      <c r="C44" s="8"/>
      <c r="D44" s="194">
        <f>123*2/2</f>
        <v>123</v>
      </c>
      <c r="E44" s="106" t="s">
        <v>1</v>
      </c>
      <c r="F44" s="8"/>
      <c r="G44" s="8"/>
      <c r="H44" s="8"/>
      <c r="I44" s="8"/>
      <c r="J44" s="8"/>
      <c r="K44" s="10"/>
      <c r="L44" s="8"/>
      <c r="M44" s="8"/>
      <c r="N44" s="8"/>
      <c r="O44" s="8"/>
      <c r="P44" s="8"/>
      <c r="Q44" s="8"/>
    </row>
    <row r="45" spans="2:17" ht="15" customHeight="1" x14ac:dyDescent="0.3">
      <c r="B45" s="8"/>
      <c r="C45" s="8"/>
      <c r="D45" s="194"/>
      <c r="E45" s="106"/>
      <c r="F45" s="8"/>
      <c r="G45" s="8"/>
      <c r="H45" s="8"/>
      <c r="I45" s="8"/>
      <c r="J45" s="8"/>
      <c r="K45" s="10"/>
      <c r="L45" s="8"/>
      <c r="M45" s="8"/>
      <c r="N45" s="8"/>
      <c r="O45" s="8"/>
      <c r="P45" s="8"/>
      <c r="Q45" s="8"/>
    </row>
    <row r="46" spans="2:17" ht="15" customHeight="1" x14ac:dyDescent="0.3">
      <c r="B46" s="8"/>
      <c r="C46" s="8"/>
      <c r="D46" s="194"/>
      <c r="E46" s="106"/>
      <c r="F46" s="8"/>
      <c r="G46" s="8"/>
      <c r="H46" s="8"/>
      <c r="I46" s="8"/>
      <c r="J46" s="8"/>
      <c r="K46" s="10"/>
      <c r="L46" s="8"/>
      <c r="M46" s="8"/>
      <c r="N46" s="8"/>
      <c r="O46" s="8"/>
      <c r="P46" s="8"/>
      <c r="Q46" s="8"/>
    </row>
    <row r="47" spans="2:17" ht="15" customHeight="1" x14ac:dyDescent="0.3">
      <c r="B47" s="8"/>
      <c r="C47" s="8"/>
      <c r="D47" s="295"/>
      <c r="E47" s="106"/>
      <c r="F47" s="8"/>
      <c r="G47" s="8"/>
      <c r="H47" s="8"/>
      <c r="I47" s="8"/>
      <c r="J47" s="8"/>
      <c r="K47" s="10"/>
      <c r="L47" s="8"/>
      <c r="M47" s="8"/>
      <c r="N47" s="8"/>
      <c r="O47" s="8"/>
      <c r="P47" s="8"/>
      <c r="Q47" s="8"/>
    </row>
    <row r="48" spans="2:17" ht="15" customHeight="1" x14ac:dyDescent="0.3">
      <c r="B48" s="8"/>
      <c r="C48" s="8"/>
      <c r="D48" s="194"/>
      <c r="E48" s="106"/>
      <c r="F48" s="8"/>
      <c r="G48" s="8"/>
      <c r="H48" s="8"/>
      <c r="I48" s="8"/>
      <c r="J48" s="8"/>
      <c r="K48" s="10"/>
      <c r="L48" s="8"/>
      <c r="M48" s="8"/>
      <c r="N48" s="8"/>
      <c r="O48" s="8"/>
      <c r="P48" s="8"/>
      <c r="Q48" s="8"/>
    </row>
    <row r="49" spans="4:4" ht="15" customHeight="1" x14ac:dyDescent="0.3">
      <c r="D49" s="12"/>
    </row>
    <row r="52" spans="4:4" ht="15" hidden="1" customHeight="1" x14ac:dyDescent="0.3">
      <c r="D52" s="12"/>
    </row>
    <row r="53" spans="4:4" ht="15" hidden="1" customHeight="1" x14ac:dyDescent="0.3">
      <c r="D53" s="12"/>
    </row>
    <row r="54" spans="4:4" ht="15" hidden="1" customHeight="1" x14ac:dyDescent="0.3">
      <c r="D54" s="12"/>
    </row>
  </sheetData>
  <sheetProtection formatCells="0" formatColumns="0" formatRows="0" insertColumns="0" insertRows="0" insertHyperlinks="0" deleteColumns="0" deleteRows="0" sort="0" autoFilter="0" pivotTables="0"/>
  <mergeCells count="8">
    <mergeCell ref="I19:O19"/>
    <mergeCell ref="I26:O26"/>
    <mergeCell ref="I28:O29"/>
    <mergeCell ref="D4:G5"/>
    <mergeCell ref="I16:O16"/>
    <mergeCell ref="I17:O17"/>
    <mergeCell ref="I18:O18"/>
    <mergeCell ref="D10:O1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CA9A6-8086-4822-A502-114051B0D3D5}">
  <sheetPr codeName="Лист3">
    <tabColor theme="2"/>
  </sheetPr>
  <dimension ref="A1:CE211"/>
  <sheetViews>
    <sheetView showGridLines="0" zoomScaleNormal="100" workbookViewId="0">
      <pane xSplit="14" ySplit="8" topLeftCell="O9" activePane="bottomRight" state="frozen"/>
      <selection activeCell="O9" sqref="O9"/>
      <selection pane="topRight" activeCell="O9" sqref="O9"/>
      <selection pane="bottomLeft" activeCell="O9" sqref="O9"/>
      <selection pane="bottomRight" activeCell="N45" sqref="N45"/>
    </sheetView>
  </sheetViews>
  <sheetFormatPr defaultColWidth="0" defaultRowHeight="15" customHeight="1" zeroHeight="1" x14ac:dyDescent="0.3"/>
  <cols>
    <col min="1" max="3" width="2.6640625" style="19" customWidth="1"/>
    <col min="4" max="4" width="11.6640625" style="145" customWidth="1"/>
    <col min="5" max="8" width="11.6640625" style="56" customWidth="1"/>
    <col min="9" max="13" width="11.6640625" style="19" customWidth="1"/>
    <col min="14" max="14" width="12.6640625" style="19" customWidth="1"/>
    <col min="15" max="15" width="2.6640625" style="16" customWidth="1"/>
    <col min="16" max="20" width="11.6640625" style="19" customWidth="1"/>
    <col min="21" max="21" width="2.6640625" style="16" customWidth="1"/>
    <col min="22" max="81" width="11.6640625" style="20" customWidth="1"/>
    <col min="82" max="82" width="2.6640625" style="20" customWidth="1"/>
    <col min="83" max="83" width="2.6640625" style="19" customWidth="1"/>
    <col min="84" max="16384" width="11.6640625" style="19" hidden="1"/>
  </cols>
  <sheetData>
    <row r="1" spans="1:83" ht="15" customHeight="1" x14ac:dyDescent="0.3">
      <c r="A1" s="18"/>
      <c r="D1" s="129"/>
      <c r="E1" s="19"/>
      <c r="F1" s="19"/>
      <c r="G1" s="19"/>
      <c r="H1" s="19"/>
      <c r="O1" s="108"/>
      <c r="U1" s="108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</row>
    <row r="2" spans="1:83" s="21" customFormat="1" ht="15" customHeight="1" x14ac:dyDescent="0.3">
      <c r="A2" s="17"/>
      <c r="B2" s="3"/>
      <c r="C2" s="3"/>
      <c r="D2" s="79"/>
      <c r="E2" s="79"/>
      <c r="F2" s="79"/>
      <c r="G2" s="79"/>
      <c r="H2" s="79"/>
      <c r="O2" s="4"/>
      <c r="U2" s="4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110"/>
      <c r="CE2" s="19"/>
    </row>
    <row r="3" spans="1:83" s="21" customFormat="1" ht="15" customHeight="1" x14ac:dyDescent="0.3">
      <c r="A3" s="17"/>
      <c r="B3" s="3"/>
      <c r="C3" s="3"/>
      <c r="D3" s="79"/>
      <c r="E3" s="79"/>
      <c r="F3" s="79"/>
      <c r="G3" s="79"/>
      <c r="H3" s="114"/>
      <c r="O3" s="4"/>
      <c r="U3" s="4"/>
      <c r="V3" s="244">
        <v>1</v>
      </c>
      <c r="W3" s="244">
        <v>1</v>
      </c>
      <c r="X3" s="244">
        <v>1</v>
      </c>
      <c r="Y3" s="244">
        <v>1</v>
      </c>
      <c r="Z3" s="244">
        <v>1</v>
      </c>
      <c r="AA3" s="244">
        <v>1</v>
      </c>
      <c r="AB3" s="244">
        <v>1</v>
      </c>
      <c r="AC3" s="244">
        <v>1</v>
      </c>
      <c r="AD3" s="244">
        <v>1</v>
      </c>
      <c r="AE3" s="244">
        <v>1</v>
      </c>
      <c r="AF3" s="244">
        <v>1</v>
      </c>
      <c r="AG3" s="244">
        <v>1</v>
      </c>
      <c r="AH3" s="244">
        <f>V3+1</f>
        <v>2</v>
      </c>
      <c r="AI3" s="244">
        <f t="shared" ref="AI3:CC3" si="0">W3+1</f>
        <v>2</v>
      </c>
      <c r="AJ3" s="244">
        <f t="shared" si="0"/>
        <v>2</v>
      </c>
      <c r="AK3" s="244">
        <f t="shared" si="0"/>
        <v>2</v>
      </c>
      <c r="AL3" s="244">
        <f t="shared" si="0"/>
        <v>2</v>
      </c>
      <c r="AM3" s="244">
        <f t="shared" si="0"/>
        <v>2</v>
      </c>
      <c r="AN3" s="244">
        <f t="shared" si="0"/>
        <v>2</v>
      </c>
      <c r="AO3" s="244">
        <f t="shared" si="0"/>
        <v>2</v>
      </c>
      <c r="AP3" s="244">
        <f t="shared" si="0"/>
        <v>2</v>
      </c>
      <c r="AQ3" s="244">
        <f t="shared" si="0"/>
        <v>2</v>
      </c>
      <c r="AR3" s="244">
        <f t="shared" si="0"/>
        <v>2</v>
      </c>
      <c r="AS3" s="244">
        <f t="shared" si="0"/>
        <v>2</v>
      </c>
      <c r="AT3" s="244">
        <f t="shared" si="0"/>
        <v>3</v>
      </c>
      <c r="AU3" s="244">
        <f t="shared" si="0"/>
        <v>3</v>
      </c>
      <c r="AV3" s="244">
        <f t="shared" si="0"/>
        <v>3</v>
      </c>
      <c r="AW3" s="244">
        <f t="shared" si="0"/>
        <v>3</v>
      </c>
      <c r="AX3" s="244">
        <f t="shared" si="0"/>
        <v>3</v>
      </c>
      <c r="AY3" s="244">
        <f t="shared" si="0"/>
        <v>3</v>
      </c>
      <c r="AZ3" s="244">
        <f t="shared" si="0"/>
        <v>3</v>
      </c>
      <c r="BA3" s="244">
        <f t="shared" si="0"/>
        <v>3</v>
      </c>
      <c r="BB3" s="244">
        <f t="shared" si="0"/>
        <v>3</v>
      </c>
      <c r="BC3" s="244">
        <f t="shared" si="0"/>
        <v>3</v>
      </c>
      <c r="BD3" s="244">
        <f t="shared" si="0"/>
        <v>3</v>
      </c>
      <c r="BE3" s="244">
        <f t="shared" si="0"/>
        <v>3</v>
      </c>
      <c r="BF3" s="244">
        <f t="shared" si="0"/>
        <v>4</v>
      </c>
      <c r="BG3" s="244">
        <f t="shared" si="0"/>
        <v>4</v>
      </c>
      <c r="BH3" s="244">
        <f t="shared" si="0"/>
        <v>4</v>
      </c>
      <c r="BI3" s="244">
        <f t="shared" si="0"/>
        <v>4</v>
      </c>
      <c r="BJ3" s="244">
        <f t="shared" si="0"/>
        <v>4</v>
      </c>
      <c r="BK3" s="244">
        <f t="shared" si="0"/>
        <v>4</v>
      </c>
      <c r="BL3" s="244">
        <f t="shared" si="0"/>
        <v>4</v>
      </c>
      <c r="BM3" s="244">
        <f t="shared" si="0"/>
        <v>4</v>
      </c>
      <c r="BN3" s="244">
        <f t="shared" si="0"/>
        <v>4</v>
      </c>
      <c r="BO3" s="244">
        <f t="shared" si="0"/>
        <v>4</v>
      </c>
      <c r="BP3" s="244">
        <f t="shared" si="0"/>
        <v>4</v>
      </c>
      <c r="BQ3" s="244">
        <f t="shared" si="0"/>
        <v>4</v>
      </c>
      <c r="BR3" s="244">
        <f t="shared" si="0"/>
        <v>5</v>
      </c>
      <c r="BS3" s="244">
        <f t="shared" si="0"/>
        <v>5</v>
      </c>
      <c r="BT3" s="244">
        <f t="shared" si="0"/>
        <v>5</v>
      </c>
      <c r="BU3" s="244">
        <f t="shared" si="0"/>
        <v>5</v>
      </c>
      <c r="BV3" s="244">
        <f t="shared" si="0"/>
        <v>5</v>
      </c>
      <c r="BW3" s="244">
        <f t="shared" si="0"/>
        <v>5</v>
      </c>
      <c r="BX3" s="244">
        <f t="shared" si="0"/>
        <v>5</v>
      </c>
      <c r="BY3" s="244">
        <f t="shared" si="0"/>
        <v>5</v>
      </c>
      <c r="BZ3" s="244">
        <f t="shared" si="0"/>
        <v>5</v>
      </c>
      <c r="CA3" s="244">
        <f t="shared" si="0"/>
        <v>5</v>
      </c>
      <c r="CB3" s="244">
        <f t="shared" si="0"/>
        <v>5</v>
      </c>
      <c r="CC3" s="244">
        <f t="shared" si="0"/>
        <v>5</v>
      </c>
      <c r="CD3" s="110"/>
      <c r="CE3" s="19"/>
    </row>
    <row r="4" spans="1:83" s="21" customFormat="1" ht="15" customHeight="1" x14ac:dyDescent="0.3">
      <c r="A4" s="19"/>
      <c r="D4" s="130"/>
      <c r="E4" s="127"/>
      <c r="F4" s="127"/>
      <c r="G4" s="127"/>
      <c r="H4" s="114"/>
      <c r="I4" s="296"/>
      <c r="M4" s="98" t="s">
        <v>22</v>
      </c>
      <c r="N4" s="242">
        <f ca="1">Отчетность!$L$83</f>
        <v>64235030.865700364</v>
      </c>
      <c r="O4" s="100"/>
      <c r="P4" s="245">
        <f>YEAR(P8)</f>
        <v>2021</v>
      </c>
      <c r="Q4" s="245">
        <f t="shared" ref="Q4:T4" si="1">YEAR(Q8)</f>
        <v>2022</v>
      </c>
      <c r="R4" s="245">
        <f t="shared" si="1"/>
        <v>2023</v>
      </c>
      <c r="S4" s="245">
        <f t="shared" si="1"/>
        <v>2024</v>
      </c>
      <c r="T4" s="245">
        <f t="shared" si="1"/>
        <v>2025</v>
      </c>
      <c r="U4" s="100"/>
      <c r="V4" s="243">
        <f>YEAR(V8)</f>
        <v>2021</v>
      </c>
      <c r="W4" s="243">
        <f t="shared" ref="W4:CC4" si="2">YEAR(W8)</f>
        <v>2021</v>
      </c>
      <c r="X4" s="243">
        <f t="shared" si="2"/>
        <v>2021</v>
      </c>
      <c r="Y4" s="243">
        <f t="shared" si="2"/>
        <v>2021</v>
      </c>
      <c r="Z4" s="243">
        <f t="shared" si="2"/>
        <v>2021</v>
      </c>
      <c r="AA4" s="243">
        <f t="shared" si="2"/>
        <v>2021</v>
      </c>
      <c r="AB4" s="243">
        <f t="shared" si="2"/>
        <v>2021</v>
      </c>
      <c r="AC4" s="243">
        <f t="shared" si="2"/>
        <v>2021</v>
      </c>
      <c r="AD4" s="243">
        <f t="shared" si="2"/>
        <v>2021</v>
      </c>
      <c r="AE4" s="243">
        <f t="shared" si="2"/>
        <v>2021</v>
      </c>
      <c r="AF4" s="243">
        <f t="shared" si="2"/>
        <v>2021</v>
      </c>
      <c r="AG4" s="243">
        <f t="shared" si="2"/>
        <v>2021</v>
      </c>
      <c r="AH4" s="243">
        <f t="shared" si="2"/>
        <v>2022</v>
      </c>
      <c r="AI4" s="243">
        <f t="shared" si="2"/>
        <v>2022</v>
      </c>
      <c r="AJ4" s="243">
        <f t="shared" si="2"/>
        <v>2022</v>
      </c>
      <c r="AK4" s="243">
        <f t="shared" si="2"/>
        <v>2022</v>
      </c>
      <c r="AL4" s="243">
        <f t="shared" si="2"/>
        <v>2022</v>
      </c>
      <c r="AM4" s="243">
        <f t="shared" si="2"/>
        <v>2022</v>
      </c>
      <c r="AN4" s="243">
        <f t="shared" si="2"/>
        <v>2022</v>
      </c>
      <c r="AO4" s="243">
        <f t="shared" si="2"/>
        <v>2022</v>
      </c>
      <c r="AP4" s="243">
        <f t="shared" si="2"/>
        <v>2022</v>
      </c>
      <c r="AQ4" s="243">
        <f t="shared" si="2"/>
        <v>2022</v>
      </c>
      <c r="AR4" s="243">
        <f t="shared" si="2"/>
        <v>2022</v>
      </c>
      <c r="AS4" s="243">
        <f t="shared" si="2"/>
        <v>2022</v>
      </c>
      <c r="AT4" s="243">
        <f t="shared" si="2"/>
        <v>2023</v>
      </c>
      <c r="AU4" s="243">
        <f t="shared" si="2"/>
        <v>2023</v>
      </c>
      <c r="AV4" s="243">
        <f t="shared" si="2"/>
        <v>2023</v>
      </c>
      <c r="AW4" s="243">
        <f t="shared" si="2"/>
        <v>2023</v>
      </c>
      <c r="AX4" s="243">
        <f t="shared" si="2"/>
        <v>2023</v>
      </c>
      <c r="AY4" s="243">
        <f t="shared" si="2"/>
        <v>2023</v>
      </c>
      <c r="AZ4" s="243">
        <f t="shared" si="2"/>
        <v>2023</v>
      </c>
      <c r="BA4" s="243">
        <f t="shared" si="2"/>
        <v>2023</v>
      </c>
      <c r="BB4" s="243">
        <f t="shared" si="2"/>
        <v>2023</v>
      </c>
      <c r="BC4" s="243">
        <f t="shared" si="2"/>
        <v>2023</v>
      </c>
      <c r="BD4" s="243">
        <f t="shared" si="2"/>
        <v>2023</v>
      </c>
      <c r="BE4" s="243">
        <f t="shared" si="2"/>
        <v>2023</v>
      </c>
      <c r="BF4" s="243">
        <f t="shared" si="2"/>
        <v>2024</v>
      </c>
      <c r="BG4" s="243">
        <f t="shared" si="2"/>
        <v>2024</v>
      </c>
      <c r="BH4" s="243">
        <f t="shared" si="2"/>
        <v>2024</v>
      </c>
      <c r="BI4" s="243">
        <f t="shared" si="2"/>
        <v>2024</v>
      </c>
      <c r="BJ4" s="243">
        <f t="shared" si="2"/>
        <v>2024</v>
      </c>
      <c r="BK4" s="243">
        <f t="shared" si="2"/>
        <v>2024</v>
      </c>
      <c r="BL4" s="243">
        <f t="shared" si="2"/>
        <v>2024</v>
      </c>
      <c r="BM4" s="243">
        <f t="shared" si="2"/>
        <v>2024</v>
      </c>
      <c r="BN4" s="243">
        <f t="shared" si="2"/>
        <v>2024</v>
      </c>
      <c r="BO4" s="243">
        <f t="shared" si="2"/>
        <v>2024</v>
      </c>
      <c r="BP4" s="243">
        <f t="shared" si="2"/>
        <v>2024</v>
      </c>
      <c r="BQ4" s="243">
        <f t="shared" si="2"/>
        <v>2024</v>
      </c>
      <c r="BR4" s="243">
        <f t="shared" si="2"/>
        <v>2025</v>
      </c>
      <c r="BS4" s="243">
        <f t="shared" si="2"/>
        <v>2025</v>
      </c>
      <c r="BT4" s="243">
        <f t="shared" si="2"/>
        <v>2025</v>
      </c>
      <c r="BU4" s="243">
        <f t="shared" si="2"/>
        <v>2025</v>
      </c>
      <c r="BV4" s="243">
        <f t="shared" si="2"/>
        <v>2025</v>
      </c>
      <c r="BW4" s="243">
        <f t="shared" si="2"/>
        <v>2025</v>
      </c>
      <c r="BX4" s="243">
        <f t="shared" si="2"/>
        <v>2025</v>
      </c>
      <c r="BY4" s="243">
        <f t="shared" si="2"/>
        <v>2025</v>
      </c>
      <c r="BZ4" s="243">
        <f t="shared" si="2"/>
        <v>2025</v>
      </c>
      <c r="CA4" s="243">
        <f t="shared" si="2"/>
        <v>2025</v>
      </c>
      <c r="CB4" s="243">
        <f t="shared" si="2"/>
        <v>2025</v>
      </c>
      <c r="CC4" s="243">
        <f t="shared" si="2"/>
        <v>2025</v>
      </c>
      <c r="CD4" s="110"/>
      <c r="CE4" s="19"/>
    </row>
    <row r="5" spans="1:83" s="23" customFormat="1" ht="15" customHeight="1" x14ac:dyDescent="0.3">
      <c r="A5" s="111"/>
      <c r="B5" s="110"/>
      <c r="C5" s="110"/>
      <c r="D5" s="146" t="s">
        <v>21</v>
      </c>
      <c r="E5" s="147" t="s">
        <v>5</v>
      </c>
      <c r="F5" s="147" t="s">
        <v>18</v>
      </c>
      <c r="G5" s="147" t="s">
        <v>19</v>
      </c>
      <c r="H5" s="114"/>
      <c r="I5" s="297"/>
      <c r="K5" s="198"/>
      <c r="L5" s="198"/>
      <c r="M5" s="98" t="s">
        <v>23</v>
      </c>
      <c r="N5" s="99">
        <f ca="1">Отчетность!$L$86</f>
        <v>0.89190127765534299</v>
      </c>
      <c r="O5" s="2"/>
      <c r="P5" s="245">
        <v>1</v>
      </c>
      <c r="Q5" s="245">
        <f>P5+1</f>
        <v>2</v>
      </c>
      <c r="R5" s="245">
        <f t="shared" ref="R5:T5" si="3">Q5+1</f>
        <v>3</v>
      </c>
      <c r="S5" s="245">
        <f t="shared" si="3"/>
        <v>4</v>
      </c>
      <c r="T5" s="245">
        <f t="shared" si="3"/>
        <v>5</v>
      </c>
      <c r="U5" s="2"/>
      <c r="V5" s="244">
        <v>1</v>
      </c>
      <c r="W5" s="244">
        <f>V5+1</f>
        <v>2</v>
      </c>
      <c r="X5" s="244">
        <f t="shared" ref="X5:CC5" si="4">W5+1</f>
        <v>3</v>
      </c>
      <c r="Y5" s="244">
        <f t="shared" si="4"/>
        <v>4</v>
      </c>
      <c r="Z5" s="244">
        <f t="shared" si="4"/>
        <v>5</v>
      </c>
      <c r="AA5" s="244">
        <f t="shared" si="4"/>
        <v>6</v>
      </c>
      <c r="AB5" s="244">
        <f t="shared" si="4"/>
        <v>7</v>
      </c>
      <c r="AC5" s="244">
        <f t="shared" si="4"/>
        <v>8</v>
      </c>
      <c r="AD5" s="244">
        <f t="shared" si="4"/>
        <v>9</v>
      </c>
      <c r="AE5" s="244">
        <f t="shared" si="4"/>
        <v>10</v>
      </c>
      <c r="AF5" s="244">
        <f t="shared" si="4"/>
        <v>11</v>
      </c>
      <c r="AG5" s="244">
        <f t="shared" si="4"/>
        <v>12</v>
      </c>
      <c r="AH5" s="244">
        <f t="shared" si="4"/>
        <v>13</v>
      </c>
      <c r="AI5" s="244">
        <f t="shared" si="4"/>
        <v>14</v>
      </c>
      <c r="AJ5" s="244">
        <f t="shared" si="4"/>
        <v>15</v>
      </c>
      <c r="AK5" s="244">
        <f t="shared" si="4"/>
        <v>16</v>
      </c>
      <c r="AL5" s="244">
        <f t="shared" si="4"/>
        <v>17</v>
      </c>
      <c r="AM5" s="244">
        <f t="shared" si="4"/>
        <v>18</v>
      </c>
      <c r="AN5" s="244">
        <f t="shared" si="4"/>
        <v>19</v>
      </c>
      <c r="AO5" s="244">
        <f t="shared" si="4"/>
        <v>20</v>
      </c>
      <c r="AP5" s="244">
        <f t="shared" si="4"/>
        <v>21</v>
      </c>
      <c r="AQ5" s="244">
        <f t="shared" si="4"/>
        <v>22</v>
      </c>
      <c r="AR5" s="244">
        <f t="shared" si="4"/>
        <v>23</v>
      </c>
      <c r="AS5" s="244">
        <f t="shared" si="4"/>
        <v>24</v>
      </c>
      <c r="AT5" s="244">
        <f t="shared" si="4"/>
        <v>25</v>
      </c>
      <c r="AU5" s="244">
        <f t="shared" si="4"/>
        <v>26</v>
      </c>
      <c r="AV5" s="244">
        <f t="shared" si="4"/>
        <v>27</v>
      </c>
      <c r="AW5" s="244">
        <f t="shared" si="4"/>
        <v>28</v>
      </c>
      <c r="AX5" s="244">
        <f t="shared" si="4"/>
        <v>29</v>
      </c>
      <c r="AY5" s="244">
        <f t="shared" si="4"/>
        <v>30</v>
      </c>
      <c r="AZ5" s="244">
        <f t="shared" si="4"/>
        <v>31</v>
      </c>
      <c r="BA5" s="244">
        <f t="shared" si="4"/>
        <v>32</v>
      </c>
      <c r="BB5" s="244">
        <f t="shared" si="4"/>
        <v>33</v>
      </c>
      <c r="BC5" s="244">
        <f t="shared" si="4"/>
        <v>34</v>
      </c>
      <c r="BD5" s="244">
        <f t="shared" si="4"/>
        <v>35</v>
      </c>
      <c r="BE5" s="244">
        <f t="shared" si="4"/>
        <v>36</v>
      </c>
      <c r="BF5" s="244">
        <f t="shared" si="4"/>
        <v>37</v>
      </c>
      <c r="BG5" s="244">
        <f t="shared" si="4"/>
        <v>38</v>
      </c>
      <c r="BH5" s="244">
        <f t="shared" si="4"/>
        <v>39</v>
      </c>
      <c r="BI5" s="244">
        <f t="shared" si="4"/>
        <v>40</v>
      </c>
      <c r="BJ5" s="244">
        <f t="shared" si="4"/>
        <v>41</v>
      </c>
      <c r="BK5" s="244">
        <f t="shared" si="4"/>
        <v>42</v>
      </c>
      <c r="BL5" s="244">
        <f t="shared" si="4"/>
        <v>43</v>
      </c>
      <c r="BM5" s="244">
        <f t="shared" si="4"/>
        <v>44</v>
      </c>
      <c r="BN5" s="244">
        <f t="shared" si="4"/>
        <v>45</v>
      </c>
      <c r="BO5" s="244">
        <f t="shared" si="4"/>
        <v>46</v>
      </c>
      <c r="BP5" s="244">
        <f t="shared" si="4"/>
        <v>47</v>
      </c>
      <c r="BQ5" s="244">
        <f t="shared" si="4"/>
        <v>48</v>
      </c>
      <c r="BR5" s="244">
        <f t="shared" si="4"/>
        <v>49</v>
      </c>
      <c r="BS5" s="244">
        <f t="shared" si="4"/>
        <v>50</v>
      </c>
      <c r="BT5" s="244">
        <f t="shared" si="4"/>
        <v>51</v>
      </c>
      <c r="BU5" s="244">
        <f t="shared" si="4"/>
        <v>52</v>
      </c>
      <c r="BV5" s="244">
        <f t="shared" si="4"/>
        <v>53</v>
      </c>
      <c r="BW5" s="244">
        <f t="shared" si="4"/>
        <v>54</v>
      </c>
      <c r="BX5" s="244">
        <f t="shared" si="4"/>
        <v>55</v>
      </c>
      <c r="BY5" s="244">
        <f t="shared" si="4"/>
        <v>56</v>
      </c>
      <c r="BZ5" s="244">
        <f t="shared" si="4"/>
        <v>57</v>
      </c>
      <c r="CA5" s="244">
        <f t="shared" si="4"/>
        <v>58</v>
      </c>
      <c r="CB5" s="244">
        <f t="shared" si="4"/>
        <v>59</v>
      </c>
      <c r="CC5" s="244">
        <f t="shared" si="4"/>
        <v>60</v>
      </c>
      <c r="CD5" s="110"/>
      <c r="CE5" s="19"/>
    </row>
    <row r="6" spans="1:83" s="21" customFormat="1" ht="15" customHeight="1" x14ac:dyDescent="0.3">
      <c r="A6" s="19"/>
      <c r="D6" s="131"/>
      <c r="E6" s="114"/>
      <c r="F6" s="114"/>
      <c r="G6" s="114"/>
      <c r="H6" s="114"/>
      <c r="I6" s="114"/>
      <c r="J6" s="114"/>
      <c r="M6" s="101"/>
      <c r="N6" s="101"/>
      <c r="O6" s="100"/>
      <c r="P6" s="101"/>
      <c r="Q6" s="101"/>
      <c r="R6" s="101"/>
      <c r="S6" s="101"/>
      <c r="T6" s="101"/>
      <c r="U6" s="100"/>
      <c r="V6" s="243">
        <f>MONTH(V8)</f>
        <v>1</v>
      </c>
      <c r="W6" s="243">
        <f>MONTH(W8)</f>
        <v>2</v>
      </c>
      <c r="X6" s="243">
        <f t="shared" ref="X6:CC6" si="5">MONTH(X8)</f>
        <v>3</v>
      </c>
      <c r="Y6" s="243">
        <f t="shared" si="5"/>
        <v>4</v>
      </c>
      <c r="Z6" s="243">
        <f t="shared" si="5"/>
        <v>5</v>
      </c>
      <c r="AA6" s="243">
        <f t="shared" si="5"/>
        <v>6</v>
      </c>
      <c r="AB6" s="243">
        <f t="shared" si="5"/>
        <v>7</v>
      </c>
      <c r="AC6" s="243">
        <f t="shared" si="5"/>
        <v>8</v>
      </c>
      <c r="AD6" s="243">
        <f t="shared" si="5"/>
        <v>9</v>
      </c>
      <c r="AE6" s="243">
        <f t="shared" si="5"/>
        <v>10</v>
      </c>
      <c r="AF6" s="243">
        <f t="shared" si="5"/>
        <v>11</v>
      </c>
      <c r="AG6" s="243">
        <f t="shared" si="5"/>
        <v>12</v>
      </c>
      <c r="AH6" s="243">
        <f t="shared" si="5"/>
        <v>1</v>
      </c>
      <c r="AI6" s="243">
        <f t="shared" si="5"/>
        <v>2</v>
      </c>
      <c r="AJ6" s="243">
        <f t="shared" si="5"/>
        <v>3</v>
      </c>
      <c r="AK6" s="243">
        <f t="shared" si="5"/>
        <v>4</v>
      </c>
      <c r="AL6" s="243">
        <f t="shared" si="5"/>
        <v>5</v>
      </c>
      <c r="AM6" s="243">
        <f t="shared" si="5"/>
        <v>6</v>
      </c>
      <c r="AN6" s="243">
        <f t="shared" si="5"/>
        <v>7</v>
      </c>
      <c r="AO6" s="243">
        <f t="shared" si="5"/>
        <v>8</v>
      </c>
      <c r="AP6" s="243">
        <f t="shared" si="5"/>
        <v>9</v>
      </c>
      <c r="AQ6" s="243">
        <f t="shared" si="5"/>
        <v>10</v>
      </c>
      <c r="AR6" s="243">
        <f t="shared" si="5"/>
        <v>11</v>
      </c>
      <c r="AS6" s="243">
        <f t="shared" si="5"/>
        <v>12</v>
      </c>
      <c r="AT6" s="243">
        <f t="shared" si="5"/>
        <v>1</v>
      </c>
      <c r="AU6" s="243">
        <f t="shared" si="5"/>
        <v>2</v>
      </c>
      <c r="AV6" s="243">
        <f t="shared" si="5"/>
        <v>3</v>
      </c>
      <c r="AW6" s="243">
        <f t="shared" si="5"/>
        <v>4</v>
      </c>
      <c r="AX6" s="243">
        <f t="shared" si="5"/>
        <v>5</v>
      </c>
      <c r="AY6" s="243">
        <f t="shared" si="5"/>
        <v>6</v>
      </c>
      <c r="AZ6" s="243">
        <f t="shared" si="5"/>
        <v>7</v>
      </c>
      <c r="BA6" s="243">
        <f t="shared" si="5"/>
        <v>8</v>
      </c>
      <c r="BB6" s="243">
        <f t="shared" si="5"/>
        <v>9</v>
      </c>
      <c r="BC6" s="243">
        <f t="shared" si="5"/>
        <v>10</v>
      </c>
      <c r="BD6" s="243">
        <f t="shared" si="5"/>
        <v>11</v>
      </c>
      <c r="BE6" s="243">
        <f t="shared" si="5"/>
        <v>12</v>
      </c>
      <c r="BF6" s="243">
        <f t="shared" si="5"/>
        <v>1</v>
      </c>
      <c r="BG6" s="243">
        <f t="shared" si="5"/>
        <v>2</v>
      </c>
      <c r="BH6" s="243">
        <f t="shared" si="5"/>
        <v>3</v>
      </c>
      <c r="BI6" s="243">
        <f t="shared" si="5"/>
        <v>4</v>
      </c>
      <c r="BJ6" s="243">
        <f t="shared" si="5"/>
        <v>5</v>
      </c>
      <c r="BK6" s="243">
        <f t="shared" si="5"/>
        <v>6</v>
      </c>
      <c r="BL6" s="243">
        <f t="shared" si="5"/>
        <v>7</v>
      </c>
      <c r="BM6" s="243">
        <f t="shared" si="5"/>
        <v>8</v>
      </c>
      <c r="BN6" s="243">
        <f t="shared" si="5"/>
        <v>9</v>
      </c>
      <c r="BO6" s="243">
        <f t="shared" si="5"/>
        <v>10</v>
      </c>
      <c r="BP6" s="243">
        <f t="shared" si="5"/>
        <v>11</v>
      </c>
      <c r="BQ6" s="243">
        <f t="shared" si="5"/>
        <v>12</v>
      </c>
      <c r="BR6" s="243">
        <f t="shared" si="5"/>
        <v>1</v>
      </c>
      <c r="BS6" s="243">
        <f t="shared" si="5"/>
        <v>2</v>
      </c>
      <c r="BT6" s="243">
        <f t="shared" si="5"/>
        <v>3</v>
      </c>
      <c r="BU6" s="243">
        <f t="shared" si="5"/>
        <v>4</v>
      </c>
      <c r="BV6" s="243">
        <f t="shared" si="5"/>
        <v>5</v>
      </c>
      <c r="BW6" s="243">
        <f t="shared" si="5"/>
        <v>6</v>
      </c>
      <c r="BX6" s="243">
        <f t="shared" si="5"/>
        <v>7</v>
      </c>
      <c r="BY6" s="243">
        <f t="shared" si="5"/>
        <v>8</v>
      </c>
      <c r="BZ6" s="243">
        <f t="shared" si="5"/>
        <v>9</v>
      </c>
      <c r="CA6" s="243">
        <f t="shared" si="5"/>
        <v>10</v>
      </c>
      <c r="CB6" s="243">
        <f t="shared" si="5"/>
        <v>11</v>
      </c>
      <c r="CC6" s="243">
        <f t="shared" si="5"/>
        <v>12</v>
      </c>
      <c r="CD6" s="110"/>
      <c r="CE6" s="19"/>
    </row>
    <row r="7" spans="1:83" s="21" customFormat="1" ht="15" customHeight="1" x14ac:dyDescent="0.3">
      <c r="A7" s="19"/>
      <c r="D7" s="132"/>
      <c r="E7" s="27"/>
      <c r="F7" s="27"/>
      <c r="G7" s="27"/>
      <c r="H7" s="27"/>
      <c r="I7" s="26"/>
      <c r="M7" s="101"/>
      <c r="N7" s="101"/>
      <c r="O7" s="100"/>
      <c r="P7" s="101"/>
      <c r="Q7" s="101"/>
      <c r="R7" s="101"/>
      <c r="S7" s="101"/>
      <c r="T7" s="101"/>
      <c r="U7" s="100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110"/>
      <c r="CE7" s="19"/>
    </row>
    <row r="8" spans="1:83" s="23" customFormat="1" ht="20.100000000000001" customHeight="1" x14ac:dyDescent="0.3">
      <c r="A8" s="111"/>
      <c r="B8" s="110"/>
      <c r="C8" s="110"/>
      <c r="D8" s="121" t="s">
        <v>24</v>
      </c>
      <c r="E8" s="121"/>
      <c r="F8" s="121"/>
      <c r="G8" s="121"/>
      <c r="H8" s="121"/>
      <c r="I8" s="121" t="s">
        <v>25</v>
      </c>
      <c r="J8" s="121"/>
      <c r="K8" s="121"/>
      <c r="L8" s="121"/>
      <c r="M8" s="121"/>
      <c r="N8" s="122" t="s">
        <v>26</v>
      </c>
      <c r="O8" s="88"/>
      <c r="P8" s="246">
        <f>M13</f>
        <v>44197</v>
      </c>
      <c r="Q8" s="246">
        <f>EOMONTH(P8,11)+1</f>
        <v>44562</v>
      </c>
      <c r="R8" s="246">
        <f t="shared" ref="R8:T8" si="6">EOMONTH(Q8,11)+1</f>
        <v>44927</v>
      </c>
      <c r="S8" s="246">
        <f t="shared" si="6"/>
        <v>45292</v>
      </c>
      <c r="T8" s="246">
        <f t="shared" si="6"/>
        <v>45658</v>
      </c>
      <c r="U8" s="88"/>
      <c r="V8" s="247">
        <f>M13</f>
        <v>44197</v>
      </c>
      <c r="W8" s="247">
        <f>EOMONTH(V8,0)+1</f>
        <v>44228</v>
      </c>
      <c r="X8" s="247">
        <f t="shared" ref="X8:CC8" si="7">EOMONTH(W8,0)+1</f>
        <v>44256</v>
      </c>
      <c r="Y8" s="247">
        <f t="shared" si="7"/>
        <v>44287</v>
      </c>
      <c r="Z8" s="247">
        <f t="shared" si="7"/>
        <v>44317</v>
      </c>
      <c r="AA8" s="247">
        <f t="shared" si="7"/>
        <v>44348</v>
      </c>
      <c r="AB8" s="247">
        <f t="shared" si="7"/>
        <v>44378</v>
      </c>
      <c r="AC8" s="247">
        <f t="shared" si="7"/>
        <v>44409</v>
      </c>
      <c r="AD8" s="247">
        <f t="shared" si="7"/>
        <v>44440</v>
      </c>
      <c r="AE8" s="247">
        <f t="shared" si="7"/>
        <v>44470</v>
      </c>
      <c r="AF8" s="247">
        <f t="shared" si="7"/>
        <v>44501</v>
      </c>
      <c r="AG8" s="247">
        <f t="shared" si="7"/>
        <v>44531</v>
      </c>
      <c r="AH8" s="247">
        <f t="shared" si="7"/>
        <v>44562</v>
      </c>
      <c r="AI8" s="247">
        <f t="shared" si="7"/>
        <v>44593</v>
      </c>
      <c r="AJ8" s="247">
        <f t="shared" si="7"/>
        <v>44621</v>
      </c>
      <c r="AK8" s="247">
        <f t="shared" si="7"/>
        <v>44652</v>
      </c>
      <c r="AL8" s="247">
        <f t="shared" si="7"/>
        <v>44682</v>
      </c>
      <c r="AM8" s="247">
        <f t="shared" si="7"/>
        <v>44713</v>
      </c>
      <c r="AN8" s="247">
        <f t="shared" si="7"/>
        <v>44743</v>
      </c>
      <c r="AO8" s="247">
        <f t="shared" si="7"/>
        <v>44774</v>
      </c>
      <c r="AP8" s="247">
        <f t="shared" si="7"/>
        <v>44805</v>
      </c>
      <c r="AQ8" s="247">
        <f t="shared" si="7"/>
        <v>44835</v>
      </c>
      <c r="AR8" s="247">
        <f t="shared" si="7"/>
        <v>44866</v>
      </c>
      <c r="AS8" s="247">
        <f t="shared" si="7"/>
        <v>44896</v>
      </c>
      <c r="AT8" s="247">
        <f t="shared" si="7"/>
        <v>44927</v>
      </c>
      <c r="AU8" s="247">
        <f t="shared" si="7"/>
        <v>44958</v>
      </c>
      <c r="AV8" s="247">
        <f t="shared" si="7"/>
        <v>44986</v>
      </c>
      <c r="AW8" s="247">
        <f t="shared" si="7"/>
        <v>45017</v>
      </c>
      <c r="AX8" s="247">
        <f t="shared" si="7"/>
        <v>45047</v>
      </c>
      <c r="AY8" s="247">
        <f t="shared" si="7"/>
        <v>45078</v>
      </c>
      <c r="AZ8" s="247">
        <f t="shared" si="7"/>
        <v>45108</v>
      </c>
      <c r="BA8" s="247">
        <f t="shared" si="7"/>
        <v>45139</v>
      </c>
      <c r="BB8" s="247">
        <f t="shared" si="7"/>
        <v>45170</v>
      </c>
      <c r="BC8" s="247">
        <f t="shared" si="7"/>
        <v>45200</v>
      </c>
      <c r="BD8" s="247">
        <f t="shared" si="7"/>
        <v>45231</v>
      </c>
      <c r="BE8" s="247">
        <f t="shared" si="7"/>
        <v>45261</v>
      </c>
      <c r="BF8" s="247">
        <f t="shared" si="7"/>
        <v>45292</v>
      </c>
      <c r="BG8" s="247">
        <f t="shared" si="7"/>
        <v>45323</v>
      </c>
      <c r="BH8" s="247">
        <f t="shared" si="7"/>
        <v>45352</v>
      </c>
      <c r="BI8" s="247">
        <f t="shared" si="7"/>
        <v>45383</v>
      </c>
      <c r="BJ8" s="247">
        <f t="shared" si="7"/>
        <v>45413</v>
      </c>
      <c r="BK8" s="247">
        <f t="shared" si="7"/>
        <v>45444</v>
      </c>
      <c r="BL8" s="247">
        <f t="shared" si="7"/>
        <v>45474</v>
      </c>
      <c r="BM8" s="247">
        <f t="shared" si="7"/>
        <v>45505</v>
      </c>
      <c r="BN8" s="247">
        <f t="shared" si="7"/>
        <v>45536</v>
      </c>
      <c r="BO8" s="247">
        <f t="shared" si="7"/>
        <v>45566</v>
      </c>
      <c r="BP8" s="247">
        <f t="shared" si="7"/>
        <v>45597</v>
      </c>
      <c r="BQ8" s="247">
        <f t="shared" si="7"/>
        <v>45627</v>
      </c>
      <c r="BR8" s="247">
        <f t="shared" si="7"/>
        <v>45658</v>
      </c>
      <c r="BS8" s="247">
        <f t="shared" si="7"/>
        <v>45689</v>
      </c>
      <c r="BT8" s="247">
        <f t="shared" si="7"/>
        <v>45717</v>
      </c>
      <c r="BU8" s="247">
        <f t="shared" si="7"/>
        <v>45748</v>
      </c>
      <c r="BV8" s="247">
        <f t="shared" si="7"/>
        <v>45778</v>
      </c>
      <c r="BW8" s="247">
        <f t="shared" si="7"/>
        <v>45809</v>
      </c>
      <c r="BX8" s="247">
        <f t="shared" si="7"/>
        <v>45839</v>
      </c>
      <c r="BY8" s="247">
        <f t="shared" si="7"/>
        <v>45870</v>
      </c>
      <c r="BZ8" s="247">
        <f t="shared" si="7"/>
        <v>45901</v>
      </c>
      <c r="CA8" s="247">
        <f t="shared" si="7"/>
        <v>45931</v>
      </c>
      <c r="CB8" s="247">
        <f t="shared" si="7"/>
        <v>45962</v>
      </c>
      <c r="CC8" s="247">
        <f t="shared" si="7"/>
        <v>45992</v>
      </c>
      <c r="CD8" s="112"/>
      <c r="CE8" s="19"/>
    </row>
    <row r="9" spans="1:83" s="23" customFormat="1" ht="15" customHeight="1" x14ac:dyDescent="0.3">
      <c r="A9" s="111"/>
      <c r="B9" s="110"/>
      <c r="C9" s="110"/>
      <c r="D9" s="133" t="s">
        <v>27</v>
      </c>
      <c r="E9" s="123"/>
      <c r="F9" s="123"/>
      <c r="G9" s="123"/>
      <c r="H9" s="123"/>
      <c r="I9" s="124"/>
      <c r="J9" s="124"/>
      <c r="K9" s="124"/>
      <c r="L9" s="124"/>
      <c r="M9" s="125"/>
      <c r="N9" s="126"/>
      <c r="O9" s="97" t="s">
        <v>61</v>
      </c>
      <c r="P9" s="126"/>
      <c r="Q9" s="126"/>
      <c r="R9" s="126"/>
      <c r="S9" s="126"/>
      <c r="T9" s="126"/>
      <c r="U9" s="97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  <c r="AP9" s="126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26"/>
      <c r="BN9" s="126"/>
      <c r="BO9" s="126"/>
      <c r="BP9" s="126"/>
      <c r="BQ9" s="126"/>
      <c r="BR9" s="126"/>
      <c r="BS9" s="126"/>
      <c r="BT9" s="126"/>
      <c r="BU9" s="126"/>
      <c r="BV9" s="126"/>
      <c r="BW9" s="126"/>
      <c r="BX9" s="126"/>
      <c r="BY9" s="126"/>
      <c r="BZ9" s="126"/>
      <c r="CA9" s="126"/>
      <c r="CB9" s="126"/>
      <c r="CC9" s="126"/>
      <c r="CD9" s="112"/>
      <c r="CE9" s="19"/>
    </row>
    <row r="10" spans="1:83" s="21" customFormat="1" ht="15" customHeight="1" x14ac:dyDescent="0.3">
      <c r="A10" s="19"/>
      <c r="D10" s="134"/>
      <c r="E10" s="28"/>
      <c r="F10" s="28"/>
      <c r="G10" s="28"/>
      <c r="H10" s="28"/>
      <c r="I10" s="6"/>
      <c r="J10" s="6"/>
      <c r="K10" s="6"/>
      <c r="L10" s="6"/>
      <c r="M10" s="6"/>
      <c r="N10" s="6"/>
      <c r="O10" s="113"/>
      <c r="P10" s="7"/>
      <c r="Q10" s="7"/>
      <c r="R10" s="7"/>
      <c r="S10" s="7"/>
      <c r="T10" s="7"/>
      <c r="U10" s="113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30"/>
      <c r="CE10" s="19"/>
    </row>
    <row r="11" spans="1:83" s="21" customFormat="1" ht="15" customHeight="1" x14ac:dyDescent="0.3">
      <c r="A11" s="19"/>
      <c r="D11" s="131" t="s">
        <v>28</v>
      </c>
      <c r="E11" s="114"/>
      <c r="F11" s="114"/>
      <c r="G11" s="114"/>
      <c r="H11" s="114"/>
      <c r="I11" s="31" t="s">
        <v>29</v>
      </c>
      <c r="J11" s="32"/>
      <c r="K11" s="32"/>
      <c r="L11" s="32"/>
      <c r="M11" s="359" t="s">
        <v>175</v>
      </c>
      <c r="O11" s="113"/>
      <c r="P11" s="7"/>
      <c r="Q11" s="7"/>
      <c r="R11" s="7"/>
      <c r="S11" s="7"/>
      <c r="T11" s="7"/>
      <c r="U11" s="113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30"/>
      <c r="CE11" s="19"/>
    </row>
    <row r="12" spans="1:83" s="21" customFormat="1" ht="15" customHeight="1" x14ac:dyDescent="0.3">
      <c r="A12" s="19"/>
      <c r="D12" s="131" t="s">
        <v>30</v>
      </c>
      <c r="E12" s="114"/>
      <c r="F12" s="114"/>
      <c r="G12" s="114"/>
      <c r="H12" s="114"/>
      <c r="I12" s="31" t="s">
        <v>29</v>
      </c>
      <c r="J12" s="32"/>
      <c r="K12" s="32"/>
      <c r="L12" s="32"/>
      <c r="M12" s="95" t="s">
        <v>31</v>
      </c>
      <c r="O12" s="113"/>
      <c r="P12" s="7"/>
      <c r="Q12" s="7"/>
      <c r="R12" s="7"/>
      <c r="S12" s="7"/>
      <c r="T12" s="7"/>
      <c r="U12" s="113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30"/>
      <c r="CE12" s="19"/>
    </row>
    <row r="13" spans="1:83" s="21" customFormat="1" ht="15" customHeight="1" x14ac:dyDescent="0.3">
      <c r="A13" s="19"/>
      <c r="D13" s="131" t="s">
        <v>32</v>
      </c>
      <c r="E13" s="114"/>
      <c r="F13" s="114"/>
      <c r="G13" s="114"/>
      <c r="H13" s="114"/>
      <c r="I13" s="31" t="s">
        <v>33</v>
      </c>
      <c r="J13" s="32"/>
      <c r="K13" s="32"/>
      <c r="L13" s="32"/>
      <c r="M13" s="102">
        <v>44197</v>
      </c>
      <c r="O13" s="113"/>
      <c r="P13" s="5"/>
      <c r="Q13" s="5"/>
      <c r="R13" s="5"/>
      <c r="S13" s="5"/>
      <c r="T13" s="5"/>
      <c r="U13" s="113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97"/>
      <c r="BF13" s="97"/>
      <c r="BG13" s="97"/>
      <c r="BH13" s="97"/>
      <c r="BI13" s="97"/>
      <c r="BJ13" s="97"/>
      <c r="BK13" s="97"/>
      <c r="BL13" s="97"/>
      <c r="BM13" s="97"/>
      <c r="BN13" s="97"/>
      <c r="BO13" s="97"/>
      <c r="BP13" s="97"/>
      <c r="BQ13" s="97"/>
      <c r="BR13" s="97"/>
      <c r="BS13" s="97"/>
      <c r="BT13" s="97"/>
      <c r="BU13" s="97"/>
      <c r="BV13" s="97"/>
      <c r="BW13" s="97"/>
      <c r="BX13" s="97"/>
      <c r="BY13" s="97"/>
      <c r="BZ13" s="97"/>
      <c r="CA13" s="97"/>
      <c r="CB13" s="97"/>
      <c r="CC13" s="97"/>
      <c r="CD13" s="97"/>
      <c r="CE13" s="19"/>
    </row>
    <row r="14" spans="1:83" s="21" customFormat="1" ht="15" customHeight="1" x14ac:dyDescent="0.3">
      <c r="A14" s="19"/>
      <c r="D14" s="131"/>
      <c r="E14" s="114"/>
      <c r="F14" s="114"/>
      <c r="G14" s="114"/>
      <c r="H14" s="114"/>
      <c r="I14" s="31"/>
      <c r="J14" s="31"/>
      <c r="K14" s="31"/>
      <c r="L14" s="31"/>
      <c r="M14" s="31"/>
      <c r="N14" s="31"/>
      <c r="O14" s="113"/>
      <c r="P14" s="5"/>
      <c r="Q14" s="5"/>
      <c r="R14" s="5"/>
      <c r="S14" s="5"/>
      <c r="T14" s="5"/>
      <c r="U14" s="113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7"/>
      <c r="BF14" s="97"/>
      <c r="BG14" s="97"/>
      <c r="BH14" s="97"/>
      <c r="BI14" s="97"/>
      <c r="BJ14" s="97"/>
      <c r="BK14" s="97"/>
      <c r="BL14" s="97"/>
      <c r="BM14" s="97"/>
      <c r="BN14" s="97"/>
      <c r="BO14" s="97"/>
      <c r="BP14" s="97"/>
      <c r="BQ14" s="97"/>
      <c r="BR14" s="97"/>
      <c r="BS14" s="97"/>
      <c r="BT14" s="97"/>
      <c r="BU14" s="97"/>
      <c r="BV14" s="97"/>
      <c r="BW14" s="97"/>
      <c r="BX14" s="97"/>
      <c r="BY14" s="97"/>
      <c r="BZ14" s="97"/>
      <c r="CA14" s="97"/>
      <c r="CB14" s="97"/>
      <c r="CC14" s="97"/>
      <c r="CD14" s="97"/>
      <c r="CE14" s="19"/>
    </row>
    <row r="15" spans="1:83" s="23" customFormat="1" ht="15" customHeight="1" x14ac:dyDescent="0.3">
      <c r="A15" s="111"/>
      <c r="B15" s="110"/>
      <c r="C15" s="110"/>
      <c r="D15" s="133" t="s">
        <v>14</v>
      </c>
      <c r="E15" s="123"/>
      <c r="F15" s="123"/>
      <c r="G15" s="123"/>
      <c r="H15" s="123"/>
      <c r="I15" s="124"/>
      <c r="J15" s="124"/>
      <c r="K15" s="124"/>
      <c r="L15" s="124"/>
      <c r="M15" s="125"/>
      <c r="N15" s="126"/>
      <c r="O15" s="97"/>
      <c r="P15" s="126"/>
      <c r="Q15" s="126"/>
      <c r="R15" s="126"/>
      <c r="S15" s="126"/>
      <c r="T15" s="126"/>
      <c r="U15" s="97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/>
      <c r="AX15" s="126"/>
      <c r="AY15" s="126"/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126"/>
      <c r="BO15" s="126"/>
      <c r="BP15" s="126"/>
      <c r="BQ15" s="126"/>
      <c r="BR15" s="126"/>
      <c r="BS15" s="126"/>
      <c r="BT15" s="126"/>
      <c r="BU15" s="126"/>
      <c r="BV15" s="126"/>
      <c r="BW15" s="126"/>
      <c r="BX15" s="126"/>
      <c r="BY15" s="126"/>
      <c r="BZ15" s="126"/>
      <c r="CA15" s="126"/>
      <c r="CB15" s="126"/>
      <c r="CC15" s="126"/>
      <c r="CD15" s="112"/>
      <c r="CE15" s="19"/>
    </row>
    <row r="16" spans="1:83" s="21" customFormat="1" ht="15" customHeight="1" x14ac:dyDescent="0.3">
      <c r="A16" s="19"/>
      <c r="D16" s="135"/>
      <c r="E16" s="35"/>
      <c r="F16" s="35"/>
      <c r="G16" s="35"/>
      <c r="H16" s="35"/>
      <c r="O16" s="113"/>
      <c r="U16" s="113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  <c r="BF16" s="97"/>
      <c r="BG16" s="97"/>
      <c r="BH16" s="97"/>
      <c r="BI16" s="97"/>
      <c r="BJ16" s="97"/>
      <c r="BK16" s="97"/>
      <c r="BL16" s="97"/>
      <c r="BM16" s="97"/>
      <c r="BN16" s="97"/>
      <c r="BO16" s="97"/>
      <c r="BP16" s="97"/>
      <c r="BQ16" s="97"/>
      <c r="BR16" s="97"/>
      <c r="BS16" s="97"/>
      <c r="BT16" s="97"/>
      <c r="BU16" s="97"/>
      <c r="BV16" s="97"/>
      <c r="BW16" s="97"/>
      <c r="BX16" s="97"/>
      <c r="BY16" s="97"/>
      <c r="BZ16" s="97"/>
      <c r="CA16" s="97"/>
      <c r="CB16" s="97"/>
      <c r="CC16" s="97"/>
      <c r="CD16" s="97"/>
      <c r="CE16" s="19"/>
    </row>
    <row r="17" spans="1:83" s="21" customFormat="1" ht="15" customHeight="1" x14ac:dyDescent="0.3">
      <c r="A17" s="19"/>
      <c r="D17" s="136" t="s">
        <v>34</v>
      </c>
      <c r="E17" s="36"/>
      <c r="F17" s="36"/>
      <c r="G17" s="36"/>
      <c r="H17" s="36"/>
      <c r="O17" s="113"/>
      <c r="U17" s="113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97"/>
      <c r="BF17" s="97"/>
      <c r="BG17" s="97"/>
      <c r="BH17" s="97"/>
      <c r="BI17" s="97"/>
      <c r="BJ17" s="97"/>
      <c r="BK17" s="97"/>
      <c r="BL17" s="97"/>
      <c r="BM17" s="97"/>
      <c r="BN17" s="97"/>
      <c r="BO17" s="97"/>
      <c r="BP17" s="97"/>
      <c r="BQ17" s="97"/>
      <c r="BR17" s="97"/>
      <c r="BS17" s="97"/>
      <c r="BT17" s="97"/>
      <c r="BU17" s="97"/>
      <c r="BV17" s="97"/>
      <c r="BW17" s="97"/>
      <c r="BX17" s="97"/>
      <c r="BY17" s="97"/>
      <c r="BZ17" s="97"/>
      <c r="CA17" s="97"/>
      <c r="CB17" s="97"/>
      <c r="CC17" s="97"/>
      <c r="CD17" s="97"/>
      <c r="CE17" s="19"/>
    </row>
    <row r="18" spans="1:83" s="21" customFormat="1" ht="15" customHeight="1" x14ac:dyDescent="0.3">
      <c r="A18" s="19"/>
      <c r="D18" s="132" t="s">
        <v>35</v>
      </c>
      <c r="E18" s="27"/>
      <c r="F18" s="27"/>
      <c r="G18" s="27"/>
      <c r="H18" s="27"/>
      <c r="I18" s="31" t="s">
        <v>36</v>
      </c>
      <c r="J18" s="32"/>
      <c r="K18" s="32"/>
      <c r="L18" s="32"/>
      <c r="M18" s="96">
        <v>0.22</v>
      </c>
      <c r="O18" s="113"/>
      <c r="U18" s="113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97"/>
      <c r="BF18" s="97"/>
      <c r="BG18" s="97"/>
      <c r="BH18" s="97"/>
      <c r="BI18" s="97"/>
      <c r="BJ18" s="97"/>
      <c r="BK18" s="97"/>
      <c r="BL18" s="97"/>
      <c r="BM18" s="97"/>
      <c r="BN18" s="97"/>
      <c r="BO18" s="97"/>
      <c r="BP18" s="97"/>
      <c r="BQ18" s="97"/>
      <c r="BR18" s="97"/>
      <c r="BS18" s="97"/>
      <c r="BT18" s="97"/>
      <c r="BU18" s="97"/>
      <c r="BV18" s="97"/>
      <c r="BW18" s="97"/>
      <c r="BX18" s="97"/>
      <c r="BY18" s="97"/>
      <c r="BZ18" s="97"/>
      <c r="CA18" s="97"/>
      <c r="CB18" s="97"/>
      <c r="CC18" s="97"/>
      <c r="CD18" s="97"/>
      <c r="CE18" s="19"/>
    </row>
    <row r="19" spans="1:83" s="21" customFormat="1" ht="15" customHeight="1" x14ac:dyDescent="0.3">
      <c r="A19" s="19"/>
      <c r="D19" s="132" t="s">
        <v>37</v>
      </c>
      <c r="E19" s="27"/>
      <c r="F19" s="27"/>
      <c r="G19" s="27"/>
      <c r="H19" s="27"/>
      <c r="I19" s="31" t="s">
        <v>36</v>
      </c>
      <c r="J19" s="32"/>
      <c r="K19" s="32"/>
      <c r="L19" s="32"/>
      <c r="M19" s="96">
        <v>0.22</v>
      </c>
      <c r="O19" s="113"/>
      <c r="U19" s="113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97"/>
      <c r="BF19" s="97"/>
      <c r="BG19" s="97"/>
      <c r="BH19" s="97"/>
      <c r="BI19" s="97"/>
      <c r="BJ19" s="97"/>
      <c r="BK19" s="97"/>
      <c r="BL19" s="97"/>
      <c r="BM19" s="97"/>
      <c r="BN19" s="97"/>
      <c r="BO19" s="97"/>
      <c r="BP19" s="97"/>
      <c r="BQ19" s="97"/>
      <c r="BR19" s="97"/>
      <c r="BS19" s="97"/>
      <c r="BT19" s="97"/>
      <c r="BU19" s="97"/>
      <c r="BV19" s="97"/>
      <c r="BW19" s="97"/>
      <c r="BX19" s="97"/>
      <c r="BY19" s="97"/>
      <c r="BZ19" s="97"/>
      <c r="CA19" s="97"/>
      <c r="CB19" s="97"/>
      <c r="CC19" s="97"/>
      <c r="CD19" s="97"/>
      <c r="CE19" s="19"/>
    </row>
    <row r="20" spans="1:83" s="21" customFormat="1" ht="15" customHeight="1" x14ac:dyDescent="0.3">
      <c r="A20" s="19"/>
      <c r="D20" s="137" t="s">
        <v>38</v>
      </c>
      <c r="E20" s="37"/>
      <c r="F20" s="37"/>
      <c r="G20" s="37"/>
      <c r="H20" s="37"/>
      <c r="I20" s="31" t="s">
        <v>39</v>
      </c>
      <c r="J20" s="32"/>
      <c r="K20" s="32"/>
      <c r="L20" s="32"/>
      <c r="M20" s="95">
        <v>1</v>
      </c>
      <c r="O20" s="113"/>
      <c r="U20" s="113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97"/>
      <c r="BF20" s="97"/>
      <c r="BG20" s="97"/>
      <c r="BH20" s="97"/>
      <c r="BI20" s="97"/>
      <c r="BJ20" s="97"/>
      <c r="BK20" s="97"/>
      <c r="BL20" s="97"/>
      <c r="BM20" s="97"/>
      <c r="BN20" s="97"/>
      <c r="BO20" s="97"/>
      <c r="BP20" s="97"/>
      <c r="BQ20" s="97"/>
      <c r="BR20" s="97"/>
      <c r="BS20" s="97"/>
      <c r="BT20" s="97"/>
      <c r="BU20" s="97"/>
      <c r="BV20" s="97"/>
      <c r="BW20" s="97"/>
      <c r="BX20" s="97"/>
      <c r="BY20" s="97"/>
      <c r="BZ20" s="97"/>
      <c r="CA20" s="97"/>
      <c r="CB20" s="97"/>
      <c r="CC20" s="97"/>
      <c r="CD20" s="97"/>
      <c r="CE20" s="19"/>
    </row>
    <row r="21" spans="1:83" s="21" customFormat="1" ht="15" customHeight="1" x14ac:dyDescent="0.3">
      <c r="A21" s="19"/>
      <c r="D21" s="137"/>
      <c r="E21" s="37"/>
      <c r="F21" s="37"/>
      <c r="G21" s="37"/>
      <c r="H21" s="37"/>
      <c r="I21" s="31"/>
      <c r="J21" s="31"/>
      <c r="K21" s="31"/>
      <c r="L21" s="31"/>
      <c r="O21" s="113"/>
      <c r="U21" s="113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97"/>
      <c r="BF21" s="97"/>
      <c r="BG21" s="97"/>
      <c r="BH21" s="97"/>
      <c r="BI21" s="97"/>
      <c r="BJ21" s="97"/>
      <c r="BK21" s="97"/>
      <c r="BL21" s="97"/>
      <c r="BM21" s="97"/>
      <c r="BN21" s="97"/>
      <c r="BO21" s="97"/>
      <c r="BP21" s="97"/>
      <c r="BQ21" s="97"/>
      <c r="BR21" s="97"/>
      <c r="BS21" s="97"/>
      <c r="BT21" s="97"/>
      <c r="BU21" s="97"/>
      <c r="BV21" s="97"/>
      <c r="BW21" s="97"/>
      <c r="BX21" s="97"/>
      <c r="BY21" s="97"/>
      <c r="BZ21" s="97"/>
      <c r="CA21" s="97"/>
      <c r="CB21" s="97"/>
      <c r="CC21" s="97"/>
      <c r="CD21" s="97"/>
      <c r="CE21" s="19"/>
    </row>
    <row r="22" spans="1:83" s="21" customFormat="1" ht="15" customHeight="1" x14ac:dyDescent="0.3">
      <c r="A22" s="19"/>
      <c r="D22" s="138" t="s">
        <v>40</v>
      </c>
      <c r="E22" s="38"/>
      <c r="F22" s="38"/>
      <c r="G22" s="38"/>
      <c r="H22" s="38"/>
      <c r="I22" s="31"/>
      <c r="J22" s="31"/>
      <c r="K22" s="31"/>
      <c r="L22" s="31"/>
      <c r="O22" s="113"/>
      <c r="U22" s="113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97"/>
      <c r="BF22" s="97"/>
      <c r="BG22" s="97"/>
      <c r="BH22" s="97"/>
      <c r="BI22" s="97"/>
      <c r="BJ22" s="97"/>
      <c r="BK22" s="97"/>
      <c r="BL22" s="97"/>
      <c r="BM22" s="97"/>
      <c r="BN22" s="97"/>
      <c r="BO22" s="97"/>
      <c r="BP22" s="97"/>
      <c r="BQ22" s="97"/>
      <c r="BR22" s="97"/>
      <c r="BS22" s="97"/>
      <c r="BT22" s="97"/>
      <c r="BU22" s="97"/>
      <c r="BV22" s="97"/>
      <c r="BW22" s="97"/>
      <c r="BX22" s="97"/>
      <c r="BY22" s="97"/>
      <c r="BZ22" s="97"/>
      <c r="CA22" s="97"/>
      <c r="CB22" s="97"/>
      <c r="CC22" s="97"/>
      <c r="CD22" s="97"/>
      <c r="CE22" s="19"/>
    </row>
    <row r="23" spans="1:83" s="21" customFormat="1" ht="15" customHeight="1" x14ac:dyDescent="0.3">
      <c r="A23" s="19"/>
      <c r="D23" s="135" t="s">
        <v>41</v>
      </c>
      <c r="E23" s="35"/>
      <c r="F23" s="35"/>
      <c r="G23" s="35"/>
      <c r="H23" s="35"/>
      <c r="I23" s="31" t="s">
        <v>42</v>
      </c>
      <c r="J23" s="32" t="s">
        <v>43</v>
      </c>
      <c r="K23" s="32"/>
      <c r="L23" s="32"/>
      <c r="M23" s="95">
        <v>3</v>
      </c>
      <c r="O23" s="113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97"/>
      <c r="BF23" s="97"/>
      <c r="BG23" s="97"/>
      <c r="BH23" s="97"/>
      <c r="BI23" s="97"/>
      <c r="BJ23" s="97"/>
      <c r="BK23" s="97"/>
      <c r="BL23" s="97"/>
      <c r="BM23" s="97"/>
      <c r="BN23" s="97"/>
      <c r="BO23" s="97"/>
      <c r="BP23" s="97"/>
      <c r="BQ23" s="97"/>
      <c r="BR23" s="97"/>
      <c r="BS23" s="97"/>
      <c r="BT23" s="97"/>
      <c r="BU23" s="97"/>
      <c r="BV23" s="97"/>
      <c r="BW23" s="97"/>
      <c r="BX23" s="97"/>
      <c r="BY23" s="97"/>
      <c r="BZ23" s="97"/>
      <c r="CA23" s="97"/>
      <c r="CB23" s="97"/>
      <c r="CC23" s="97"/>
      <c r="CD23" s="97"/>
      <c r="CE23" s="19"/>
    </row>
    <row r="24" spans="1:83" s="21" customFormat="1" ht="15" customHeight="1" x14ac:dyDescent="0.3">
      <c r="A24" s="19"/>
      <c r="D24" s="137" t="s">
        <v>44</v>
      </c>
      <c r="E24" s="37"/>
      <c r="F24" s="37"/>
      <c r="G24" s="37"/>
      <c r="H24" s="37"/>
      <c r="I24" s="31" t="s">
        <v>36</v>
      </c>
      <c r="M24" s="96">
        <v>0.06</v>
      </c>
      <c r="O24" s="113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97"/>
      <c r="BF24" s="97"/>
      <c r="BG24" s="97"/>
      <c r="BH24" s="97"/>
      <c r="BI24" s="97"/>
      <c r="BJ24" s="97"/>
      <c r="BK24" s="97"/>
      <c r="BL24" s="97"/>
      <c r="BM24" s="97"/>
      <c r="BN24" s="97"/>
      <c r="BO24" s="97"/>
      <c r="BP24" s="97"/>
      <c r="BQ24" s="97"/>
      <c r="BR24" s="97"/>
      <c r="BS24" s="97"/>
      <c r="BT24" s="97"/>
      <c r="BU24" s="97"/>
      <c r="BV24" s="97"/>
      <c r="BW24" s="97"/>
      <c r="BX24" s="97"/>
      <c r="BY24" s="97"/>
      <c r="BZ24" s="97"/>
      <c r="CA24" s="97"/>
      <c r="CB24" s="97"/>
      <c r="CC24" s="97"/>
      <c r="CD24" s="97"/>
      <c r="CE24" s="19"/>
    </row>
    <row r="25" spans="1:83" s="21" customFormat="1" ht="15" customHeight="1" x14ac:dyDescent="0.3">
      <c r="A25" s="19"/>
      <c r="D25" s="137" t="s">
        <v>45</v>
      </c>
      <c r="E25" s="37"/>
      <c r="F25" s="37"/>
      <c r="G25" s="37"/>
      <c r="H25" s="37"/>
      <c r="I25" s="31" t="s">
        <v>36</v>
      </c>
      <c r="M25" s="96">
        <v>0.15</v>
      </c>
      <c r="O25" s="113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97"/>
      <c r="BF25" s="97"/>
      <c r="BG25" s="97"/>
      <c r="BH25" s="97"/>
      <c r="BI25" s="97"/>
      <c r="BJ25" s="97"/>
      <c r="BK25" s="97"/>
      <c r="BL25" s="97"/>
      <c r="BM25" s="97"/>
      <c r="BN25" s="97"/>
      <c r="BO25" s="97"/>
      <c r="BP25" s="97"/>
      <c r="BQ25" s="97"/>
      <c r="BR25" s="97"/>
      <c r="BS25" s="97"/>
      <c r="BT25" s="97"/>
      <c r="BU25" s="97"/>
      <c r="BV25" s="97"/>
      <c r="BW25" s="97"/>
      <c r="BX25" s="97"/>
      <c r="BY25" s="97"/>
      <c r="BZ25" s="97"/>
      <c r="CA25" s="97"/>
      <c r="CB25" s="97"/>
      <c r="CC25" s="97"/>
      <c r="CD25" s="97"/>
      <c r="CE25" s="19"/>
    </row>
    <row r="26" spans="1:83" s="21" customFormat="1" ht="15" customHeight="1" x14ac:dyDescent="0.3">
      <c r="A26" s="19"/>
      <c r="D26" s="137" t="s">
        <v>46</v>
      </c>
      <c r="E26" s="37"/>
      <c r="F26" s="37"/>
      <c r="G26" s="37"/>
      <c r="H26" s="37"/>
      <c r="I26" s="31" t="s">
        <v>36</v>
      </c>
      <c r="J26" s="31"/>
      <c r="K26" s="31"/>
      <c r="L26" s="31"/>
      <c r="M26" s="96">
        <v>0.25</v>
      </c>
      <c r="O26" s="113"/>
      <c r="U26" s="113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97"/>
      <c r="BF26" s="97"/>
      <c r="BG26" s="97"/>
      <c r="BH26" s="97"/>
      <c r="BI26" s="97"/>
      <c r="BJ26" s="97"/>
      <c r="BK26" s="97"/>
      <c r="BL26" s="97"/>
      <c r="BM26" s="97"/>
      <c r="BN26" s="97"/>
      <c r="BO26" s="97"/>
      <c r="BP26" s="97"/>
      <c r="BQ26" s="97"/>
      <c r="BR26" s="97"/>
      <c r="BS26" s="97"/>
      <c r="BT26" s="97"/>
      <c r="BU26" s="97"/>
      <c r="BV26" s="97"/>
      <c r="BW26" s="97"/>
      <c r="BX26" s="97"/>
      <c r="BY26" s="97"/>
      <c r="BZ26" s="97"/>
      <c r="CA26" s="97"/>
      <c r="CB26" s="97"/>
      <c r="CC26" s="97"/>
      <c r="CD26" s="97"/>
      <c r="CE26" s="19"/>
    </row>
    <row r="27" spans="1:83" s="21" customFormat="1" ht="15" customHeight="1" x14ac:dyDescent="0.3">
      <c r="A27" s="19"/>
      <c r="D27" s="137"/>
      <c r="E27" s="37"/>
      <c r="F27" s="37"/>
      <c r="G27" s="37"/>
      <c r="H27" s="37"/>
      <c r="I27" s="31"/>
      <c r="J27" s="31"/>
      <c r="K27" s="31"/>
      <c r="L27" s="31"/>
      <c r="O27" s="113"/>
      <c r="U27" s="113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97"/>
      <c r="BF27" s="97"/>
      <c r="BG27" s="97"/>
      <c r="BH27" s="97"/>
      <c r="BI27" s="97"/>
      <c r="BJ27" s="97"/>
      <c r="BK27" s="97"/>
      <c r="BL27" s="97"/>
      <c r="BM27" s="97"/>
      <c r="BN27" s="97"/>
      <c r="BO27" s="97"/>
      <c r="BP27" s="97"/>
      <c r="BQ27" s="97"/>
      <c r="BR27" s="97"/>
      <c r="BS27" s="97"/>
      <c r="BT27" s="97"/>
      <c r="BU27" s="97"/>
      <c r="BV27" s="97"/>
      <c r="BW27" s="97"/>
      <c r="BX27" s="97"/>
      <c r="BY27" s="97"/>
      <c r="BZ27" s="97"/>
      <c r="CA27" s="97"/>
      <c r="CB27" s="97"/>
      <c r="CC27" s="97"/>
      <c r="CD27" s="97"/>
      <c r="CE27" s="19"/>
    </row>
    <row r="28" spans="1:83" s="23" customFormat="1" ht="15" customHeight="1" x14ac:dyDescent="0.3">
      <c r="A28" s="111"/>
      <c r="B28" s="110"/>
      <c r="C28" s="110"/>
      <c r="D28" s="133" t="s">
        <v>6</v>
      </c>
      <c r="E28" s="123"/>
      <c r="F28" s="123"/>
      <c r="G28" s="123"/>
      <c r="H28" s="123"/>
      <c r="I28" s="124"/>
      <c r="J28" s="124"/>
      <c r="K28" s="124"/>
      <c r="L28" s="124"/>
      <c r="M28" s="125"/>
      <c r="N28" s="126"/>
      <c r="O28" s="97"/>
      <c r="P28" s="126"/>
      <c r="Q28" s="126"/>
      <c r="R28" s="126"/>
      <c r="S28" s="126"/>
      <c r="T28" s="126"/>
      <c r="U28" s="97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126"/>
      <c r="BO28" s="126"/>
      <c r="BP28" s="126"/>
      <c r="BQ28" s="126"/>
      <c r="BR28" s="126"/>
      <c r="BS28" s="126"/>
      <c r="BT28" s="126"/>
      <c r="BU28" s="126"/>
      <c r="BV28" s="126"/>
      <c r="BW28" s="126"/>
      <c r="BX28" s="126"/>
      <c r="BY28" s="126"/>
      <c r="BZ28" s="126"/>
      <c r="CA28" s="126"/>
      <c r="CB28" s="126"/>
      <c r="CC28" s="126"/>
      <c r="CD28" s="112"/>
      <c r="CE28" s="19"/>
    </row>
    <row r="29" spans="1:83" s="21" customFormat="1" ht="15" customHeight="1" x14ac:dyDescent="0.3">
      <c r="A29" s="19"/>
      <c r="D29" s="139"/>
      <c r="E29" s="97"/>
      <c r="F29" s="97"/>
      <c r="G29" s="97"/>
      <c r="H29" s="97"/>
      <c r="I29" s="97"/>
      <c r="K29" s="97"/>
      <c r="L29" s="97"/>
      <c r="M29" s="97"/>
      <c r="N29" s="97"/>
      <c r="O29" s="97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  <c r="AA29" s="158"/>
      <c r="AB29" s="158"/>
      <c r="AC29" s="158"/>
      <c r="AD29" s="158"/>
      <c r="AE29" s="158"/>
      <c r="AF29" s="158"/>
      <c r="AG29" s="158"/>
      <c r="AH29" s="158"/>
      <c r="AI29" s="158"/>
      <c r="AJ29" s="158"/>
      <c r="AK29" s="158"/>
      <c r="AL29" s="158"/>
      <c r="AM29" s="158"/>
      <c r="AN29" s="158"/>
      <c r="AO29" s="158"/>
      <c r="AP29" s="158"/>
      <c r="AQ29" s="158"/>
      <c r="AR29" s="158"/>
      <c r="AS29" s="158"/>
      <c r="AT29" s="158"/>
      <c r="AU29" s="158"/>
      <c r="AV29" s="158"/>
      <c r="AW29" s="158"/>
      <c r="AX29" s="158"/>
      <c r="AY29" s="158"/>
      <c r="AZ29" s="158"/>
      <c r="BA29" s="158"/>
      <c r="BB29" s="158"/>
      <c r="BC29" s="158"/>
      <c r="BD29" s="158"/>
      <c r="BE29" s="158"/>
      <c r="BF29" s="158"/>
      <c r="BG29" s="158"/>
      <c r="BH29" s="158"/>
      <c r="BI29" s="158"/>
      <c r="BJ29" s="158"/>
      <c r="BK29" s="158"/>
      <c r="BL29" s="158"/>
      <c r="BM29" s="158"/>
      <c r="BN29" s="158"/>
      <c r="BO29" s="158"/>
      <c r="BP29" s="158"/>
      <c r="BQ29" s="158"/>
      <c r="BR29" s="158"/>
      <c r="BS29" s="158"/>
      <c r="BT29" s="158"/>
      <c r="BU29" s="158"/>
      <c r="BV29" s="158"/>
      <c r="BW29" s="158"/>
      <c r="BX29" s="158"/>
      <c r="BY29" s="158"/>
      <c r="BZ29" s="158"/>
      <c r="CA29" s="158"/>
      <c r="CB29" s="158"/>
      <c r="CC29" s="158"/>
      <c r="CD29" s="97"/>
      <c r="CE29" s="19"/>
    </row>
    <row r="30" spans="1:83" s="21" customFormat="1" ht="15" customHeight="1" x14ac:dyDescent="0.3">
      <c r="A30" s="19"/>
      <c r="D30" s="363"/>
      <c r="E30" s="97"/>
      <c r="F30" s="97"/>
      <c r="G30" s="97"/>
      <c r="H30" s="97"/>
      <c r="I30" s="365"/>
      <c r="K30" s="97"/>
      <c r="L30" s="97"/>
      <c r="M30" s="364"/>
      <c r="N30" s="97"/>
      <c r="O30" s="97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58"/>
      <c r="AG30" s="158"/>
      <c r="AH30" s="158"/>
      <c r="AI30" s="158"/>
      <c r="AJ30" s="158"/>
      <c r="AK30" s="158"/>
      <c r="AL30" s="158"/>
      <c r="AM30" s="158"/>
      <c r="AN30" s="158"/>
      <c r="AO30" s="158"/>
      <c r="AP30" s="158"/>
      <c r="AQ30" s="158"/>
      <c r="AR30" s="158"/>
      <c r="AS30" s="158"/>
      <c r="AT30" s="158"/>
      <c r="AU30" s="158"/>
      <c r="AV30" s="158"/>
      <c r="AW30" s="158"/>
      <c r="AX30" s="158"/>
      <c r="AY30" s="158"/>
      <c r="AZ30" s="158"/>
      <c r="BA30" s="158"/>
      <c r="BB30" s="158"/>
      <c r="BC30" s="158"/>
      <c r="BD30" s="158"/>
      <c r="BE30" s="158"/>
      <c r="BF30" s="158"/>
      <c r="BG30" s="158"/>
      <c r="BH30" s="158"/>
      <c r="BI30" s="158"/>
      <c r="BJ30" s="158"/>
      <c r="BK30" s="158"/>
      <c r="BL30" s="158"/>
      <c r="BM30" s="158"/>
      <c r="BN30" s="158"/>
      <c r="BO30" s="158"/>
      <c r="BP30" s="158"/>
      <c r="BQ30" s="158"/>
      <c r="BR30" s="158"/>
      <c r="BS30" s="158"/>
      <c r="BT30" s="158"/>
      <c r="BU30" s="158"/>
      <c r="BV30" s="158"/>
      <c r="BW30" s="158"/>
      <c r="BX30" s="158"/>
      <c r="BY30" s="158"/>
      <c r="BZ30" s="158"/>
      <c r="CA30" s="158"/>
      <c r="CB30" s="158"/>
      <c r="CC30" s="158"/>
      <c r="CD30" s="97"/>
      <c r="CE30" s="19"/>
    </row>
    <row r="31" spans="1:83" s="21" customFormat="1" ht="15" customHeight="1" x14ac:dyDescent="0.3">
      <c r="A31" s="19"/>
      <c r="D31" s="363"/>
      <c r="E31" s="97"/>
      <c r="F31" s="97"/>
      <c r="G31" s="97"/>
      <c r="H31" s="97"/>
      <c r="I31" s="365"/>
      <c r="K31" s="97"/>
      <c r="L31" s="97"/>
      <c r="M31" s="364"/>
      <c r="N31" s="97"/>
      <c r="O31" s="97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8"/>
      <c r="AB31" s="158"/>
      <c r="AC31" s="158"/>
      <c r="AD31" s="158"/>
      <c r="AE31" s="158"/>
      <c r="AF31" s="158"/>
      <c r="AG31" s="158"/>
      <c r="AH31" s="158"/>
      <c r="AI31" s="158"/>
      <c r="AJ31" s="158"/>
      <c r="AK31" s="158"/>
      <c r="AL31" s="158"/>
      <c r="AM31" s="158"/>
      <c r="AN31" s="158"/>
      <c r="AO31" s="158"/>
      <c r="AP31" s="158"/>
      <c r="AQ31" s="158"/>
      <c r="AR31" s="158"/>
      <c r="AS31" s="158"/>
      <c r="AT31" s="158"/>
      <c r="AU31" s="158"/>
      <c r="AV31" s="158"/>
      <c r="AW31" s="158"/>
      <c r="AX31" s="158"/>
      <c r="AY31" s="158"/>
      <c r="AZ31" s="158"/>
      <c r="BA31" s="158"/>
      <c r="BB31" s="158"/>
      <c r="BC31" s="158"/>
      <c r="BD31" s="158"/>
      <c r="BE31" s="158"/>
      <c r="BF31" s="158"/>
      <c r="BG31" s="158"/>
      <c r="BH31" s="158"/>
      <c r="BI31" s="158"/>
      <c r="BJ31" s="158"/>
      <c r="BK31" s="158"/>
      <c r="BL31" s="158"/>
      <c r="BM31" s="158"/>
      <c r="BN31" s="158"/>
      <c r="BO31" s="158"/>
      <c r="BP31" s="158"/>
      <c r="BQ31" s="158"/>
      <c r="BR31" s="158"/>
      <c r="BS31" s="158"/>
      <c r="BT31" s="158"/>
      <c r="BU31" s="158"/>
      <c r="BV31" s="158"/>
      <c r="BW31" s="158"/>
      <c r="BX31" s="158"/>
      <c r="BY31" s="158"/>
      <c r="BZ31" s="158"/>
      <c r="CA31" s="158"/>
      <c r="CB31" s="158"/>
      <c r="CC31" s="158"/>
      <c r="CD31" s="97"/>
      <c r="CE31" s="19"/>
    </row>
    <row r="32" spans="1:83" s="21" customFormat="1" ht="15" customHeight="1" x14ac:dyDescent="0.3">
      <c r="A32" s="19"/>
      <c r="D32" s="139"/>
      <c r="E32" s="97"/>
      <c r="F32" s="97"/>
      <c r="G32" s="97"/>
      <c r="H32" s="97"/>
      <c r="I32" s="97"/>
      <c r="K32" s="97"/>
      <c r="L32" s="97"/>
      <c r="M32" s="97"/>
      <c r="N32" s="97"/>
      <c r="O32" s="97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  <c r="AA32" s="158"/>
      <c r="AB32" s="158"/>
      <c r="AC32" s="158"/>
      <c r="AD32" s="158"/>
      <c r="AE32" s="158"/>
      <c r="AF32" s="158"/>
      <c r="AG32" s="158"/>
      <c r="AH32" s="158"/>
      <c r="AI32" s="158"/>
      <c r="AJ32" s="158"/>
      <c r="AK32" s="158"/>
      <c r="AL32" s="158"/>
      <c r="AM32" s="158"/>
      <c r="AN32" s="158"/>
      <c r="AO32" s="158"/>
      <c r="AP32" s="158"/>
      <c r="AQ32" s="158"/>
      <c r="AR32" s="158"/>
      <c r="AS32" s="158"/>
      <c r="AT32" s="158"/>
      <c r="AU32" s="158"/>
      <c r="AV32" s="158"/>
      <c r="AW32" s="158"/>
      <c r="AX32" s="158"/>
      <c r="AY32" s="158"/>
      <c r="AZ32" s="158"/>
      <c r="BA32" s="158"/>
      <c r="BB32" s="158"/>
      <c r="BC32" s="158"/>
      <c r="BD32" s="158"/>
      <c r="BE32" s="158"/>
      <c r="BF32" s="158"/>
      <c r="BG32" s="158"/>
      <c r="BH32" s="158"/>
      <c r="BI32" s="158"/>
      <c r="BJ32" s="158"/>
      <c r="BK32" s="158"/>
      <c r="BL32" s="158"/>
      <c r="BM32" s="158"/>
      <c r="BN32" s="158"/>
      <c r="BO32" s="158"/>
      <c r="BP32" s="158"/>
      <c r="BQ32" s="158"/>
      <c r="BR32" s="158"/>
      <c r="BS32" s="158"/>
      <c r="BT32" s="158"/>
      <c r="BU32" s="158"/>
      <c r="BV32" s="158"/>
      <c r="BW32" s="158"/>
      <c r="BX32" s="158"/>
      <c r="BY32" s="158"/>
      <c r="BZ32" s="158"/>
      <c r="CA32" s="158"/>
      <c r="CB32" s="158"/>
      <c r="CC32" s="158"/>
      <c r="CD32" s="97"/>
      <c r="CE32" s="19"/>
    </row>
    <row r="33" spans="1:83" s="23" customFormat="1" ht="15" customHeight="1" x14ac:dyDescent="0.3">
      <c r="A33" s="111"/>
      <c r="B33" s="110"/>
      <c r="C33" s="110"/>
      <c r="D33" s="133" t="s">
        <v>7</v>
      </c>
      <c r="E33" s="123"/>
      <c r="F33" s="123"/>
      <c r="G33" s="123"/>
      <c r="H33" s="123"/>
      <c r="I33" s="124"/>
      <c r="J33" s="124"/>
      <c r="K33" s="124"/>
      <c r="L33" s="124"/>
      <c r="M33" s="125"/>
      <c r="N33" s="126"/>
      <c r="O33" s="97"/>
      <c r="P33" s="126"/>
      <c r="Q33" s="126"/>
      <c r="R33" s="126"/>
      <c r="S33" s="126"/>
      <c r="T33" s="126"/>
      <c r="U33" s="97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  <c r="AV33" s="126"/>
      <c r="AW33" s="126"/>
      <c r="AX33" s="126"/>
      <c r="AY33" s="126"/>
      <c r="AZ33" s="126"/>
      <c r="BA33" s="126"/>
      <c r="BB33" s="126"/>
      <c r="BC33" s="126"/>
      <c r="BD33" s="126"/>
      <c r="BE33" s="126"/>
      <c r="BF33" s="126"/>
      <c r="BG33" s="126"/>
      <c r="BH33" s="126"/>
      <c r="BI33" s="126"/>
      <c r="BJ33" s="126"/>
      <c r="BK33" s="126"/>
      <c r="BL33" s="126"/>
      <c r="BM33" s="126"/>
      <c r="BN33" s="12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A33" s="126"/>
      <c r="CB33" s="126"/>
      <c r="CC33" s="126"/>
      <c r="CD33" s="112"/>
      <c r="CE33" s="19"/>
    </row>
    <row r="34" spans="1:83" s="21" customFormat="1" ht="15" customHeight="1" x14ac:dyDescent="0.3">
      <c r="A34" s="19"/>
      <c r="D34" s="139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113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97"/>
      <c r="BF34" s="97"/>
      <c r="BG34" s="97"/>
      <c r="BH34" s="97"/>
      <c r="BI34" s="97"/>
      <c r="BJ34" s="97"/>
      <c r="BK34" s="97"/>
      <c r="BL34" s="97"/>
      <c r="BM34" s="97"/>
      <c r="BN34" s="97"/>
      <c r="BO34" s="97"/>
      <c r="BP34" s="97"/>
      <c r="BQ34" s="97"/>
      <c r="BR34" s="97"/>
      <c r="BS34" s="97"/>
      <c r="BT34" s="97"/>
      <c r="BU34" s="97"/>
      <c r="BV34" s="97"/>
      <c r="BW34" s="97"/>
      <c r="BX34" s="97"/>
      <c r="BY34" s="97"/>
      <c r="BZ34" s="97"/>
      <c r="CA34" s="97"/>
      <c r="CB34" s="97"/>
      <c r="CC34" s="97"/>
      <c r="CD34" s="97"/>
      <c r="CE34" s="19"/>
    </row>
    <row r="35" spans="1:83" s="21" customFormat="1" ht="15" customHeight="1" x14ac:dyDescent="0.3">
      <c r="A35" s="19"/>
      <c r="D35" s="363" t="s">
        <v>195</v>
      </c>
      <c r="E35" s="97"/>
      <c r="F35" s="97"/>
      <c r="G35" s="97"/>
      <c r="H35" s="97"/>
      <c r="I35" s="365" t="s">
        <v>36</v>
      </c>
      <c r="K35" s="97"/>
      <c r="L35" s="97"/>
      <c r="M35" s="364">
        <v>0.25</v>
      </c>
      <c r="N35" s="97"/>
      <c r="O35" s="97"/>
      <c r="P35" s="97"/>
      <c r="Q35" s="97"/>
      <c r="R35" s="97"/>
      <c r="S35" s="97"/>
      <c r="T35" s="97"/>
      <c r="U35" s="113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97"/>
      <c r="BF35" s="97"/>
      <c r="BG35" s="97"/>
      <c r="BH35" s="97"/>
      <c r="BI35" s="97"/>
      <c r="BJ35" s="97"/>
      <c r="BK35" s="97"/>
      <c r="BL35" s="97"/>
      <c r="BM35" s="97"/>
      <c r="BN35" s="97"/>
      <c r="BO35" s="97"/>
      <c r="BP35" s="97"/>
      <c r="BQ35" s="97"/>
      <c r="BR35" s="97"/>
      <c r="BS35" s="97"/>
      <c r="BT35" s="97"/>
      <c r="BU35" s="97"/>
      <c r="BV35" s="97"/>
      <c r="BW35" s="97"/>
      <c r="BX35" s="97"/>
      <c r="BY35" s="97"/>
      <c r="BZ35" s="97"/>
      <c r="CA35" s="97"/>
      <c r="CB35" s="97"/>
      <c r="CC35" s="97"/>
      <c r="CD35" s="97"/>
      <c r="CE35" s="19"/>
    </row>
    <row r="36" spans="1:83" s="21" customFormat="1" ht="15" customHeight="1" x14ac:dyDescent="0.3">
      <c r="A36" s="19"/>
      <c r="D36" s="363" t="s">
        <v>196</v>
      </c>
      <c r="E36" s="97"/>
      <c r="F36" s="97"/>
      <c r="G36" s="97"/>
      <c r="H36" s="97"/>
      <c r="I36" s="365" t="s">
        <v>36</v>
      </c>
      <c r="K36" s="97"/>
      <c r="L36" s="97"/>
      <c r="M36" s="364">
        <v>0.1</v>
      </c>
      <c r="N36" s="97"/>
      <c r="O36" s="97"/>
      <c r="P36" s="97"/>
      <c r="Q36" s="97"/>
      <c r="R36" s="97"/>
      <c r="S36" s="97"/>
      <c r="T36" s="97"/>
      <c r="U36" s="113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  <c r="BC36" s="97"/>
      <c r="BD36" s="97"/>
      <c r="BE36" s="97"/>
      <c r="BF36" s="97"/>
      <c r="BG36" s="97"/>
      <c r="BH36" s="97"/>
      <c r="BI36" s="97"/>
      <c r="BJ36" s="97"/>
      <c r="BK36" s="97"/>
      <c r="BL36" s="97"/>
      <c r="BM36" s="97"/>
      <c r="BN36" s="97"/>
      <c r="BO36" s="97"/>
      <c r="BP36" s="97"/>
      <c r="BQ36" s="97"/>
      <c r="BR36" s="97"/>
      <c r="BS36" s="97"/>
      <c r="BT36" s="97"/>
      <c r="BU36" s="97"/>
      <c r="BV36" s="97"/>
      <c r="BW36" s="97"/>
      <c r="BX36" s="97"/>
      <c r="BY36" s="97"/>
      <c r="BZ36" s="97"/>
      <c r="CA36" s="97"/>
      <c r="CB36" s="97"/>
      <c r="CC36" s="97"/>
      <c r="CD36" s="97"/>
      <c r="CE36" s="19"/>
    </row>
    <row r="37" spans="1:83" s="21" customFormat="1" ht="15" customHeight="1" x14ac:dyDescent="0.3">
      <c r="A37" s="19"/>
      <c r="D37" s="140" t="s">
        <v>197</v>
      </c>
      <c r="E37" s="39"/>
      <c r="F37" s="97"/>
      <c r="G37" s="97"/>
      <c r="H37" s="97"/>
      <c r="I37" s="365" t="s">
        <v>36</v>
      </c>
      <c r="K37" s="97"/>
      <c r="L37" s="97"/>
      <c r="M37" s="364">
        <v>0.05</v>
      </c>
      <c r="N37" s="97"/>
      <c r="O37" s="97"/>
      <c r="P37" s="97"/>
      <c r="Q37" s="97"/>
      <c r="R37" s="97"/>
      <c r="S37" s="97"/>
      <c r="T37" s="97"/>
      <c r="U37" s="113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97"/>
      <c r="AM37" s="97"/>
      <c r="AN37" s="97"/>
      <c r="AO37" s="97"/>
      <c r="AP37" s="97"/>
      <c r="AQ37" s="97"/>
      <c r="AR37" s="97"/>
      <c r="AS37" s="97"/>
      <c r="AT37" s="97"/>
      <c r="AU37" s="97"/>
      <c r="AV37" s="97"/>
      <c r="AW37" s="97"/>
      <c r="AX37" s="97"/>
      <c r="AY37" s="97"/>
      <c r="AZ37" s="97"/>
      <c r="BA37" s="97"/>
      <c r="BB37" s="97"/>
      <c r="BC37" s="97"/>
      <c r="BD37" s="97"/>
      <c r="BE37" s="97"/>
      <c r="BF37" s="97"/>
      <c r="BG37" s="97"/>
      <c r="BH37" s="97"/>
      <c r="BI37" s="97"/>
      <c r="BJ37" s="97"/>
      <c r="BK37" s="97"/>
      <c r="BL37" s="97"/>
      <c r="BM37" s="97"/>
      <c r="BN37" s="97"/>
      <c r="BO37" s="97"/>
      <c r="BP37" s="97"/>
      <c r="BQ37" s="97"/>
      <c r="BR37" s="97"/>
      <c r="BS37" s="97"/>
      <c r="BT37" s="97"/>
      <c r="BU37" s="97"/>
      <c r="BV37" s="97"/>
      <c r="BW37" s="97"/>
      <c r="BX37" s="97"/>
      <c r="BY37" s="97"/>
      <c r="BZ37" s="97"/>
      <c r="CA37" s="97"/>
      <c r="CB37" s="97"/>
      <c r="CC37" s="97"/>
      <c r="CD37" s="97"/>
      <c r="CE37" s="19"/>
    </row>
    <row r="38" spans="1:83" s="21" customFormat="1" ht="15" customHeight="1" x14ac:dyDescent="0.3">
      <c r="A38" s="19"/>
      <c r="D38" s="140" t="s">
        <v>198</v>
      </c>
      <c r="E38" s="39"/>
      <c r="F38" s="97"/>
      <c r="G38" s="97"/>
      <c r="H38" s="97"/>
      <c r="I38" s="365" t="s">
        <v>36</v>
      </c>
      <c r="K38" s="97"/>
      <c r="L38" s="97"/>
      <c r="M38" s="364">
        <v>0.01</v>
      </c>
      <c r="N38" s="97"/>
      <c r="O38" s="97"/>
      <c r="P38" s="97"/>
      <c r="Q38" s="97"/>
      <c r="R38" s="97"/>
      <c r="S38" s="97"/>
      <c r="T38" s="97"/>
      <c r="U38" s="113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  <c r="AL38" s="97"/>
      <c r="AM38" s="97"/>
      <c r="AN38" s="97"/>
      <c r="AO38" s="97"/>
      <c r="AP38" s="97"/>
      <c r="AQ38" s="97"/>
      <c r="AR38" s="97"/>
      <c r="AS38" s="97"/>
      <c r="AT38" s="97"/>
      <c r="AU38" s="97"/>
      <c r="AV38" s="97"/>
      <c r="AW38" s="97"/>
      <c r="AX38" s="97"/>
      <c r="AY38" s="97"/>
      <c r="AZ38" s="97"/>
      <c r="BA38" s="97"/>
      <c r="BB38" s="97"/>
      <c r="BC38" s="97"/>
      <c r="BD38" s="97"/>
      <c r="BE38" s="97"/>
      <c r="BF38" s="97"/>
      <c r="BG38" s="97"/>
      <c r="BH38" s="97"/>
      <c r="BI38" s="97"/>
      <c r="BJ38" s="97"/>
      <c r="BK38" s="97"/>
      <c r="BL38" s="97"/>
      <c r="BM38" s="97"/>
      <c r="BN38" s="97"/>
      <c r="BO38" s="97"/>
      <c r="BP38" s="97"/>
      <c r="BQ38" s="97"/>
      <c r="BR38" s="97"/>
      <c r="BS38" s="97"/>
      <c r="BT38" s="97"/>
      <c r="BU38" s="97"/>
      <c r="BV38" s="97"/>
      <c r="BW38" s="97"/>
      <c r="BX38" s="97"/>
      <c r="BY38" s="97"/>
      <c r="BZ38" s="97"/>
      <c r="CA38" s="97"/>
      <c r="CB38" s="97"/>
      <c r="CC38" s="97"/>
      <c r="CD38" s="97"/>
      <c r="CE38" s="19"/>
    </row>
    <row r="39" spans="1:83" s="21" customFormat="1" ht="15" customHeight="1" x14ac:dyDescent="0.3">
      <c r="A39" s="19"/>
      <c r="D39" s="140" t="s">
        <v>199</v>
      </c>
      <c r="E39" s="39"/>
      <c r="F39" s="97"/>
      <c r="G39" s="97"/>
      <c r="H39" s="97"/>
      <c r="I39" s="365" t="s">
        <v>36</v>
      </c>
      <c r="J39" s="97"/>
      <c r="K39" s="97"/>
      <c r="L39" s="97"/>
      <c r="M39" s="364">
        <v>0.01</v>
      </c>
      <c r="N39" s="97"/>
      <c r="O39" s="97"/>
      <c r="P39" s="97"/>
      <c r="Q39" s="97"/>
      <c r="R39" s="97"/>
      <c r="S39" s="97"/>
      <c r="T39" s="97"/>
      <c r="U39" s="113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7"/>
      <c r="AL39" s="97"/>
      <c r="AM39" s="97"/>
      <c r="AN39" s="97"/>
      <c r="AO39" s="97"/>
      <c r="AP39" s="97"/>
      <c r="AQ39" s="97"/>
      <c r="AR39" s="97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  <c r="BP39" s="97"/>
      <c r="BQ39" s="97"/>
      <c r="BR39" s="97"/>
      <c r="BS39" s="97"/>
      <c r="BT39" s="97"/>
      <c r="BU39" s="97"/>
      <c r="BV39" s="97"/>
      <c r="BW39" s="97"/>
      <c r="BX39" s="97"/>
      <c r="BY39" s="97"/>
      <c r="BZ39" s="97"/>
      <c r="CA39" s="97"/>
      <c r="CB39" s="97"/>
      <c r="CC39" s="97"/>
      <c r="CD39" s="97"/>
      <c r="CE39" s="19"/>
    </row>
    <row r="40" spans="1:83" s="21" customFormat="1" ht="15" customHeight="1" x14ac:dyDescent="0.3">
      <c r="A40" s="19"/>
      <c r="D40" s="139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113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  <c r="BP40" s="97"/>
      <c r="BQ40" s="97"/>
      <c r="BR40" s="97"/>
      <c r="BS40" s="97"/>
      <c r="BT40" s="97"/>
      <c r="BU40" s="97"/>
      <c r="BV40" s="97"/>
      <c r="BW40" s="97"/>
      <c r="BX40" s="97"/>
      <c r="BY40" s="97"/>
      <c r="BZ40" s="97"/>
      <c r="CA40" s="97"/>
      <c r="CB40" s="97"/>
      <c r="CC40" s="97"/>
      <c r="CD40" s="97"/>
      <c r="CE40" s="19"/>
    </row>
    <row r="41" spans="1:83" s="23" customFormat="1" ht="15" customHeight="1" x14ac:dyDescent="0.3">
      <c r="A41" s="111"/>
      <c r="B41" s="110"/>
      <c r="C41" s="110"/>
      <c r="D41" s="133" t="s">
        <v>8</v>
      </c>
      <c r="E41" s="123"/>
      <c r="F41" s="123"/>
      <c r="G41" s="123"/>
      <c r="H41" s="123"/>
      <c r="I41" s="124"/>
      <c r="J41" s="124"/>
      <c r="K41" s="124"/>
      <c r="L41" s="124"/>
      <c r="M41" s="125"/>
      <c r="N41" s="126"/>
      <c r="O41" s="97"/>
      <c r="P41" s="126"/>
      <c r="Q41" s="126"/>
      <c r="R41" s="126"/>
      <c r="S41" s="126"/>
      <c r="T41" s="126"/>
      <c r="U41" s="97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  <c r="BC41" s="126"/>
      <c r="BD41" s="126"/>
      <c r="BE41" s="126"/>
      <c r="BF41" s="126"/>
      <c r="BG41" s="126"/>
      <c r="BH41" s="126"/>
      <c r="BI41" s="126"/>
      <c r="BJ41" s="126"/>
      <c r="BK41" s="126"/>
      <c r="BL41" s="126"/>
      <c r="BM41" s="126"/>
      <c r="BN41" s="126"/>
      <c r="BO41" s="126"/>
      <c r="BP41" s="126"/>
      <c r="BQ41" s="126"/>
      <c r="BR41" s="126"/>
      <c r="BS41" s="126"/>
      <c r="BT41" s="126"/>
      <c r="BU41" s="126"/>
      <c r="BV41" s="126"/>
      <c r="BW41" s="126"/>
      <c r="BX41" s="126"/>
      <c r="BY41" s="126"/>
      <c r="BZ41" s="126"/>
      <c r="CA41" s="126"/>
      <c r="CB41" s="126"/>
      <c r="CC41" s="126"/>
      <c r="CD41" s="112"/>
      <c r="CE41" s="19"/>
    </row>
    <row r="42" spans="1:83" s="21" customFormat="1" ht="15" customHeight="1" x14ac:dyDescent="0.3">
      <c r="A42" s="19"/>
      <c r="D42" s="135"/>
      <c r="E42" s="35"/>
      <c r="F42" s="35"/>
      <c r="G42" s="35"/>
      <c r="H42" s="35"/>
      <c r="I42" s="35"/>
      <c r="J42" s="35"/>
      <c r="K42" s="35"/>
      <c r="L42" s="35"/>
      <c r="M42" s="35"/>
      <c r="O42" s="113"/>
      <c r="P42" s="42"/>
      <c r="Q42" s="5"/>
      <c r="R42" s="5"/>
      <c r="S42" s="5"/>
      <c r="T42" s="5"/>
      <c r="U42" s="113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97"/>
      <c r="AL42" s="97"/>
      <c r="AM42" s="97"/>
      <c r="AN42" s="97"/>
      <c r="AO42" s="97"/>
      <c r="AP42" s="97"/>
      <c r="AQ42" s="97"/>
      <c r="AR42" s="97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  <c r="BP42" s="97"/>
      <c r="BQ42" s="97"/>
      <c r="BR42" s="97"/>
      <c r="BS42" s="97"/>
      <c r="BT42" s="97"/>
      <c r="BU42" s="97"/>
      <c r="BV42" s="97"/>
      <c r="BW42" s="97"/>
      <c r="BX42" s="97"/>
      <c r="BY42" s="97"/>
      <c r="BZ42" s="97"/>
      <c r="CA42" s="97"/>
      <c r="CB42" s="97"/>
      <c r="CC42" s="97"/>
      <c r="CD42" s="97"/>
      <c r="CE42" s="19"/>
    </row>
    <row r="43" spans="1:83" s="21" customFormat="1" ht="15" customHeight="1" x14ac:dyDescent="0.3">
      <c r="A43" s="19"/>
      <c r="D43" s="141" t="s">
        <v>47</v>
      </c>
      <c r="E43" s="39"/>
      <c r="F43" s="39"/>
      <c r="G43" s="39"/>
      <c r="H43" s="39"/>
      <c r="I43" s="35"/>
      <c r="J43" s="35"/>
      <c r="K43" s="35"/>
      <c r="L43" s="35"/>
      <c r="M43" s="35"/>
      <c r="O43" s="113"/>
      <c r="P43" s="42"/>
      <c r="Q43" s="5"/>
      <c r="R43" s="5"/>
      <c r="S43" s="5"/>
      <c r="T43" s="5"/>
      <c r="U43" s="113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  <c r="BP43" s="97"/>
      <c r="BQ43" s="97"/>
      <c r="BR43" s="97"/>
      <c r="BS43" s="97"/>
      <c r="BT43" s="97"/>
      <c r="BU43" s="97"/>
      <c r="BV43" s="97"/>
      <c r="BW43" s="97"/>
      <c r="BX43" s="97"/>
      <c r="BY43" s="97"/>
      <c r="BZ43" s="97"/>
      <c r="CA43" s="97"/>
      <c r="CB43" s="97"/>
      <c r="CC43" s="97"/>
      <c r="CD43" s="97"/>
      <c r="CE43" s="19"/>
    </row>
    <row r="44" spans="1:83" s="21" customFormat="1" ht="15" customHeight="1" x14ac:dyDescent="0.3">
      <c r="A44" s="19"/>
      <c r="D44" s="141"/>
      <c r="E44" s="39"/>
      <c r="F44" s="39"/>
      <c r="G44" s="39"/>
      <c r="H44" s="39"/>
      <c r="I44" s="31"/>
      <c r="J44" s="35"/>
      <c r="K44" s="35"/>
      <c r="L44" s="35"/>
      <c r="M44" s="35"/>
      <c r="O44" s="113"/>
      <c r="P44" s="42"/>
      <c r="Q44" s="5"/>
      <c r="R44" s="5"/>
      <c r="S44" s="5"/>
      <c r="T44" s="5"/>
      <c r="U44" s="113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97"/>
      <c r="AH44" s="97"/>
      <c r="AI44" s="97"/>
      <c r="AJ44" s="97"/>
      <c r="AK44" s="97"/>
      <c r="AL44" s="97"/>
      <c r="AM44" s="97"/>
      <c r="AN44" s="97"/>
      <c r="AO44" s="97"/>
      <c r="AP44" s="97"/>
      <c r="AQ44" s="97"/>
      <c r="AR44" s="97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  <c r="BP44" s="97"/>
      <c r="BQ44" s="97"/>
      <c r="BR44" s="97"/>
      <c r="BS44" s="97"/>
      <c r="BT44" s="97"/>
      <c r="BU44" s="97"/>
      <c r="BV44" s="97"/>
      <c r="BW44" s="97"/>
      <c r="BX44" s="97"/>
      <c r="BY44" s="97"/>
      <c r="BZ44" s="97"/>
      <c r="CA44" s="97"/>
      <c r="CB44" s="97"/>
      <c r="CC44" s="97"/>
      <c r="CD44" s="97"/>
      <c r="CE44" s="19"/>
    </row>
    <row r="45" spans="1:83" s="21" customFormat="1" ht="15" customHeight="1" x14ac:dyDescent="0.3">
      <c r="A45" s="19"/>
      <c r="D45" s="140" t="s">
        <v>201</v>
      </c>
      <c r="E45" s="39"/>
      <c r="F45" s="39"/>
      <c r="G45" s="39"/>
      <c r="H45" s="39"/>
      <c r="I45" s="365" t="s">
        <v>36</v>
      </c>
      <c r="J45" s="35"/>
      <c r="K45" s="35"/>
      <c r="L45" s="35"/>
      <c r="M45" s="364">
        <v>0.01</v>
      </c>
      <c r="O45" s="113"/>
      <c r="P45" s="42"/>
      <c r="Q45" s="5"/>
      <c r="R45" s="5"/>
      <c r="S45" s="5"/>
      <c r="T45" s="5"/>
      <c r="U45" s="113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97"/>
      <c r="AM45" s="97"/>
      <c r="AN45" s="97"/>
      <c r="AO45" s="97"/>
      <c r="AP45" s="97"/>
      <c r="AQ45" s="97"/>
      <c r="AR45" s="97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  <c r="BP45" s="97"/>
      <c r="BQ45" s="97"/>
      <c r="BR45" s="97"/>
      <c r="BS45" s="97"/>
      <c r="BT45" s="97"/>
      <c r="BU45" s="97"/>
      <c r="BV45" s="97"/>
      <c r="BW45" s="97"/>
      <c r="BX45" s="97"/>
      <c r="BY45" s="97"/>
      <c r="BZ45" s="97"/>
      <c r="CA45" s="97"/>
      <c r="CB45" s="97"/>
      <c r="CC45" s="97"/>
      <c r="CD45" s="97"/>
      <c r="CE45" s="19"/>
    </row>
    <row r="46" spans="1:83" s="21" customFormat="1" ht="15" customHeight="1" x14ac:dyDescent="0.3">
      <c r="A46" s="19"/>
      <c r="D46" s="140" t="s">
        <v>202</v>
      </c>
      <c r="E46" s="39"/>
      <c r="F46" s="39"/>
      <c r="G46" s="39"/>
      <c r="H46" s="39"/>
      <c r="I46" s="365" t="s">
        <v>36</v>
      </c>
      <c r="J46" s="35"/>
      <c r="K46" s="35"/>
      <c r="L46" s="35"/>
      <c r="M46" s="364">
        <v>0.01</v>
      </c>
      <c r="O46" s="113"/>
      <c r="P46" s="42"/>
      <c r="Q46" s="5"/>
      <c r="R46" s="5"/>
      <c r="S46" s="5"/>
      <c r="T46" s="5"/>
      <c r="U46" s="113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97"/>
      <c r="AO46" s="97"/>
      <c r="AP46" s="97"/>
      <c r="AQ46" s="97"/>
      <c r="AR46" s="97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97"/>
      <c r="BY46" s="97"/>
      <c r="BZ46" s="97"/>
      <c r="CA46" s="97"/>
      <c r="CB46" s="97"/>
      <c r="CC46" s="97"/>
      <c r="CD46" s="97"/>
      <c r="CE46" s="19"/>
    </row>
    <row r="47" spans="1:83" s="21" customFormat="1" ht="15" customHeight="1" x14ac:dyDescent="0.3">
      <c r="A47" s="19"/>
      <c r="D47" s="140" t="s">
        <v>203</v>
      </c>
      <c r="E47" s="39"/>
      <c r="F47" s="39"/>
      <c r="G47" s="39"/>
      <c r="H47" s="39"/>
      <c r="I47" s="365" t="s">
        <v>36</v>
      </c>
      <c r="J47" s="35"/>
      <c r="K47" s="35"/>
      <c r="L47" s="35"/>
      <c r="M47" s="364">
        <v>0.01</v>
      </c>
      <c r="O47" s="113"/>
      <c r="P47" s="42"/>
      <c r="Q47" s="5"/>
      <c r="R47" s="5"/>
      <c r="S47" s="5"/>
      <c r="T47" s="5"/>
      <c r="U47" s="113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7"/>
      <c r="AH47" s="97"/>
      <c r="AI47" s="97"/>
      <c r="AJ47" s="97"/>
      <c r="AK47" s="97"/>
      <c r="AL47" s="97"/>
      <c r="AM47" s="97"/>
      <c r="AN47" s="97"/>
      <c r="AO47" s="97"/>
      <c r="AP47" s="97"/>
      <c r="AQ47" s="97"/>
      <c r="AR47" s="97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  <c r="BP47" s="97"/>
      <c r="BQ47" s="97"/>
      <c r="BR47" s="97"/>
      <c r="BS47" s="97"/>
      <c r="BT47" s="97"/>
      <c r="BU47" s="97"/>
      <c r="BV47" s="97"/>
      <c r="BW47" s="97"/>
      <c r="BX47" s="97"/>
      <c r="BY47" s="97"/>
      <c r="BZ47" s="97"/>
      <c r="CA47" s="97"/>
      <c r="CB47" s="97"/>
      <c r="CC47" s="97"/>
      <c r="CD47" s="97"/>
      <c r="CE47" s="19"/>
    </row>
    <row r="48" spans="1:83" s="21" customFormat="1" ht="15" customHeight="1" x14ac:dyDescent="0.3">
      <c r="A48" s="19"/>
      <c r="D48" s="140" t="s">
        <v>204</v>
      </c>
      <c r="E48" s="39"/>
      <c r="F48" s="39"/>
      <c r="G48" s="39"/>
      <c r="H48" s="39"/>
      <c r="I48" s="365" t="s">
        <v>36</v>
      </c>
      <c r="J48" s="35"/>
      <c r="K48" s="35"/>
      <c r="L48" s="35"/>
      <c r="M48" s="367">
        <v>3.0000000000000001E-3</v>
      </c>
      <c r="O48" s="113"/>
      <c r="P48" s="42"/>
      <c r="Q48" s="5"/>
      <c r="R48" s="5"/>
      <c r="S48" s="5"/>
      <c r="T48" s="5"/>
      <c r="U48" s="113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97"/>
      <c r="AH48" s="97"/>
      <c r="AI48" s="97"/>
      <c r="AJ48" s="97"/>
      <c r="AK48" s="97"/>
      <c r="AL48" s="97"/>
      <c r="AM48" s="97"/>
      <c r="AN48" s="97"/>
      <c r="AO48" s="97"/>
      <c r="AP48" s="97"/>
      <c r="AQ48" s="97"/>
      <c r="AR48" s="97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  <c r="BP48" s="97"/>
      <c r="BQ48" s="97"/>
      <c r="BR48" s="97"/>
      <c r="BS48" s="97"/>
      <c r="BT48" s="97"/>
      <c r="BU48" s="97"/>
      <c r="BV48" s="97"/>
      <c r="BW48" s="97"/>
      <c r="BX48" s="97"/>
      <c r="BY48" s="97"/>
      <c r="BZ48" s="97"/>
      <c r="CA48" s="97"/>
      <c r="CB48" s="97"/>
      <c r="CC48" s="97"/>
      <c r="CD48" s="97"/>
      <c r="CE48" s="19"/>
    </row>
    <row r="49" spans="1:83" s="21" customFormat="1" ht="15" customHeight="1" x14ac:dyDescent="0.3">
      <c r="A49" s="19"/>
      <c r="D49" s="140"/>
      <c r="E49" s="39"/>
      <c r="F49" s="39"/>
      <c r="G49" s="39"/>
      <c r="H49" s="39"/>
      <c r="I49" s="35"/>
      <c r="J49" s="35"/>
      <c r="K49" s="35"/>
      <c r="L49" s="35"/>
      <c r="M49" s="366"/>
      <c r="O49" s="113"/>
      <c r="P49" s="42"/>
      <c r="Q49" s="5"/>
      <c r="R49" s="5"/>
      <c r="S49" s="5"/>
      <c r="T49" s="5"/>
      <c r="U49" s="113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  <c r="AI49" s="97"/>
      <c r="AJ49" s="97"/>
      <c r="AK49" s="97"/>
      <c r="AL49" s="97"/>
      <c r="AM49" s="97"/>
      <c r="AN49" s="97"/>
      <c r="AO49" s="97"/>
      <c r="AP49" s="97"/>
      <c r="AQ49" s="97"/>
      <c r="AR49" s="97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  <c r="BP49" s="97"/>
      <c r="BQ49" s="97"/>
      <c r="BR49" s="97"/>
      <c r="BS49" s="97"/>
      <c r="BT49" s="97"/>
      <c r="BU49" s="97"/>
      <c r="BV49" s="97"/>
      <c r="BW49" s="97"/>
      <c r="BX49" s="97"/>
      <c r="BY49" s="97"/>
      <c r="BZ49" s="97"/>
      <c r="CA49" s="97"/>
      <c r="CB49" s="97"/>
      <c r="CC49" s="97"/>
      <c r="CD49" s="97"/>
      <c r="CE49" s="19"/>
    </row>
    <row r="50" spans="1:83" s="21" customFormat="1" ht="15" customHeight="1" x14ac:dyDescent="0.3">
      <c r="A50" s="19"/>
      <c r="D50" s="141" t="s">
        <v>48</v>
      </c>
      <c r="E50" s="39"/>
      <c r="F50" s="39"/>
      <c r="G50" s="39"/>
      <c r="H50" s="39"/>
      <c r="I50" s="35"/>
      <c r="J50" s="35"/>
      <c r="K50" s="35"/>
      <c r="L50" s="35"/>
      <c r="M50" s="35"/>
      <c r="O50" s="113"/>
      <c r="P50" s="42"/>
      <c r="Q50" s="5"/>
      <c r="R50" s="5"/>
      <c r="S50" s="5"/>
      <c r="T50" s="5"/>
      <c r="U50" s="113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  <c r="AI50" s="97"/>
      <c r="AJ50" s="97"/>
      <c r="AK50" s="97"/>
      <c r="AL50" s="97"/>
      <c r="AM50" s="97"/>
      <c r="AN50" s="97"/>
      <c r="AO50" s="97"/>
      <c r="AP50" s="97"/>
      <c r="AQ50" s="97"/>
      <c r="AR50" s="97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  <c r="BP50" s="97"/>
      <c r="BQ50" s="97"/>
      <c r="BR50" s="97"/>
      <c r="BS50" s="97"/>
      <c r="BT50" s="97"/>
      <c r="BU50" s="97"/>
      <c r="BV50" s="97"/>
      <c r="BW50" s="97"/>
      <c r="BX50" s="97"/>
      <c r="BY50" s="97"/>
      <c r="BZ50" s="97"/>
      <c r="CA50" s="97"/>
      <c r="CB50" s="97"/>
      <c r="CC50" s="97"/>
      <c r="CD50" s="97"/>
      <c r="CE50" s="19"/>
    </row>
    <row r="51" spans="1:83" s="21" customFormat="1" ht="15" customHeight="1" x14ac:dyDescent="0.3">
      <c r="A51" s="19"/>
      <c r="D51" s="290"/>
      <c r="E51" s="109"/>
      <c r="F51" s="109"/>
      <c r="G51" s="109"/>
      <c r="H51" s="109"/>
      <c r="I51" s="109"/>
      <c r="J51" s="19"/>
      <c r="K51" s="109"/>
      <c r="L51" s="109"/>
      <c r="M51" s="109"/>
      <c r="N51" s="109"/>
      <c r="O51" s="97"/>
      <c r="P51" s="291"/>
      <c r="Q51" s="291"/>
      <c r="R51" s="291"/>
      <c r="S51" s="291"/>
      <c r="T51" s="291"/>
      <c r="U51" s="158"/>
      <c r="V51" s="291"/>
      <c r="W51" s="291"/>
      <c r="X51" s="291"/>
      <c r="Y51" s="291"/>
      <c r="Z51" s="291"/>
      <c r="AA51" s="291"/>
      <c r="AB51" s="291"/>
      <c r="AC51" s="291"/>
      <c r="AD51" s="291"/>
      <c r="AE51" s="291"/>
      <c r="AF51" s="291"/>
      <c r="AG51" s="291"/>
      <c r="AH51" s="291"/>
      <c r="AI51" s="291"/>
      <c r="AJ51" s="291"/>
      <c r="AK51" s="291"/>
      <c r="AL51" s="291"/>
      <c r="AM51" s="291"/>
      <c r="AN51" s="291"/>
      <c r="AO51" s="291"/>
      <c r="AP51" s="291"/>
      <c r="AQ51" s="291"/>
      <c r="AR51" s="291"/>
      <c r="AS51" s="291"/>
      <c r="AT51" s="291"/>
      <c r="AU51" s="291"/>
      <c r="AV51" s="291"/>
      <c r="AW51" s="291"/>
      <c r="AX51" s="291"/>
      <c r="AY51" s="291"/>
      <c r="AZ51" s="291"/>
      <c r="BA51" s="291"/>
      <c r="BB51" s="291"/>
      <c r="BC51" s="291"/>
      <c r="BD51" s="291"/>
      <c r="BE51" s="291"/>
      <c r="BF51" s="291"/>
      <c r="BG51" s="291"/>
      <c r="BH51" s="291"/>
      <c r="BI51" s="291"/>
      <c r="BJ51" s="291"/>
      <c r="BK51" s="291"/>
      <c r="BL51" s="291"/>
      <c r="BM51" s="291"/>
      <c r="BN51" s="291"/>
      <c r="BO51" s="291"/>
      <c r="BP51" s="291"/>
      <c r="BQ51" s="291"/>
      <c r="BR51" s="291"/>
      <c r="BS51" s="291"/>
      <c r="BT51" s="291"/>
      <c r="BU51" s="291"/>
      <c r="BV51" s="291"/>
      <c r="BW51" s="291"/>
      <c r="BX51" s="291"/>
      <c r="BY51" s="291"/>
      <c r="BZ51" s="291"/>
      <c r="CA51" s="291"/>
      <c r="CB51" s="291"/>
      <c r="CC51" s="291"/>
      <c r="CD51" s="97"/>
      <c r="CE51" s="19"/>
    </row>
    <row r="52" spans="1:83" s="21" customFormat="1" ht="15" customHeight="1" x14ac:dyDescent="0.3">
      <c r="A52" s="19"/>
      <c r="D52" s="290"/>
      <c r="E52" s="109"/>
      <c r="F52" s="109"/>
      <c r="G52" s="109"/>
      <c r="H52" s="109"/>
      <c r="I52" s="109"/>
      <c r="J52" s="19"/>
      <c r="K52" s="109"/>
      <c r="L52" s="109"/>
      <c r="M52" s="109"/>
      <c r="N52" s="109"/>
      <c r="O52" s="97"/>
      <c r="P52" s="291"/>
      <c r="Q52" s="291"/>
      <c r="R52" s="291"/>
      <c r="S52" s="291"/>
      <c r="T52" s="291"/>
      <c r="U52" s="158"/>
      <c r="V52" s="291"/>
      <c r="W52" s="291"/>
      <c r="X52" s="291"/>
      <c r="Y52" s="291"/>
      <c r="Z52" s="291"/>
      <c r="AA52" s="291"/>
      <c r="AB52" s="291"/>
      <c r="AC52" s="291"/>
      <c r="AD52" s="291"/>
      <c r="AE52" s="291"/>
      <c r="AF52" s="291"/>
      <c r="AG52" s="291"/>
      <c r="AH52" s="291"/>
      <c r="AI52" s="291"/>
      <c r="AJ52" s="291"/>
      <c r="AK52" s="291"/>
      <c r="AL52" s="291"/>
      <c r="AM52" s="291"/>
      <c r="AN52" s="291"/>
      <c r="AO52" s="291"/>
      <c r="AP52" s="291"/>
      <c r="AQ52" s="291"/>
      <c r="AR52" s="291"/>
      <c r="AS52" s="291"/>
      <c r="AT52" s="291"/>
      <c r="AU52" s="291"/>
      <c r="AV52" s="291"/>
      <c r="AW52" s="291"/>
      <c r="AX52" s="291"/>
      <c r="AY52" s="291"/>
      <c r="AZ52" s="291"/>
      <c r="BA52" s="291"/>
      <c r="BB52" s="291"/>
      <c r="BC52" s="291"/>
      <c r="BD52" s="291"/>
      <c r="BE52" s="291"/>
      <c r="BF52" s="291"/>
      <c r="BG52" s="291"/>
      <c r="BH52" s="291"/>
      <c r="BI52" s="291"/>
      <c r="BJ52" s="291"/>
      <c r="BK52" s="291"/>
      <c r="BL52" s="291"/>
      <c r="BM52" s="291"/>
      <c r="BN52" s="291"/>
      <c r="BO52" s="291"/>
      <c r="BP52" s="291"/>
      <c r="BQ52" s="291"/>
      <c r="BR52" s="291"/>
      <c r="BS52" s="291"/>
      <c r="BT52" s="291"/>
      <c r="BU52" s="291"/>
      <c r="BV52" s="291"/>
      <c r="BW52" s="291"/>
      <c r="BX52" s="291"/>
      <c r="BY52" s="291"/>
      <c r="BZ52" s="291"/>
      <c r="CA52" s="291"/>
      <c r="CB52" s="291"/>
      <c r="CC52" s="291"/>
      <c r="CD52" s="97"/>
      <c r="CE52" s="19"/>
    </row>
    <row r="53" spans="1:83" s="21" customFormat="1" ht="15" customHeight="1" x14ac:dyDescent="0.3">
      <c r="A53" s="19"/>
      <c r="D53" s="290"/>
      <c r="E53" s="109"/>
      <c r="F53" s="109"/>
      <c r="G53" s="109"/>
      <c r="H53" s="109"/>
      <c r="I53" s="109"/>
      <c r="J53" s="19"/>
      <c r="K53" s="109"/>
      <c r="L53" s="109"/>
      <c r="M53" s="109"/>
      <c r="N53" s="109"/>
      <c r="O53" s="97"/>
      <c r="P53" s="291"/>
      <c r="Q53" s="291"/>
      <c r="R53" s="291"/>
      <c r="S53" s="291"/>
      <c r="T53" s="291"/>
      <c r="U53" s="158"/>
      <c r="V53" s="291"/>
      <c r="W53" s="291"/>
      <c r="X53" s="291"/>
      <c r="Y53" s="291"/>
      <c r="Z53" s="291"/>
      <c r="AA53" s="291"/>
      <c r="AB53" s="291"/>
      <c r="AC53" s="291"/>
      <c r="AD53" s="291"/>
      <c r="AE53" s="291"/>
      <c r="AF53" s="291"/>
      <c r="AG53" s="291"/>
      <c r="AH53" s="291"/>
      <c r="AI53" s="291"/>
      <c r="AJ53" s="291"/>
      <c r="AK53" s="291"/>
      <c r="AL53" s="291"/>
      <c r="AM53" s="291"/>
      <c r="AN53" s="291"/>
      <c r="AO53" s="291"/>
      <c r="AP53" s="291"/>
      <c r="AQ53" s="291"/>
      <c r="AR53" s="291"/>
      <c r="AS53" s="291"/>
      <c r="AT53" s="291"/>
      <c r="AU53" s="291"/>
      <c r="AV53" s="291"/>
      <c r="AW53" s="291"/>
      <c r="AX53" s="291"/>
      <c r="AY53" s="291"/>
      <c r="AZ53" s="291"/>
      <c r="BA53" s="291"/>
      <c r="BB53" s="291"/>
      <c r="BC53" s="291"/>
      <c r="BD53" s="291"/>
      <c r="BE53" s="291"/>
      <c r="BF53" s="291"/>
      <c r="BG53" s="291"/>
      <c r="BH53" s="291"/>
      <c r="BI53" s="291"/>
      <c r="BJ53" s="291"/>
      <c r="BK53" s="291"/>
      <c r="BL53" s="291"/>
      <c r="BM53" s="291"/>
      <c r="BN53" s="291"/>
      <c r="BO53" s="291"/>
      <c r="BP53" s="291"/>
      <c r="BQ53" s="291"/>
      <c r="BR53" s="291"/>
      <c r="BS53" s="291"/>
      <c r="BT53" s="291"/>
      <c r="BU53" s="291"/>
      <c r="BV53" s="291"/>
      <c r="BW53" s="291"/>
      <c r="BX53" s="291"/>
      <c r="BY53" s="291"/>
      <c r="BZ53" s="291"/>
      <c r="CA53" s="291"/>
      <c r="CB53" s="291"/>
      <c r="CC53" s="291"/>
      <c r="CD53" s="97"/>
      <c r="CE53" s="19"/>
    </row>
    <row r="54" spans="1:83" s="21" customFormat="1" ht="15" customHeight="1" x14ac:dyDescent="0.3">
      <c r="A54" s="19"/>
      <c r="D54" s="135"/>
      <c r="E54" s="35"/>
      <c r="F54" s="35"/>
      <c r="G54" s="35"/>
      <c r="H54" s="35"/>
      <c r="I54" s="35"/>
      <c r="J54" s="35"/>
      <c r="K54" s="35"/>
      <c r="L54" s="35"/>
      <c r="M54" s="35"/>
      <c r="O54" s="113"/>
      <c r="P54" s="42"/>
      <c r="Q54" s="5"/>
      <c r="R54" s="5"/>
      <c r="S54" s="5"/>
      <c r="T54" s="5"/>
      <c r="U54" s="113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7"/>
      <c r="AK54" s="97"/>
      <c r="AL54" s="97"/>
      <c r="AM54" s="97"/>
      <c r="AN54" s="97"/>
      <c r="AO54" s="97"/>
      <c r="AP54" s="97"/>
      <c r="AQ54" s="97"/>
      <c r="AR54" s="97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  <c r="BP54" s="97"/>
      <c r="BQ54" s="97"/>
      <c r="BR54" s="97"/>
      <c r="BS54" s="97"/>
      <c r="BT54" s="97"/>
      <c r="BU54" s="97"/>
      <c r="BV54" s="97"/>
      <c r="BW54" s="97"/>
      <c r="BX54" s="97"/>
      <c r="BY54" s="97"/>
      <c r="BZ54" s="97"/>
      <c r="CA54" s="97"/>
      <c r="CB54" s="97"/>
      <c r="CC54" s="97"/>
      <c r="CD54" s="97"/>
      <c r="CE54" s="19"/>
    </row>
    <row r="55" spans="1:83" s="23" customFormat="1" ht="15" customHeight="1" x14ac:dyDescent="0.3">
      <c r="A55" s="111"/>
      <c r="B55" s="110"/>
      <c r="C55" s="110"/>
      <c r="D55" s="133" t="s">
        <v>9</v>
      </c>
      <c r="E55" s="123"/>
      <c r="F55" s="123"/>
      <c r="G55" s="123"/>
      <c r="H55" s="123"/>
      <c r="I55" s="124"/>
      <c r="J55" s="124"/>
      <c r="K55" s="124"/>
      <c r="L55" s="124"/>
      <c r="M55" s="125"/>
      <c r="N55" s="126"/>
      <c r="O55" s="97"/>
      <c r="P55" s="126"/>
      <c r="Q55" s="126"/>
      <c r="R55" s="126"/>
      <c r="S55" s="126"/>
      <c r="T55" s="126"/>
      <c r="U55" s="97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  <c r="BC55" s="126"/>
      <c r="BD55" s="126"/>
      <c r="BE55" s="126"/>
      <c r="BF55" s="126"/>
      <c r="BG55" s="126"/>
      <c r="BH55" s="126"/>
      <c r="BI55" s="126"/>
      <c r="BJ55" s="126"/>
      <c r="BK55" s="126"/>
      <c r="BL55" s="126"/>
      <c r="BM55" s="126"/>
      <c r="BN55" s="126"/>
      <c r="BO55" s="126"/>
      <c r="BP55" s="126"/>
      <c r="BQ55" s="126"/>
      <c r="BR55" s="126"/>
      <c r="BS55" s="126"/>
      <c r="BT55" s="126"/>
      <c r="BU55" s="126"/>
      <c r="BV55" s="126"/>
      <c r="BW55" s="126"/>
      <c r="BX55" s="126"/>
      <c r="BY55" s="126"/>
      <c r="BZ55" s="126"/>
      <c r="CA55" s="126"/>
      <c r="CB55" s="126"/>
      <c r="CC55" s="126"/>
      <c r="CD55" s="112"/>
      <c r="CE55" s="19"/>
    </row>
    <row r="56" spans="1:83" s="30" customFormat="1" ht="15" customHeight="1" x14ac:dyDescent="0.3">
      <c r="A56" s="44"/>
      <c r="D56" s="132"/>
      <c r="E56" s="27"/>
      <c r="F56" s="27"/>
      <c r="G56" s="27"/>
      <c r="H56" s="27"/>
      <c r="I56" s="31"/>
      <c r="J56" s="31"/>
      <c r="K56" s="31"/>
      <c r="L56" s="31"/>
      <c r="N56" s="2"/>
      <c r="O56" s="97"/>
      <c r="P56" s="29"/>
      <c r="Q56" s="29"/>
      <c r="R56" s="29"/>
      <c r="S56" s="29"/>
      <c r="T56" s="29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/>
      <c r="AK56" s="97"/>
      <c r="AL56" s="97"/>
      <c r="AM56" s="97"/>
      <c r="AN56" s="97"/>
      <c r="AO56" s="97"/>
      <c r="AP56" s="97"/>
      <c r="AQ56" s="97"/>
      <c r="AR56" s="97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  <c r="BP56" s="97"/>
      <c r="BQ56" s="97"/>
      <c r="BR56" s="97"/>
      <c r="BS56" s="97"/>
      <c r="BT56" s="97"/>
      <c r="BU56" s="97"/>
      <c r="BV56" s="97"/>
      <c r="BW56" s="97"/>
      <c r="BX56" s="97"/>
      <c r="BY56" s="97"/>
      <c r="BZ56" s="97"/>
      <c r="CA56" s="97"/>
      <c r="CB56" s="97"/>
      <c r="CC56" s="97"/>
      <c r="CD56" s="50"/>
      <c r="CE56" s="19"/>
    </row>
    <row r="57" spans="1:83" s="21" customFormat="1" ht="15" customHeight="1" x14ac:dyDescent="0.3">
      <c r="A57" s="19"/>
      <c r="D57" s="290"/>
      <c r="E57" s="109"/>
      <c r="F57" s="109"/>
      <c r="G57" s="109"/>
      <c r="H57" s="109"/>
      <c r="I57" s="109"/>
      <c r="J57" s="19"/>
      <c r="K57" s="109"/>
      <c r="L57" s="109"/>
      <c r="M57" s="109"/>
      <c r="N57" s="109"/>
      <c r="O57" s="97"/>
      <c r="P57" s="291"/>
      <c r="Q57" s="291"/>
      <c r="R57" s="291"/>
      <c r="S57" s="291"/>
      <c r="T57" s="291"/>
      <c r="U57" s="158"/>
      <c r="V57" s="291"/>
      <c r="W57" s="291"/>
      <c r="X57" s="291"/>
      <c r="Y57" s="291"/>
      <c r="Z57" s="291"/>
      <c r="AA57" s="291"/>
      <c r="AB57" s="291"/>
      <c r="AC57" s="291"/>
      <c r="AD57" s="291"/>
      <c r="AE57" s="291"/>
      <c r="AF57" s="291"/>
      <c r="AG57" s="291"/>
      <c r="AH57" s="291"/>
      <c r="AI57" s="291"/>
      <c r="AJ57" s="291"/>
      <c r="AK57" s="291"/>
      <c r="AL57" s="291"/>
      <c r="AM57" s="291"/>
      <c r="AN57" s="291"/>
      <c r="AO57" s="291"/>
      <c r="AP57" s="291"/>
      <c r="AQ57" s="291"/>
      <c r="AR57" s="291"/>
      <c r="AS57" s="291"/>
      <c r="AT57" s="291"/>
      <c r="AU57" s="291"/>
      <c r="AV57" s="291"/>
      <c r="AW57" s="291"/>
      <c r="AX57" s="291"/>
      <c r="AY57" s="291"/>
      <c r="AZ57" s="291"/>
      <c r="BA57" s="291"/>
      <c r="BB57" s="291"/>
      <c r="BC57" s="291"/>
      <c r="BD57" s="291"/>
      <c r="BE57" s="291"/>
      <c r="BF57" s="291"/>
      <c r="BG57" s="291"/>
      <c r="BH57" s="291"/>
      <c r="BI57" s="291"/>
      <c r="BJ57" s="291"/>
      <c r="BK57" s="291"/>
      <c r="BL57" s="291"/>
      <c r="BM57" s="291"/>
      <c r="BN57" s="291"/>
      <c r="BO57" s="291"/>
      <c r="BP57" s="291"/>
      <c r="BQ57" s="291"/>
      <c r="BR57" s="291"/>
      <c r="BS57" s="291"/>
      <c r="BT57" s="291"/>
      <c r="BU57" s="291"/>
      <c r="BV57" s="291"/>
      <c r="BW57" s="291"/>
      <c r="BX57" s="291"/>
      <c r="BY57" s="291"/>
      <c r="BZ57" s="291"/>
      <c r="CA57" s="291"/>
      <c r="CB57" s="291"/>
      <c r="CC57" s="291"/>
      <c r="CD57" s="97"/>
      <c r="CE57" s="19"/>
    </row>
    <row r="58" spans="1:83" s="21" customFormat="1" ht="15" customHeight="1" x14ac:dyDescent="0.3">
      <c r="A58" s="19"/>
      <c r="D58" s="290"/>
      <c r="E58" s="109"/>
      <c r="F58" s="109"/>
      <c r="G58" s="109"/>
      <c r="H58" s="109"/>
      <c r="I58" s="109"/>
      <c r="J58" s="19"/>
      <c r="K58" s="109"/>
      <c r="L58" s="109"/>
      <c r="M58" s="109"/>
      <c r="N58" s="109"/>
      <c r="O58" s="97"/>
      <c r="P58" s="291"/>
      <c r="Q58" s="291"/>
      <c r="R58" s="291"/>
      <c r="S58" s="291"/>
      <c r="T58" s="291"/>
      <c r="U58" s="158"/>
      <c r="V58" s="291"/>
      <c r="W58" s="291"/>
      <c r="X58" s="291"/>
      <c r="Y58" s="291"/>
      <c r="Z58" s="291"/>
      <c r="AA58" s="291"/>
      <c r="AB58" s="291"/>
      <c r="AC58" s="291"/>
      <c r="AD58" s="291"/>
      <c r="AE58" s="291"/>
      <c r="AF58" s="291"/>
      <c r="AG58" s="291"/>
      <c r="AH58" s="291"/>
      <c r="AI58" s="291"/>
      <c r="AJ58" s="291"/>
      <c r="AK58" s="291"/>
      <c r="AL58" s="291"/>
      <c r="AM58" s="291"/>
      <c r="AN58" s="291"/>
      <c r="AO58" s="291"/>
      <c r="AP58" s="291"/>
      <c r="AQ58" s="291"/>
      <c r="AR58" s="291"/>
      <c r="AS58" s="291"/>
      <c r="AT58" s="291"/>
      <c r="AU58" s="291"/>
      <c r="AV58" s="291"/>
      <c r="AW58" s="291"/>
      <c r="AX58" s="291"/>
      <c r="AY58" s="291"/>
      <c r="AZ58" s="291"/>
      <c r="BA58" s="291"/>
      <c r="BB58" s="291"/>
      <c r="BC58" s="291"/>
      <c r="BD58" s="291"/>
      <c r="BE58" s="291"/>
      <c r="BF58" s="291"/>
      <c r="BG58" s="291"/>
      <c r="BH58" s="291"/>
      <c r="BI58" s="291"/>
      <c r="BJ58" s="291"/>
      <c r="BK58" s="291"/>
      <c r="BL58" s="291"/>
      <c r="BM58" s="291"/>
      <c r="BN58" s="291"/>
      <c r="BO58" s="291"/>
      <c r="BP58" s="291"/>
      <c r="BQ58" s="291"/>
      <c r="BR58" s="291"/>
      <c r="BS58" s="291"/>
      <c r="BT58" s="291"/>
      <c r="BU58" s="291"/>
      <c r="BV58" s="291"/>
      <c r="BW58" s="291"/>
      <c r="BX58" s="291"/>
      <c r="BY58" s="291"/>
      <c r="BZ58" s="291"/>
      <c r="CA58" s="291"/>
      <c r="CB58" s="291"/>
      <c r="CC58" s="291"/>
      <c r="CD58" s="97"/>
      <c r="CE58" s="19"/>
    </row>
    <row r="59" spans="1:83" s="21" customFormat="1" ht="15" customHeight="1" x14ac:dyDescent="0.3">
      <c r="A59" s="19"/>
      <c r="D59" s="290"/>
      <c r="E59" s="109"/>
      <c r="F59" s="109"/>
      <c r="G59" s="109"/>
      <c r="H59" s="109"/>
      <c r="I59" s="109"/>
      <c r="J59" s="19"/>
      <c r="K59" s="109"/>
      <c r="L59" s="109"/>
      <c r="M59" s="109"/>
      <c r="N59" s="109"/>
      <c r="O59" s="97"/>
      <c r="P59" s="291"/>
      <c r="Q59" s="291"/>
      <c r="R59" s="291"/>
      <c r="S59" s="291"/>
      <c r="T59" s="291"/>
      <c r="U59" s="158"/>
      <c r="V59" s="291"/>
      <c r="W59" s="291"/>
      <c r="X59" s="291"/>
      <c r="Y59" s="291"/>
      <c r="Z59" s="291"/>
      <c r="AA59" s="291"/>
      <c r="AB59" s="291"/>
      <c r="AC59" s="291"/>
      <c r="AD59" s="291"/>
      <c r="AE59" s="291"/>
      <c r="AF59" s="291"/>
      <c r="AG59" s="291"/>
      <c r="AH59" s="291"/>
      <c r="AI59" s="291"/>
      <c r="AJ59" s="291"/>
      <c r="AK59" s="291"/>
      <c r="AL59" s="291"/>
      <c r="AM59" s="291"/>
      <c r="AN59" s="291"/>
      <c r="AO59" s="291"/>
      <c r="AP59" s="291"/>
      <c r="AQ59" s="291"/>
      <c r="AR59" s="291"/>
      <c r="AS59" s="291"/>
      <c r="AT59" s="291"/>
      <c r="AU59" s="291"/>
      <c r="AV59" s="291"/>
      <c r="AW59" s="291"/>
      <c r="AX59" s="291"/>
      <c r="AY59" s="291"/>
      <c r="AZ59" s="291"/>
      <c r="BA59" s="291"/>
      <c r="BB59" s="291"/>
      <c r="BC59" s="291"/>
      <c r="BD59" s="291"/>
      <c r="BE59" s="291"/>
      <c r="BF59" s="291"/>
      <c r="BG59" s="291"/>
      <c r="BH59" s="291"/>
      <c r="BI59" s="291"/>
      <c r="BJ59" s="291"/>
      <c r="BK59" s="291"/>
      <c r="BL59" s="291"/>
      <c r="BM59" s="291"/>
      <c r="BN59" s="291"/>
      <c r="BO59" s="291"/>
      <c r="BP59" s="291"/>
      <c r="BQ59" s="291"/>
      <c r="BR59" s="291"/>
      <c r="BS59" s="291"/>
      <c r="BT59" s="291"/>
      <c r="BU59" s="291"/>
      <c r="BV59" s="291"/>
      <c r="BW59" s="291"/>
      <c r="BX59" s="291"/>
      <c r="BY59" s="291"/>
      <c r="BZ59" s="291"/>
      <c r="CA59" s="291"/>
      <c r="CB59" s="291"/>
      <c r="CC59" s="291"/>
      <c r="CD59" s="97"/>
      <c r="CE59" s="19"/>
    </row>
    <row r="60" spans="1:83" s="30" customFormat="1" ht="15" customHeight="1" x14ac:dyDescent="0.3">
      <c r="A60" s="44"/>
      <c r="D60" s="132"/>
      <c r="E60" s="27"/>
      <c r="F60" s="27"/>
      <c r="G60" s="27"/>
      <c r="H60" s="27"/>
      <c r="I60" s="31"/>
      <c r="J60" s="31"/>
      <c r="K60" s="31"/>
      <c r="L60" s="31"/>
      <c r="N60" s="2"/>
      <c r="O60" s="97"/>
      <c r="P60" s="29"/>
      <c r="Q60" s="29"/>
      <c r="R60" s="29"/>
      <c r="S60" s="29"/>
      <c r="T60" s="29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97"/>
      <c r="AH60" s="97"/>
      <c r="AI60" s="97"/>
      <c r="AJ60" s="97"/>
      <c r="AK60" s="97"/>
      <c r="AL60" s="97"/>
      <c r="AM60" s="97"/>
      <c r="AN60" s="97"/>
      <c r="AO60" s="97"/>
      <c r="AP60" s="97"/>
      <c r="AQ60" s="97"/>
      <c r="AR60" s="97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  <c r="BP60" s="97"/>
      <c r="BQ60" s="97"/>
      <c r="BR60" s="97"/>
      <c r="BS60" s="97"/>
      <c r="BT60" s="97"/>
      <c r="BU60" s="97"/>
      <c r="BV60" s="97"/>
      <c r="BW60" s="97"/>
      <c r="BX60" s="97"/>
      <c r="BY60" s="97"/>
      <c r="BZ60" s="97"/>
      <c r="CA60" s="97"/>
      <c r="CB60" s="97"/>
      <c r="CC60" s="97"/>
      <c r="CD60" s="50"/>
      <c r="CE60" s="19"/>
    </row>
    <row r="61" spans="1:83" s="23" customFormat="1" ht="15" customHeight="1" x14ac:dyDescent="0.3">
      <c r="A61" s="111"/>
      <c r="B61" s="110"/>
      <c r="C61" s="110"/>
      <c r="D61" s="133" t="s">
        <v>11</v>
      </c>
      <c r="E61" s="123"/>
      <c r="F61" s="123"/>
      <c r="G61" s="123"/>
      <c r="H61" s="123"/>
      <c r="I61" s="124"/>
      <c r="J61" s="124"/>
      <c r="K61" s="124"/>
      <c r="L61" s="124"/>
      <c r="M61" s="125"/>
      <c r="N61" s="126"/>
      <c r="O61" s="97"/>
      <c r="P61" s="126"/>
      <c r="Q61" s="126"/>
      <c r="R61" s="126"/>
      <c r="S61" s="126"/>
      <c r="T61" s="126"/>
      <c r="U61" s="97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/>
      <c r="AM61" s="126"/>
      <c r="AN61" s="126"/>
      <c r="AO61" s="126"/>
      <c r="AP61" s="126"/>
      <c r="AQ61" s="126"/>
      <c r="AR61" s="126"/>
      <c r="AS61" s="126"/>
      <c r="AT61" s="126"/>
      <c r="AU61" s="126"/>
      <c r="AV61" s="126"/>
      <c r="AW61" s="126"/>
      <c r="AX61" s="126"/>
      <c r="AY61" s="126"/>
      <c r="AZ61" s="126"/>
      <c r="BA61" s="126"/>
      <c r="BB61" s="126"/>
      <c r="BC61" s="126"/>
      <c r="BD61" s="126"/>
      <c r="BE61" s="126"/>
      <c r="BF61" s="126"/>
      <c r="BG61" s="126"/>
      <c r="BH61" s="126"/>
      <c r="BI61" s="126"/>
      <c r="BJ61" s="126"/>
      <c r="BK61" s="126"/>
      <c r="BL61" s="126"/>
      <c r="BM61" s="126"/>
      <c r="BN61" s="126"/>
      <c r="BO61" s="126"/>
      <c r="BP61" s="126"/>
      <c r="BQ61" s="126"/>
      <c r="BR61" s="126"/>
      <c r="BS61" s="126"/>
      <c r="BT61" s="126"/>
      <c r="BU61" s="126"/>
      <c r="BV61" s="126"/>
      <c r="BW61" s="126"/>
      <c r="BX61" s="126"/>
      <c r="BY61" s="126"/>
      <c r="BZ61" s="126"/>
      <c r="CA61" s="126"/>
      <c r="CB61" s="126"/>
      <c r="CC61" s="126"/>
      <c r="CD61" s="50"/>
      <c r="CE61" s="19"/>
    </row>
    <row r="62" spans="1:83" s="21" customFormat="1" ht="15" customHeight="1" x14ac:dyDescent="0.3">
      <c r="A62" s="19"/>
      <c r="D62" s="135"/>
      <c r="E62" s="35"/>
      <c r="F62" s="35"/>
      <c r="G62" s="35"/>
      <c r="H62" s="35"/>
      <c r="I62" s="31"/>
      <c r="J62" s="31"/>
      <c r="K62" s="31"/>
      <c r="L62" s="31"/>
      <c r="M62" s="31"/>
      <c r="N62" s="43"/>
      <c r="O62" s="113"/>
      <c r="P62" s="5"/>
      <c r="Q62" s="5"/>
      <c r="R62" s="5"/>
      <c r="S62" s="5"/>
      <c r="T62" s="5"/>
      <c r="U62" s="113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97"/>
      <c r="AH62" s="97"/>
      <c r="AI62" s="97"/>
      <c r="AJ62" s="97"/>
      <c r="AK62" s="97"/>
      <c r="AL62" s="97"/>
      <c r="AM62" s="97"/>
      <c r="AN62" s="97"/>
      <c r="AO62" s="97"/>
      <c r="AP62" s="97"/>
      <c r="AQ62" s="97"/>
      <c r="AR62" s="97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  <c r="BP62" s="97"/>
      <c r="BQ62" s="97"/>
      <c r="BR62" s="97"/>
      <c r="BS62" s="97"/>
      <c r="BT62" s="97"/>
      <c r="BU62" s="97"/>
      <c r="BV62" s="97"/>
      <c r="BW62" s="97"/>
      <c r="BX62" s="97"/>
      <c r="BY62" s="97"/>
      <c r="BZ62" s="97"/>
      <c r="CA62" s="97"/>
      <c r="CB62" s="97"/>
      <c r="CC62" s="97"/>
      <c r="CD62" s="50"/>
      <c r="CE62" s="19"/>
    </row>
    <row r="63" spans="1:83" s="21" customFormat="1" ht="15" customHeight="1" x14ac:dyDescent="0.3">
      <c r="A63" s="19"/>
      <c r="D63" s="135" t="s">
        <v>53</v>
      </c>
      <c r="E63" s="35"/>
      <c r="F63" s="35"/>
      <c r="G63" s="35"/>
      <c r="H63" s="35"/>
      <c r="I63" s="31" t="s">
        <v>54</v>
      </c>
      <c r="J63" s="32" t="s">
        <v>120</v>
      </c>
      <c r="K63" s="32"/>
      <c r="L63" s="32"/>
      <c r="M63" s="95">
        <v>30</v>
      </c>
      <c r="N63" s="43"/>
      <c r="O63" s="113"/>
      <c r="P63" s="5"/>
      <c r="Q63" s="5"/>
      <c r="R63" s="5"/>
      <c r="S63" s="5"/>
      <c r="T63" s="5"/>
      <c r="U63" s="113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97"/>
      <c r="AH63" s="97"/>
      <c r="AI63" s="97"/>
      <c r="AJ63" s="97"/>
      <c r="AK63" s="97"/>
      <c r="AL63" s="97"/>
      <c r="AM63" s="97"/>
      <c r="AN63" s="97"/>
      <c r="AO63" s="97"/>
      <c r="AP63" s="97"/>
      <c r="AQ63" s="97"/>
      <c r="AR63" s="97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  <c r="BP63" s="97"/>
      <c r="BQ63" s="97"/>
      <c r="BR63" s="97"/>
      <c r="BS63" s="97"/>
      <c r="BT63" s="97"/>
      <c r="BU63" s="97"/>
      <c r="BV63" s="97"/>
      <c r="BW63" s="97"/>
      <c r="BX63" s="97"/>
      <c r="BY63" s="97"/>
      <c r="BZ63" s="97"/>
      <c r="CA63" s="97"/>
      <c r="CB63" s="97"/>
      <c r="CC63" s="97"/>
      <c r="CD63" s="97"/>
      <c r="CE63" s="19"/>
    </row>
    <row r="64" spans="1:83" s="21" customFormat="1" ht="15" customHeight="1" x14ac:dyDescent="0.3">
      <c r="A64" s="19"/>
      <c r="D64" s="135" t="s">
        <v>55</v>
      </c>
      <c r="E64" s="35"/>
      <c r="F64" s="35"/>
      <c r="G64" s="35"/>
      <c r="H64" s="35"/>
      <c r="I64" s="31" t="s">
        <v>54</v>
      </c>
      <c r="J64" s="32" t="s">
        <v>121</v>
      </c>
      <c r="K64" s="32"/>
      <c r="L64" s="32"/>
      <c r="M64" s="95">
        <v>30</v>
      </c>
      <c r="N64" s="43"/>
      <c r="O64" s="113"/>
      <c r="P64" s="5"/>
      <c r="Q64" s="5"/>
      <c r="R64" s="5"/>
      <c r="S64" s="5"/>
      <c r="T64" s="5"/>
      <c r="U64" s="113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97"/>
      <c r="AH64" s="97"/>
      <c r="AI64" s="97"/>
      <c r="AJ64" s="97"/>
      <c r="AK64" s="97"/>
      <c r="AL64" s="97"/>
      <c r="AM64" s="97"/>
      <c r="AN64" s="97"/>
      <c r="AO64" s="97"/>
      <c r="AP64" s="97"/>
      <c r="AQ64" s="97"/>
      <c r="AR64" s="97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  <c r="BP64" s="97"/>
      <c r="BQ64" s="97"/>
      <c r="BR64" s="97"/>
      <c r="BS64" s="97"/>
      <c r="BT64" s="97"/>
      <c r="BU64" s="97"/>
      <c r="BV64" s="97"/>
      <c r="BW64" s="97"/>
      <c r="BX64" s="97"/>
      <c r="BY64" s="97"/>
      <c r="BZ64" s="97"/>
      <c r="CA64" s="97"/>
      <c r="CB64" s="97"/>
      <c r="CC64" s="97"/>
      <c r="CD64" s="97"/>
      <c r="CE64" s="19"/>
    </row>
    <row r="65" spans="1:83" s="21" customFormat="1" ht="15" customHeight="1" x14ac:dyDescent="0.3">
      <c r="A65" s="19"/>
      <c r="D65" s="135" t="s">
        <v>56</v>
      </c>
      <c r="E65" s="35"/>
      <c r="F65" s="35"/>
      <c r="G65" s="35"/>
      <c r="H65" s="35"/>
      <c r="I65" s="31" t="s">
        <v>54</v>
      </c>
      <c r="J65" s="32" t="s">
        <v>122</v>
      </c>
      <c r="K65" s="32"/>
      <c r="L65" s="32"/>
      <c r="M65" s="95">
        <v>30</v>
      </c>
      <c r="N65" s="43"/>
      <c r="O65" s="113"/>
      <c r="P65" s="5"/>
      <c r="Q65" s="5"/>
      <c r="R65" s="5"/>
      <c r="S65" s="5"/>
      <c r="T65" s="5"/>
      <c r="U65" s="113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97"/>
      <c r="AH65" s="97"/>
      <c r="AI65" s="97"/>
      <c r="AJ65" s="97"/>
      <c r="AK65" s="97"/>
      <c r="AL65" s="97"/>
      <c r="AM65" s="97"/>
      <c r="AN65" s="97"/>
      <c r="AO65" s="97"/>
      <c r="AP65" s="97"/>
      <c r="AQ65" s="97"/>
      <c r="AR65" s="97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  <c r="BP65" s="97"/>
      <c r="BQ65" s="97"/>
      <c r="BR65" s="97"/>
      <c r="BS65" s="97"/>
      <c r="BT65" s="97"/>
      <c r="BU65" s="97"/>
      <c r="BV65" s="97"/>
      <c r="BW65" s="97"/>
      <c r="BX65" s="97"/>
      <c r="BY65" s="97"/>
      <c r="BZ65" s="97"/>
      <c r="CA65" s="97"/>
      <c r="CB65" s="97"/>
      <c r="CC65" s="97"/>
      <c r="CD65" s="97"/>
      <c r="CE65" s="19"/>
    </row>
    <row r="66" spans="1:83" s="21" customFormat="1" ht="15" customHeight="1" x14ac:dyDescent="0.3">
      <c r="A66" s="19"/>
      <c r="D66" s="135"/>
      <c r="E66" s="35"/>
      <c r="F66" s="35"/>
      <c r="G66" s="35"/>
      <c r="H66" s="35"/>
      <c r="I66" s="31"/>
      <c r="J66" s="31"/>
      <c r="K66" s="31"/>
      <c r="L66" s="31"/>
      <c r="M66" s="31"/>
      <c r="N66" s="43"/>
      <c r="O66" s="113"/>
      <c r="P66" s="5"/>
      <c r="Q66" s="5"/>
      <c r="R66" s="5"/>
      <c r="S66" s="5"/>
      <c r="T66" s="5"/>
      <c r="U66" s="113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97"/>
      <c r="AH66" s="97"/>
      <c r="AI66" s="97"/>
      <c r="AJ66" s="97"/>
      <c r="AK66" s="97"/>
      <c r="AL66" s="97"/>
      <c r="AM66" s="97"/>
      <c r="AN66" s="97"/>
      <c r="AO66" s="97"/>
      <c r="AP66" s="97"/>
      <c r="AQ66" s="97"/>
      <c r="AR66" s="97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  <c r="BP66" s="97"/>
      <c r="BQ66" s="97"/>
      <c r="BR66" s="97"/>
      <c r="BS66" s="97"/>
      <c r="BT66" s="97"/>
      <c r="BU66" s="97"/>
      <c r="BV66" s="97"/>
      <c r="BW66" s="97"/>
      <c r="BX66" s="97"/>
      <c r="BY66" s="97"/>
      <c r="BZ66" s="97"/>
      <c r="CA66" s="97"/>
      <c r="CB66" s="97"/>
      <c r="CC66" s="97"/>
      <c r="CD66" s="97"/>
      <c r="CE66" s="19"/>
    </row>
    <row r="67" spans="1:83" s="23" customFormat="1" ht="15" customHeight="1" x14ac:dyDescent="0.3">
      <c r="A67" s="111"/>
      <c r="B67" s="110"/>
      <c r="C67" s="110"/>
      <c r="D67" s="133" t="s">
        <v>57</v>
      </c>
      <c r="E67" s="123"/>
      <c r="F67" s="123"/>
      <c r="G67" s="123"/>
      <c r="H67" s="123"/>
      <c r="I67" s="124"/>
      <c r="J67" s="124"/>
      <c r="K67" s="124"/>
      <c r="L67" s="124"/>
      <c r="M67" s="125"/>
      <c r="N67" s="126"/>
      <c r="O67" s="97"/>
      <c r="P67" s="126"/>
      <c r="Q67" s="126"/>
      <c r="R67" s="126"/>
      <c r="S67" s="126"/>
      <c r="T67" s="126"/>
      <c r="U67" s="97"/>
      <c r="V67" s="126"/>
      <c r="W67" s="126"/>
      <c r="X67" s="126"/>
      <c r="Y67" s="126"/>
      <c r="Z67" s="126"/>
      <c r="AA67" s="126"/>
      <c r="AB67" s="126"/>
      <c r="AC67" s="126"/>
      <c r="AD67" s="126"/>
      <c r="AE67" s="126"/>
      <c r="AF67" s="126"/>
      <c r="AG67" s="126"/>
      <c r="AH67" s="126"/>
      <c r="AI67" s="126"/>
      <c r="AJ67" s="126"/>
      <c r="AK67" s="126"/>
      <c r="AL67" s="126"/>
      <c r="AM67" s="126"/>
      <c r="AN67" s="126"/>
      <c r="AO67" s="126"/>
      <c r="AP67" s="126"/>
      <c r="AQ67" s="126"/>
      <c r="AR67" s="126"/>
      <c r="AS67" s="126"/>
      <c r="AT67" s="126"/>
      <c r="AU67" s="126"/>
      <c r="AV67" s="126"/>
      <c r="AW67" s="126"/>
      <c r="AX67" s="126"/>
      <c r="AY67" s="126"/>
      <c r="AZ67" s="126"/>
      <c r="BA67" s="126"/>
      <c r="BB67" s="126"/>
      <c r="BC67" s="126"/>
      <c r="BD67" s="126"/>
      <c r="BE67" s="126"/>
      <c r="BF67" s="126"/>
      <c r="BG67" s="126"/>
      <c r="BH67" s="126"/>
      <c r="BI67" s="126"/>
      <c r="BJ67" s="126"/>
      <c r="BK67" s="126"/>
      <c r="BL67" s="126"/>
      <c r="BM67" s="126"/>
      <c r="BN67" s="126"/>
      <c r="BO67" s="126"/>
      <c r="BP67" s="126"/>
      <c r="BQ67" s="126"/>
      <c r="BR67" s="126"/>
      <c r="BS67" s="126"/>
      <c r="BT67" s="126"/>
      <c r="BU67" s="126"/>
      <c r="BV67" s="126"/>
      <c r="BW67" s="126"/>
      <c r="BX67" s="126"/>
      <c r="BY67" s="126"/>
      <c r="BZ67" s="126"/>
      <c r="CA67" s="126"/>
      <c r="CB67" s="126"/>
      <c r="CC67" s="126"/>
      <c r="CD67" s="112"/>
      <c r="CE67" s="111"/>
    </row>
    <row r="68" spans="1:83" s="21" customFormat="1" ht="15" customHeight="1" x14ac:dyDescent="0.3">
      <c r="A68" s="19"/>
      <c r="D68" s="135"/>
      <c r="E68" s="35"/>
      <c r="F68" s="35"/>
      <c r="G68" s="35"/>
      <c r="H68" s="35"/>
      <c r="I68" s="35"/>
      <c r="J68" s="35"/>
      <c r="K68" s="35"/>
      <c r="L68" s="35"/>
      <c r="M68" s="42"/>
      <c r="O68" s="113"/>
      <c r="P68" s="5"/>
      <c r="Q68" s="5"/>
      <c r="R68" s="5"/>
      <c r="S68" s="5"/>
      <c r="T68" s="5"/>
      <c r="U68" s="113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97"/>
      <c r="AH68" s="97"/>
      <c r="AI68" s="97"/>
      <c r="AJ68" s="97"/>
      <c r="AK68" s="97"/>
      <c r="AL68" s="97"/>
      <c r="AM68" s="97"/>
      <c r="AN68" s="97"/>
      <c r="AO68" s="97"/>
      <c r="AP68" s="97"/>
      <c r="AQ68" s="97"/>
      <c r="AR68" s="97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  <c r="BP68" s="97"/>
      <c r="BQ68" s="97"/>
      <c r="BR68" s="97"/>
      <c r="BS68" s="97"/>
      <c r="BT68" s="97"/>
      <c r="BU68" s="97"/>
      <c r="BV68" s="97"/>
      <c r="BW68" s="97"/>
      <c r="BX68" s="97"/>
      <c r="BY68" s="97"/>
      <c r="BZ68" s="97"/>
      <c r="CA68" s="97"/>
      <c r="CB68" s="97"/>
      <c r="CC68" s="97"/>
      <c r="CD68" s="97"/>
      <c r="CE68" s="19"/>
    </row>
    <row r="69" spans="1:83" s="21" customFormat="1" ht="15" customHeight="1" x14ac:dyDescent="0.3">
      <c r="A69" s="19"/>
      <c r="D69" s="290"/>
      <c r="E69" s="109"/>
      <c r="F69" s="109"/>
      <c r="G69" s="109"/>
      <c r="H69" s="109"/>
      <c r="I69" s="109"/>
      <c r="J69" s="19"/>
      <c r="K69" s="109"/>
      <c r="L69" s="109"/>
      <c r="M69" s="109"/>
      <c r="N69" s="109"/>
      <c r="O69" s="97"/>
      <c r="P69" s="291"/>
      <c r="Q69" s="291"/>
      <c r="R69" s="291"/>
      <c r="S69" s="291"/>
      <c r="T69" s="291"/>
      <c r="U69" s="158"/>
      <c r="V69" s="291"/>
      <c r="W69" s="291"/>
      <c r="X69" s="291"/>
      <c r="Y69" s="291"/>
      <c r="Z69" s="291"/>
      <c r="AA69" s="291"/>
      <c r="AB69" s="291"/>
      <c r="AC69" s="291"/>
      <c r="AD69" s="291"/>
      <c r="AE69" s="291"/>
      <c r="AF69" s="291"/>
      <c r="AG69" s="291"/>
      <c r="AH69" s="291"/>
      <c r="AI69" s="291"/>
      <c r="AJ69" s="291"/>
      <c r="AK69" s="291"/>
      <c r="AL69" s="291"/>
      <c r="AM69" s="291"/>
      <c r="AN69" s="291"/>
      <c r="AO69" s="291"/>
      <c r="AP69" s="291"/>
      <c r="AQ69" s="291"/>
      <c r="AR69" s="291"/>
      <c r="AS69" s="291"/>
      <c r="AT69" s="291"/>
      <c r="AU69" s="291"/>
      <c r="AV69" s="291"/>
      <c r="AW69" s="291"/>
      <c r="AX69" s="291"/>
      <c r="AY69" s="291"/>
      <c r="AZ69" s="291"/>
      <c r="BA69" s="291"/>
      <c r="BB69" s="291"/>
      <c r="BC69" s="291"/>
      <c r="BD69" s="291"/>
      <c r="BE69" s="291"/>
      <c r="BF69" s="291"/>
      <c r="BG69" s="291"/>
      <c r="BH69" s="291"/>
      <c r="BI69" s="291"/>
      <c r="BJ69" s="291"/>
      <c r="BK69" s="291"/>
      <c r="BL69" s="291"/>
      <c r="BM69" s="291"/>
      <c r="BN69" s="291"/>
      <c r="BO69" s="291"/>
      <c r="BP69" s="291"/>
      <c r="BQ69" s="291"/>
      <c r="BR69" s="291"/>
      <c r="BS69" s="291"/>
      <c r="BT69" s="291"/>
      <c r="BU69" s="291"/>
      <c r="BV69" s="291"/>
      <c r="BW69" s="291"/>
      <c r="BX69" s="291"/>
      <c r="BY69" s="291"/>
      <c r="BZ69" s="291"/>
      <c r="CA69" s="291"/>
      <c r="CB69" s="291"/>
      <c r="CC69" s="291"/>
      <c r="CD69" s="97"/>
      <c r="CE69" s="19"/>
    </row>
    <row r="70" spans="1:83" s="21" customFormat="1" ht="15" customHeight="1" x14ac:dyDescent="0.3">
      <c r="A70" s="19"/>
      <c r="D70" s="290"/>
      <c r="E70" s="109"/>
      <c r="F70" s="109"/>
      <c r="G70" s="109"/>
      <c r="H70" s="109"/>
      <c r="I70" s="109"/>
      <c r="J70" s="19"/>
      <c r="K70" s="109"/>
      <c r="L70" s="109"/>
      <c r="M70" s="109"/>
      <c r="N70" s="109"/>
      <c r="O70" s="97"/>
      <c r="P70" s="291"/>
      <c r="Q70" s="291"/>
      <c r="R70" s="291"/>
      <c r="S70" s="291"/>
      <c r="T70" s="291"/>
      <c r="U70" s="158"/>
      <c r="V70" s="291"/>
      <c r="W70" s="291"/>
      <c r="X70" s="291"/>
      <c r="Y70" s="291"/>
      <c r="Z70" s="291"/>
      <c r="AA70" s="291"/>
      <c r="AB70" s="291"/>
      <c r="AC70" s="291"/>
      <c r="AD70" s="291"/>
      <c r="AE70" s="291"/>
      <c r="AF70" s="291"/>
      <c r="AG70" s="291"/>
      <c r="AH70" s="291"/>
      <c r="AI70" s="291"/>
      <c r="AJ70" s="291"/>
      <c r="AK70" s="291"/>
      <c r="AL70" s="291"/>
      <c r="AM70" s="291"/>
      <c r="AN70" s="291"/>
      <c r="AO70" s="291"/>
      <c r="AP70" s="291"/>
      <c r="AQ70" s="291"/>
      <c r="AR70" s="291"/>
      <c r="AS70" s="291"/>
      <c r="AT70" s="291"/>
      <c r="AU70" s="291"/>
      <c r="AV70" s="291"/>
      <c r="AW70" s="291"/>
      <c r="AX70" s="291"/>
      <c r="AY70" s="291"/>
      <c r="AZ70" s="291"/>
      <c r="BA70" s="291"/>
      <c r="BB70" s="291"/>
      <c r="BC70" s="291"/>
      <c r="BD70" s="291"/>
      <c r="BE70" s="291"/>
      <c r="BF70" s="291"/>
      <c r="BG70" s="291"/>
      <c r="BH70" s="291"/>
      <c r="BI70" s="291"/>
      <c r="BJ70" s="291"/>
      <c r="BK70" s="291"/>
      <c r="BL70" s="291"/>
      <c r="BM70" s="291"/>
      <c r="BN70" s="291"/>
      <c r="BO70" s="291"/>
      <c r="BP70" s="291"/>
      <c r="BQ70" s="291"/>
      <c r="BR70" s="291"/>
      <c r="BS70" s="291"/>
      <c r="BT70" s="291"/>
      <c r="BU70" s="291"/>
      <c r="BV70" s="291"/>
      <c r="BW70" s="291"/>
      <c r="BX70" s="291"/>
      <c r="BY70" s="291"/>
      <c r="BZ70" s="291"/>
      <c r="CA70" s="291"/>
      <c r="CB70" s="291"/>
      <c r="CC70" s="291"/>
      <c r="CD70" s="97"/>
      <c r="CE70" s="19"/>
    </row>
    <row r="71" spans="1:83" s="21" customFormat="1" ht="15" customHeight="1" x14ac:dyDescent="0.3">
      <c r="A71" s="19"/>
      <c r="D71" s="290"/>
      <c r="E71" s="109"/>
      <c r="F71" s="109"/>
      <c r="G71" s="109"/>
      <c r="H71" s="109"/>
      <c r="I71" s="109"/>
      <c r="J71" s="19"/>
      <c r="K71" s="109"/>
      <c r="L71" s="109"/>
      <c r="M71" s="109"/>
      <c r="N71" s="109"/>
      <c r="O71" s="97"/>
      <c r="P71" s="291"/>
      <c r="Q71" s="291"/>
      <c r="R71" s="291"/>
      <c r="S71" s="291"/>
      <c r="T71" s="291"/>
      <c r="U71" s="158"/>
      <c r="V71" s="291"/>
      <c r="W71" s="291"/>
      <c r="X71" s="291"/>
      <c r="Y71" s="291"/>
      <c r="Z71" s="291"/>
      <c r="AA71" s="291"/>
      <c r="AB71" s="291"/>
      <c r="AC71" s="291"/>
      <c r="AD71" s="291"/>
      <c r="AE71" s="291"/>
      <c r="AF71" s="291"/>
      <c r="AG71" s="291"/>
      <c r="AH71" s="291"/>
      <c r="AI71" s="291"/>
      <c r="AJ71" s="291"/>
      <c r="AK71" s="291"/>
      <c r="AL71" s="291"/>
      <c r="AM71" s="291"/>
      <c r="AN71" s="291"/>
      <c r="AO71" s="291"/>
      <c r="AP71" s="291"/>
      <c r="AQ71" s="291"/>
      <c r="AR71" s="291"/>
      <c r="AS71" s="291"/>
      <c r="AT71" s="291"/>
      <c r="AU71" s="291"/>
      <c r="AV71" s="291"/>
      <c r="AW71" s="291"/>
      <c r="AX71" s="291"/>
      <c r="AY71" s="291"/>
      <c r="AZ71" s="291"/>
      <c r="BA71" s="291"/>
      <c r="BB71" s="291"/>
      <c r="BC71" s="291"/>
      <c r="BD71" s="291"/>
      <c r="BE71" s="291"/>
      <c r="BF71" s="291"/>
      <c r="BG71" s="291"/>
      <c r="BH71" s="291"/>
      <c r="BI71" s="291"/>
      <c r="BJ71" s="291"/>
      <c r="BK71" s="291"/>
      <c r="BL71" s="291"/>
      <c r="BM71" s="291"/>
      <c r="BN71" s="291"/>
      <c r="BO71" s="291"/>
      <c r="BP71" s="291"/>
      <c r="BQ71" s="291"/>
      <c r="BR71" s="291"/>
      <c r="BS71" s="291"/>
      <c r="BT71" s="291"/>
      <c r="BU71" s="291"/>
      <c r="BV71" s="291"/>
      <c r="BW71" s="291"/>
      <c r="BX71" s="291"/>
      <c r="BY71" s="291"/>
      <c r="BZ71" s="291"/>
      <c r="CA71" s="291"/>
      <c r="CB71" s="291"/>
      <c r="CC71" s="291"/>
      <c r="CD71" s="97"/>
      <c r="CE71" s="19"/>
    </row>
    <row r="72" spans="1:83" s="21" customFormat="1" ht="15" customHeight="1" x14ac:dyDescent="0.3">
      <c r="A72" s="19"/>
      <c r="D72" s="135"/>
      <c r="E72" s="35"/>
      <c r="F72" s="35"/>
      <c r="G72" s="35"/>
      <c r="H72" s="35"/>
      <c r="I72" s="35"/>
      <c r="J72" s="35"/>
      <c r="K72" s="35"/>
      <c r="L72" s="35"/>
      <c r="M72" s="42"/>
      <c r="O72" s="113"/>
      <c r="P72" s="5"/>
      <c r="Q72" s="5"/>
      <c r="R72" s="5"/>
      <c r="S72" s="5"/>
      <c r="T72" s="5"/>
      <c r="U72" s="113"/>
      <c r="V72" s="97"/>
      <c r="W72" s="97"/>
      <c r="X72" s="97"/>
      <c r="Y72" s="97"/>
      <c r="Z72" s="97"/>
      <c r="AA72" s="97"/>
      <c r="AB72" s="97"/>
      <c r="AC72" s="97"/>
      <c r="AD72" s="97"/>
      <c r="AE72" s="97"/>
      <c r="AF72" s="97"/>
      <c r="AG72" s="97"/>
      <c r="AH72" s="97"/>
      <c r="AI72" s="97"/>
      <c r="AJ72" s="97"/>
      <c r="AK72" s="97"/>
      <c r="AL72" s="97"/>
      <c r="AM72" s="97"/>
      <c r="AN72" s="97"/>
      <c r="AO72" s="97"/>
      <c r="AP72" s="97"/>
      <c r="AQ72" s="97"/>
      <c r="AR72" s="97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  <c r="BP72" s="97"/>
      <c r="BQ72" s="97"/>
      <c r="BR72" s="97"/>
      <c r="BS72" s="97"/>
      <c r="BT72" s="97"/>
      <c r="BU72" s="97"/>
      <c r="BV72" s="97"/>
      <c r="BW72" s="97"/>
      <c r="BX72" s="97"/>
      <c r="BY72" s="97"/>
      <c r="BZ72" s="97"/>
      <c r="CA72" s="97"/>
      <c r="CB72" s="97"/>
      <c r="CC72" s="97"/>
      <c r="CD72" s="97"/>
      <c r="CE72" s="19"/>
    </row>
    <row r="73" spans="1:83" s="23" customFormat="1" ht="15" customHeight="1" x14ac:dyDescent="0.3">
      <c r="A73" s="111"/>
      <c r="B73" s="110"/>
      <c r="C73" s="110"/>
      <c r="D73" s="133" t="s">
        <v>16</v>
      </c>
      <c r="E73" s="123"/>
      <c r="F73" s="123"/>
      <c r="G73" s="123"/>
      <c r="H73" s="123"/>
      <c r="I73" s="124"/>
      <c r="J73" s="124"/>
      <c r="K73" s="124"/>
      <c r="L73" s="124"/>
      <c r="M73" s="125"/>
      <c r="N73" s="126"/>
      <c r="O73" s="97"/>
      <c r="P73" s="126"/>
      <c r="Q73" s="126"/>
      <c r="R73" s="126"/>
      <c r="S73" s="126"/>
      <c r="T73" s="126"/>
      <c r="U73" s="97"/>
      <c r="V73" s="126"/>
      <c r="W73" s="126"/>
      <c r="X73" s="126"/>
      <c r="Y73" s="126"/>
      <c r="Z73" s="126"/>
      <c r="AA73" s="126"/>
      <c r="AB73" s="126"/>
      <c r="AC73" s="126"/>
      <c r="AD73" s="126"/>
      <c r="AE73" s="126"/>
      <c r="AF73" s="126"/>
      <c r="AG73" s="126"/>
      <c r="AH73" s="126"/>
      <c r="AI73" s="126"/>
      <c r="AJ73" s="126"/>
      <c r="AK73" s="126"/>
      <c r="AL73" s="126"/>
      <c r="AM73" s="126"/>
      <c r="AN73" s="126"/>
      <c r="AO73" s="126"/>
      <c r="AP73" s="126"/>
      <c r="AQ73" s="126"/>
      <c r="AR73" s="126"/>
      <c r="AS73" s="126"/>
      <c r="AT73" s="126"/>
      <c r="AU73" s="126"/>
      <c r="AV73" s="126"/>
      <c r="AW73" s="126"/>
      <c r="AX73" s="126"/>
      <c r="AY73" s="126"/>
      <c r="AZ73" s="126"/>
      <c r="BA73" s="126"/>
      <c r="BB73" s="126"/>
      <c r="BC73" s="126"/>
      <c r="BD73" s="126"/>
      <c r="BE73" s="126"/>
      <c r="BF73" s="126"/>
      <c r="BG73" s="126"/>
      <c r="BH73" s="126"/>
      <c r="BI73" s="126"/>
      <c r="BJ73" s="126"/>
      <c r="BK73" s="126"/>
      <c r="BL73" s="126"/>
      <c r="BM73" s="126"/>
      <c r="BN73" s="126"/>
      <c r="BO73" s="126"/>
      <c r="BP73" s="126"/>
      <c r="BQ73" s="126"/>
      <c r="BR73" s="126"/>
      <c r="BS73" s="126"/>
      <c r="BT73" s="126"/>
      <c r="BU73" s="126"/>
      <c r="BV73" s="126"/>
      <c r="BW73" s="126"/>
      <c r="BX73" s="126"/>
      <c r="BY73" s="126"/>
      <c r="BZ73" s="126"/>
      <c r="CA73" s="126"/>
      <c r="CB73" s="126"/>
      <c r="CC73" s="126"/>
      <c r="CD73" s="112"/>
      <c r="CE73" s="111"/>
    </row>
    <row r="74" spans="1:83" s="21" customFormat="1" ht="15" customHeight="1" x14ac:dyDescent="0.3">
      <c r="A74" s="19"/>
      <c r="D74" s="135"/>
      <c r="E74" s="35"/>
      <c r="F74" s="35"/>
      <c r="G74" s="35"/>
      <c r="H74" s="35"/>
      <c r="I74" s="35"/>
      <c r="J74" s="35"/>
      <c r="K74" s="35"/>
      <c r="L74" s="35"/>
      <c r="M74" s="42"/>
      <c r="O74" s="113"/>
      <c r="P74" s="5"/>
      <c r="Q74" s="5"/>
      <c r="R74" s="5"/>
      <c r="S74" s="5"/>
      <c r="T74" s="5"/>
      <c r="U74" s="113"/>
      <c r="V74" s="97"/>
      <c r="W74" s="97"/>
      <c r="X74" s="97"/>
      <c r="Y74" s="97"/>
      <c r="Z74" s="97"/>
      <c r="AA74" s="97"/>
      <c r="AB74" s="97"/>
      <c r="AC74" s="97"/>
      <c r="AD74" s="97"/>
      <c r="AE74" s="97"/>
      <c r="AF74" s="97"/>
      <c r="AG74" s="97"/>
      <c r="AH74" s="97"/>
      <c r="AI74" s="97"/>
      <c r="AJ74" s="97"/>
      <c r="AK74" s="97"/>
      <c r="AL74" s="97"/>
      <c r="AM74" s="97"/>
      <c r="AN74" s="97"/>
      <c r="AO74" s="97"/>
      <c r="AP74" s="97"/>
      <c r="AQ74" s="97"/>
      <c r="AR74" s="97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  <c r="BP74" s="97"/>
      <c r="BQ74" s="97"/>
      <c r="BR74" s="97"/>
      <c r="BS74" s="97"/>
      <c r="BT74" s="97"/>
      <c r="BU74" s="97"/>
      <c r="BV74" s="97"/>
      <c r="BW74" s="97"/>
      <c r="BX74" s="97"/>
      <c r="BY74" s="97"/>
      <c r="BZ74" s="97"/>
      <c r="CA74" s="97"/>
      <c r="CB74" s="97"/>
      <c r="CC74" s="97"/>
      <c r="CD74" s="97"/>
      <c r="CE74" s="19"/>
    </row>
    <row r="75" spans="1:83" s="21" customFormat="1" ht="15" customHeight="1" x14ac:dyDescent="0.3">
      <c r="A75" s="19"/>
      <c r="D75" s="163" t="s">
        <v>58</v>
      </c>
      <c r="E75" s="148"/>
      <c r="F75" s="148"/>
      <c r="G75" s="148"/>
      <c r="H75" s="148"/>
      <c r="I75" s="153"/>
      <c r="J75" s="222"/>
      <c r="K75" s="222"/>
      <c r="L75" s="222"/>
      <c r="M75" s="216"/>
      <c r="N75" s="216"/>
      <c r="O75" s="97"/>
      <c r="P75" s="216"/>
      <c r="Q75" s="216"/>
      <c r="R75" s="216"/>
      <c r="S75" s="216"/>
      <c r="T75" s="216"/>
      <c r="U75" s="97"/>
      <c r="V75" s="216"/>
      <c r="W75" s="216"/>
      <c r="X75" s="216"/>
      <c r="Y75" s="216"/>
      <c r="Z75" s="216"/>
      <c r="AA75" s="216"/>
      <c r="AB75" s="216"/>
      <c r="AC75" s="216"/>
      <c r="AD75" s="216"/>
      <c r="AE75" s="216"/>
      <c r="AF75" s="216"/>
      <c r="AG75" s="216"/>
      <c r="AH75" s="216"/>
      <c r="AI75" s="216"/>
      <c r="AJ75" s="216"/>
      <c r="AK75" s="216"/>
      <c r="AL75" s="216"/>
      <c r="AM75" s="216"/>
      <c r="AN75" s="216"/>
      <c r="AO75" s="216"/>
      <c r="AP75" s="216"/>
      <c r="AQ75" s="216"/>
      <c r="AR75" s="216"/>
      <c r="AS75" s="216"/>
      <c r="AT75" s="216"/>
      <c r="AU75" s="216"/>
      <c r="AV75" s="216"/>
      <c r="AW75" s="216"/>
      <c r="AX75" s="216"/>
      <c r="AY75" s="216"/>
      <c r="AZ75" s="216"/>
      <c r="BA75" s="216"/>
      <c r="BB75" s="216"/>
      <c r="BC75" s="216"/>
      <c r="BD75" s="216"/>
      <c r="BE75" s="216"/>
      <c r="BF75" s="216"/>
      <c r="BG75" s="216"/>
      <c r="BH75" s="216"/>
      <c r="BI75" s="216"/>
      <c r="BJ75" s="216"/>
      <c r="BK75" s="216"/>
      <c r="BL75" s="216"/>
      <c r="BM75" s="216"/>
      <c r="BN75" s="216"/>
      <c r="BO75" s="216"/>
      <c r="BP75" s="216"/>
      <c r="BQ75" s="216"/>
      <c r="BR75" s="216"/>
      <c r="BS75" s="216"/>
      <c r="BT75" s="216"/>
      <c r="BU75" s="216"/>
      <c r="BV75" s="216"/>
      <c r="BW75" s="216"/>
      <c r="BX75" s="216"/>
      <c r="BY75" s="216"/>
      <c r="BZ75" s="216"/>
      <c r="CA75" s="216"/>
      <c r="CB75" s="216"/>
      <c r="CC75" s="216"/>
      <c r="CD75" s="30"/>
      <c r="CE75" s="111"/>
    </row>
    <row r="76" spans="1:83" s="21" customFormat="1" ht="15" customHeight="1" x14ac:dyDescent="0.3">
      <c r="A76" s="19"/>
      <c r="D76" s="134"/>
      <c r="E76" s="28"/>
      <c r="F76" s="28"/>
      <c r="G76" s="28"/>
      <c r="H76" s="28"/>
      <c r="I76" s="6"/>
      <c r="J76" s="48"/>
      <c r="K76" s="48"/>
      <c r="L76" s="48"/>
      <c r="M76" s="49"/>
      <c r="N76" s="5"/>
      <c r="O76" s="97"/>
      <c r="P76" s="5"/>
      <c r="Q76" s="5"/>
      <c r="R76" s="5"/>
      <c r="S76" s="5"/>
      <c r="T76" s="5"/>
      <c r="U76" s="97"/>
      <c r="V76" s="54"/>
      <c r="W76" s="54"/>
      <c r="X76" s="54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29"/>
      <c r="CD76" s="30"/>
      <c r="CE76" s="111"/>
    </row>
    <row r="77" spans="1:83" s="21" customFormat="1" ht="15" customHeight="1" x14ac:dyDescent="0.3">
      <c r="A77" s="19"/>
      <c r="D77" s="290"/>
      <c r="E77" s="109"/>
      <c r="F77" s="109"/>
      <c r="G77" s="109"/>
      <c r="H77" s="109"/>
      <c r="I77" s="109"/>
      <c r="J77" s="19"/>
      <c r="K77" s="109"/>
      <c r="L77" s="109"/>
      <c r="M77" s="109"/>
      <c r="N77" s="109"/>
      <c r="O77" s="97"/>
      <c r="P77" s="291"/>
      <c r="Q77" s="291"/>
      <c r="R77" s="291"/>
      <c r="S77" s="291"/>
      <c r="T77" s="291"/>
      <c r="U77" s="158"/>
      <c r="V77" s="291"/>
      <c r="W77" s="291"/>
      <c r="X77" s="291"/>
      <c r="Y77" s="291"/>
      <c r="Z77" s="291"/>
      <c r="AA77" s="291"/>
      <c r="AB77" s="291"/>
      <c r="AC77" s="291"/>
      <c r="AD77" s="291"/>
      <c r="AE77" s="291"/>
      <c r="AF77" s="291"/>
      <c r="AG77" s="291"/>
      <c r="AH77" s="291"/>
      <c r="AI77" s="291"/>
      <c r="AJ77" s="291"/>
      <c r="AK77" s="291"/>
      <c r="AL77" s="291"/>
      <c r="AM77" s="291"/>
      <c r="AN77" s="291"/>
      <c r="AO77" s="291"/>
      <c r="AP77" s="291"/>
      <c r="AQ77" s="291"/>
      <c r="AR77" s="291"/>
      <c r="AS77" s="291"/>
      <c r="AT77" s="291"/>
      <c r="AU77" s="291"/>
      <c r="AV77" s="291"/>
      <c r="AW77" s="291"/>
      <c r="AX77" s="291"/>
      <c r="AY77" s="291"/>
      <c r="AZ77" s="291"/>
      <c r="BA77" s="291"/>
      <c r="BB77" s="291"/>
      <c r="BC77" s="291"/>
      <c r="BD77" s="291"/>
      <c r="BE77" s="291"/>
      <c r="BF77" s="291"/>
      <c r="BG77" s="291"/>
      <c r="BH77" s="291"/>
      <c r="BI77" s="291"/>
      <c r="BJ77" s="291"/>
      <c r="BK77" s="291"/>
      <c r="BL77" s="291"/>
      <c r="BM77" s="291"/>
      <c r="BN77" s="291"/>
      <c r="BO77" s="291"/>
      <c r="BP77" s="291"/>
      <c r="BQ77" s="291"/>
      <c r="BR77" s="291"/>
      <c r="BS77" s="291"/>
      <c r="BT77" s="291"/>
      <c r="BU77" s="291"/>
      <c r="BV77" s="291"/>
      <c r="BW77" s="291"/>
      <c r="BX77" s="291"/>
      <c r="BY77" s="291"/>
      <c r="BZ77" s="291"/>
      <c r="CA77" s="291"/>
      <c r="CB77" s="291"/>
      <c r="CC77" s="291"/>
      <c r="CD77" s="97"/>
      <c r="CE77" s="19"/>
    </row>
    <row r="78" spans="1:83" s="21" customFormat="1" ht="15" customHeight="1" x14ac:dyDescent="0.3">
      <c r="A78" s="19"/>
      <c r="D78" s="290"/>
      <c r="E78" s="109"/>
      <c r="F78" s="109"/>
      <c r="G78" s="109"/>
      <c r="H78" s="109"/>
      <c r="I78" s="109"/>
      <c r="J78" s="19"/>
      <c r="K78" s="109"/>
      <c r="L78" s="109"/>
      <c r="M78" s="109"/>
      <c r="N78" s="109"/>
      <c r="O78" s="97"/>
      <c r="P78" s="291"/>
      <c r="Q78" s="291"/>
      <c r="R78" s="291"/>
      <c r="S78" s="291"/>
      <c r="T78" s="291"/>
      <c r="U78" s="158"/>
      <c r="V78" s="291"/>
      <c r="W78" s="291"/>
      <c r="X78" s="291"/>
      <c r="Y78" s="291"/>
      <c r="Z78" s="291"/>
      <c r="AA78" s="291"/>
      <c r="AB78" s="291"/>
      <c r="AC78" s="291"/>
      <c r="AD78" s="291"/>
      <c r="AE78" s="291"/>
      <c r="AF78" s="291"/>
      <c r="AG78" s="291"/>
      <c r="AH78" s="291"/>
      <c r="AI78" s="291"/>
      <c r="AJ78" s="291"/>
      <c r="AK78" s="291"/>
      <c r="AL78" s="291"/>
      <c r="AM78" s="291"/>
      <c r="AN78" s="291"/>
      <c r="AO78" s="291"/>
      <c r="AP78" s="291"/>
      <c r="AQ78" s="291"/>
      <c r="AR78" s="291"/>
      <c r="AS78" s="291"/>
      <c r="AT78" s="291"/>
      <c r="AU78" s="291"/>
      <c r="AV78" s="291"/>
      <c r="AW78" s="291"/>
      <c r="AX78" s="291"/>
      <c r="AY78" s="291"/>
      <c r="AZ78" s="291"/>
      <c r="BA78" s="291"/>
      <c r="BB78" s="291"/>
      <c r="BC78" s="291"/>
      <c r="BD78" s="291"/>
      <c r="BE78" s="291"/>
      <c r="BF78" s="291"/>
      <c r="BG78" s="291"/>
      <c r="BH78" s="291"/>
      <c r="BI78" s="291"/>
      <c r="BJ78" s="291"/>
      <c r="BK78" s="291"/>
      <c r="BL78" s="291"/>
      <c r="BM78" s="291"/>
      <c r="BN78" s="291"/>
      <c r="BO78" s="291"/>
      <c r="BP78" s="291"/>
      <c r="BQ78" s="291"/>
      <c r="BR78" s="291"/>
      <c r="BS78" s="291"/>
      <c r="BT78" s="291"/>
      <c r="BU78" s="291"/>
      <c r="BV78" s="291"/>
      <c r="BW78" s="291"/>
      <c r="BX78" s="291"/>
      <c r="BY78" s="291"/>
      <c r="BZ78" s="291"/>
      <c r="CA78" s="291"/>
      <c r="CB78" s="291"/>
      <c r="CC78" s="291"/>
      <c r="CD78" s="97"/>
      <c r="CE78" s="19"/>
    </row>
    <row r="79" spans="1:83" s="21" customFormat="1" ht="15" customHeight="1" x14ac:dyDescent="0.3">
      <c r="A79" s="19"/>
      <c r="D79" s="290"/>
      <c r="E79" s="109"/>
      <c r="F79" s="109"/>
      <c r="G79" s="109"/>
      <c r="H79" s="109"/>
      <c r="I79" s="109"/>
      <c r="J79" s="19"/>
      <c r="K79" s="109"/>
      <c r="L79" s="109"/>
      <c r="M79" s="109"/>
      <c r="N79" s="109"/>
      <c r="O79" s="97"/>
      <c r="P79" s="291"/>
      <c r="Q79" s="291"/>
      <c r="R79" s="291"/>
      <c r="S79" s="291"/>
      <c r="T79" s="291"/>
      <c r="U79" s="158"/>
      <c r="V79" s="291"/>
      <c r="W79" s="291"/>
      <c r="X79" s="291"/>
      <c r="Y79" s="291"/>
      <c r="Z79" s="291"/>
      <c r="AA79" s="291"/>
      <c r="AB79" s="291"/>
      <c r="AC79" s="291"/>
      <c r="AD79" s="291"/>
      <c r="AE79" s="291"/>
      <c r="AF79" s="291"/>
      <c r="AG79" s="291"/>
      <c r="AH79" s="291"/>
      <c r="AI79" s="291"/>
      <c r="AJ79" s="291"/>
      <c r="AK79" s="291"/>
      <c r="AL79" s="291"/>
      <c r="AM79" s="291"/>
      <c r="AN79" s="291"/>
      <c r="AO79" s="291"/>
      <c r="AP79" s="291"/>
      <c r="AQ79" s="291"/>
      <c r="AR79" s="291"/>
      <c r="AS79" s="291"/>
      <c r="AT79" s="291"/>
      <c r="AU79" s="291"/>
      <c r="AV79" s="291"/>
      <c r="AW79" s="291"/>
      <c r="AX79" s="291"/>
      <c r="AY79" s="291"/>
      <c r="AZ79" s="291"/>
      <c r="BA79" s="291"/>
      <c r="BB79" s="291"/>
      <c r="BC79" s="291"/>
      <c r="BD79" s="291"/>
      <c r="BE79" s="291"/>
      <c r="BF79" s="291"/>
      <c r="BG79" s="291"/>
      <c r="BH79" s="291"/>
      <c r="BI79" s="291"/>
      <c r="BJ79" s="291"/>
      <c r="BK79" s="291"/>
      <c r="BL79" s="291"/>
      <c r="BM79" s="291"/>
      <c r="BN79" s="291"/>
      <c r="BO79" s="291"/>
      <c r="BP79" s="291"/>
      <c r="BQ79" s="291"/>
      <c r="BR79" s="291"/>
      <c r="BS79" s="291"/>
      <c r="BT79" s="291"/>
      <c r="BU79" s="291"/>
      <c r="BV79" s="291"/>
      <c r="BW79" s="291"/>
      <c r="BX79" s="291"/>
      <c r="BY79" s="291"/>
      <c r="BZ79" s="291"/>
      <c r="CA79" s="291"/>
      <c r="CB79" s="291"/>
      <c r="CC79" s="291"/>
      <c r="CD79" s="97"/>
      <c r="CE79" s="19"/>
    </row>
    <row r="80" spans="1:83" s="21" customFormat="1" ht="15" customHeight="1" x14ac:dyDescent="0.3">
      <c r="A80" s="19"/>
      <c r="D80" s="134"/>
      <c r="E80" s="28"/>
      <c r="F80" s="28"/>
      <c r="G80" s="28"/>
      <c r="H80" s="28"/>
      <c r="I80" s="6"/>
      <c r="J80" s="48"/>
      <c r="K80" s="48"/>
      <c r="L80" s="48"/>
      <c r="M80" s="128"/>
      <c r="N80" s="5"/>
      <c r="O80" s="97"/>
      <c r="P80" s="5"/>
      <c r="Q80" s="5"/>
      <c r="R80" s="5"/>
      <c r="S80" s="5"/>
      <c r="T80" s="5"/>
      <c r="U80" s="97"/>
      <c r="V80" s="54"/>
      <c r="W80" s="54"/>
      <c r="X80" s="54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  <c r="CD80" s="30"/>
      <c r="CE80" s="111"/>
    </row>
    <row r="81" spans="1:83" s="21" customFormat="1" ht="15" customHeight="1" x14ac:dyDescent="0.3">
      <c r="A81" s="19"/>
      <c r="D81" s="163" t="s">
        <v>90</v>
      </c>
      <c r="E81" s="148"/>
      <c r="F81" s="148"/>
      <c r="G81" s="148"/>
      <c r="H81" s="148"/>
      <c r="I81" s="153"/>
      <c r="J81" s="222"/>
      <c r="K81" s="222"/>
      <c r="L81" s="222"/>
      <c r="M81" s="216"/>
      <c r="N81" s="216"/>
      <c r="O81" s="97"/>
      <c r="P81" s="216"/>
      <c r="Q81" s="216"/>
      <c r="R81" s="216"/>
      <c r="S81" s="216"/>
      <c r="T81" s="216"/>
      <c r="U81" s="97"/>
      <c r="V81" s="216"/>
      <c r="W81" s="216"/>
      <c r="X81" s="216"/>
      <c r="Y81" s="216"/>
      <c r="Z81" s="216"/>
      <c r="AA81" s="216"/>
      <c r="AB81" s="216"/>
      <c r="AC81" s="216"/>
      <c r="AD81" s="216"/>
      <c r="AE81" s="216"/>
      <c r="AF81" s="216"/>
      <c r="AG81" s="216"/>
      <c r="AH81" s="216"/>
      <c r="AI81" s="216"/>
      <c r="AJ81" s="216"/>
      <c r="AK81" s="216"/>
      <c r="AL81" s="216"/>
      <c r="AM81" s="216"/>
      <c r="AN81" s="216"/>
      <c r="AO81" s="216"/>
      <c r="AP81" s="216"/>
      <c r="AQ81" s="216"/>
      <c r="AR81" s="216"/>
      <c r="AS81" s="216"/>
      <c r="AT81" s="216"/>
      <c r="AU81" s="216"/>
      <c r="AV81" s="216"/>
      <c r="AW81" s="216"/>
      <c r="AX81" s="216"/>
      <c r="AY81" s="216"/>
      <c r="AZ81" s="216"/>
      <c r="BA81" s="216"/>
      <c r="BB81" s="216"/>
      <c r="BC81" s="216"/>
      <c r="BD81" s="216"/>
      <c r="BE81" s="216"/>
      <c r="BF81" s="216"/>
      <c r="BG81" s="216"/>
      <c r="BH81" s="216"/>
      <c r="BI81" s="216"/>
      <c r="BJ81" s="216"/>
      <c r="BK81" s="216"/>
      <c r="BL81" s="216"/>
      <c r="BM81" s="216"/>
      <c r="BN81" s="216"/>
      <c r="BO81" s="216"/>
      <c r="BP81" s="216"/>
      <c r="BQ81" s="216"/>
      <c r="BR81" s="216"/>
      <c r="BS81" s="216"/>
      <c r="BT81" s="216"/>
      <c r="BU81" s="216"/>
      <c r="BV81" s="216"/>
      <c r="BW81" s="216"/>
      <c r="BX81" s="216"/>
      <c r="BY81" s="216"/>
      <c r="BZ81" s="216"/>
      <c r="CA81" s="216"/>
      <c r="CB81" s="216"/>
      <c r="CC81" s="216"/>
      <c r="CD81" s="30"/>
      <c r="CE81" s="111"/>
    </row>
    <row r="82" spans="1:83" s="21" customFormat="1" ht="15" customHeight="1" x14ac:dyDescent="0.3">
      <c r="A82" s="19"/>
      <c r="D82" s="136"/>
      <c r="E82" s="35"/>
      <c r="F82" s="35"/>
      <c r="G82" s="35"/>
      <c r="H82" s="35"/>
      <c r="I82" s="35"/>
      <c r="J82" s="35"/>
      <c r="K82" s="35"/>
      <c r="L82" s="35"/>
      <c r="M82" s="42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97"/>
      <c r="CE82" s="19"/>
    </row>
    <row r="83" spans="1:83" s="21" customFormat="1" ht="15" customHeight="1" x14ac:dyDescent="0.3">
      <c r="A83" s="19"/>
      <c r="D83" s="290"/>
      <c r="E83" s="109"/>
      <c r="F83" s="109"/>
      <c r="G83" s="109"/>
      <c r="H83" s="109"/>
      <c r="I83" s="109"/>
      <c r="J83" s="19"/>
      <c r="K83" s="109"/>
      <c r="L83" s="109"/>
      <c r="M83" s="109"/>
      <c r="N83" s="109"/>
      <c r="O83" s="97"/>
      <c r="P83" s="291"/>
      <c r="Q83" s="291"/>
      <c r="R83" s="291"/>
      <c r="S83" s="291"/>
      <c r="T83" s="291"/>
      <c r="U83" s="158"/>
      <c r="V83" s="291"/>
      <c r="W83" s="291"/>
      <c r="X83" s="291"/>
      <c r="Y83" s="291"/>
      <c r="Z83" s="291"/>
      <c r="AA83" s="291"/>
      <c r="AB83" s="291"/>
      <c r="AC83" s="291"/>
      <c r="AD83" s="291"/>
      <c r="AE83" s="291"/>
      <c r="AF83" s="291"/>
      <c r="AG83" s="291"/>
      <c r="AH83" s="291"/>
      <c r="AI83" s="291"/>
      <c r="AJ83" s="291"/>
      <c r="AK83" s="291"/>
      <c r="AL83" s="291"/>
      <c r="AM83" s="291"/>
      <c r="AN83" s="291"/>
      <c r="AO83" s="291"/>
      <c r="AP83" s="291"/>
      <c r="AQ83" s="291"/>
      <c r="AR83" s="291"/>
      <c r="AS83" s="291"/>
      <c r="AT83" s="291"/>
      <c r="AU83" s="291"/>
      <c r="AV83" s="291"/>
      <c r="AW83" s="291"/>
      <c r="AX83" s="291"/>
      <c r="AY83" s="291"/>
      <c r="AZ83" s="291"/>
      <c r="BA83" s="291"/>
      <c r="BB83" s="291"/>
      <c r="BC83" s="291"/>
      <c r="BD83" s="291"/>
      <c r="BE83" s="291"/>
      <c r="BF83" s="291"/>
      <c r="BG83" s="291"/>
      <c r="BH83" s="291"/>
      <c r="BI83" s="291"/>
      <c r="BJ83" s="291"/>
      <c r="BK83" s="291"/>
      <c r="BL83" s="291"/>
      <c r="BM83" s="291"/>
      <c r="BN83" s="291"/>
      <c r="BO83" s="291"/>
      <c r="BP83" s="291"/>
      <c r="BQ83" s="291"/>
      <c r="BR83" s="291"/>
      <c r="BS83" s="291"/>
      <c r="BT83" s="291"/>
      <c r="BU83" s="291"/>
      <c r="BV83" s="291"/>
      <c r="BW83" s="291"/>
      <c r="BX83" s="291"/>
      <c r="BY83" s="291"/>
      <c r="BZ83" s="291"/>
      <c r="CA83" s="291"/>
      <c r="CB83" s="291"/>
      <c r="CC83" s="291"/>
      <c r="CD83" s="97"/>
      <c r="CE83" s="19"/>
    </row>
    <row r="84" spans="1:83" s="21" customFormat="1" ht="15" customHeight="1" x14ac:dyDescent="0.3">
      <c r="A84" s="19"/>
      <c r="D84" s="290"/>
      <c r="E84" s="109"/>
      <c r="F84" s="109"/>
      <c r="G84" s="109"/>
      <c r="H84" s="109"/>
      <c r="I84" s="109"/>
      <c r="J84" s="19"/>
      <c r="K84" s="109"/>
      <c r="L84" s="109"/>
      <c r="M84" s="109"/>
      <c r="N84" s="109"/>
      <c r="O84" s="97"/>
      <c r="P84" s="291"/>
      <c r="Q84" s="291"/>
      <c r="R84" s="291"/>
      <c r="S84" s="291"/>
      <c r="T84" s="291"/>
      <c r="U84" s="158"/>
      <c r="V84" s="291"/>
      <c r="W84" s="291"/>
      <c r="X84" s="291"/>
      <c r="Y84" s="291"/>
      <c r="Z84" s="291"/>
      <c r="AA84" s="291"/>
      <c r="AB84" s="291"/>
      <c r="AC84" s="291"/>
      <c r="AD84" s="291"/>
      <c r="AE84" s="291"/>
      <c r="AF84" s="291"/>
      <c r="AG84" s="291"/>
      <c r="AH84" s="291"/>
      <c r="AI84" s="291"/>
      <c r="AJ84" s="291"/>
      <c r="AK84" s="291"/>
      <c r="AL84" s="291"/>
      <c r="AM84" s="291"/>
      <c r="AN84" s="291"/>
      <c r="AO84" s="291"/>
      <c r="AP84" s="291"/>
      <c r="AQ84" s="291"/>
      <c r="AR84" s="291"/>
      <c r="AS84" s="291"/>
      <c r="AT84" s="291"/>
      <c r="AU84" s="291"/>
      <c r="AV84" s="291"/>
      <c r="AW84" s="291"/>
      <c r="AX84" s="291"/>
      <c r="AY84" s="291"/>
      <c r="AZ84" s="291"/>
      <c r="BA84" s="291"/>
      <c r="BB84" s="291"/>
      <c r="BC84" s="291"/>
      <c r="BD84" s="291"/>
      <c r="BE84" s="291"/>
      <c r="BF84" s="291"/>
      <c r="BG84" s="291"/>
      <c r="BH84" s="291"/>
      <c r="BI84" s="291"/>
      <c r="BJ84" s="291"/>
      <c r="BK84" s="291"/>
      <c r="BL84" s="291"/>
      <c r="BM84" s="291"/>
      <c r="BN84" s="291"/>
      <c r="BO84" s="291"/>
      <c r="BP84" s="291"/>
      <c r="BQ84" s="291"/>
      <c r="BR84" s="291"/>
      <c r="BS84" s="291"/>
      <c r="BT84" s="291"/>
      <c r="BU84" s="291"/>
      <c r="BV84" s="291"/>
      <c r="BW84" s="291"/>
      <c r="BX84" s="291"/>
      <c r="BY84" s="291"/>
      <c r="BZ84" s="291"/>
      <c r="CA84" s="291"/>
      <c r="CB84" s="291"/>
      <c r="CC84" s="291"/>
      <c r="CD84" s="97"/>
      <c r="CE84" s="19"/>
    </row>
    <row r="85" spans="1:83" s="21" customFormat="1" ht="15" customHeight="1" x14ac:dyDescent="0.3">
      <c r="A85" s="19"/>
      <c r="D85" s="290"/>
      <c r="E85" s="109"/>
      <c r="F85" s="109"/>
      <c r="G85" s="109"/>
      <c r="H85" s="109"/>
      <c r="I85" s="109"/>
      <c r="J85" s="19"/>
      <c r="K85" s="109"/>
      <c r="L85" s="109"/>
      <c r="M85" s="109"/>
      <c r="N85" s="109"/>
      <c r="O85" s="97"/>
      <c r="P85" s="291"/>
      <c r="Q85" s="291"/>
      <c r="R85" s="291"/>
      <c r="S85" s="291"/>
      <c r="T85" s="291"/>
      <c r="U85" s="158"/>
      <c r="V85" s="291"/>
      <c r="W85" s="291"/>
      <c r="X85" s="291"/>
      <c r="Y85" s="291"/>
      <c r="Z85" s="291"/>
      <c r="AA85" s="291"/>
      <c r="AB85" s="291"/>
      <c r="AC85" s="291"/>
      <c r="AD85" s="291"/>
      <c r="AE85" s="291"/>
      <c r="AF85" s="291"/>
      <c r="AG85" s="291"/>
      <c r="AH85" s="291"/>
      <c r="AI85" s="291"/>
      <c r="AJ85" s="291"/>
      <c r="AK85" s="291"/>
      <c r="AL85" s="291"/>
      <c r="AM85" s="291"/>
      <c r="AN85" s="291"/>
      <c r="AO85" s="291"/>
      <c r="AP85" s="291"/>
      <c r="AQ85" s="291"/>
      <c r="AR85" s="291"/>
      <c r="AS85" s="291"/>
      <c r="AT85" s="291"/>
      <c r="AU85" s="291"/>
      <c r="AV85" s="291"/>
      <c r="AW85" s="291"/>
      <c r="AX85" s="291"/>
      <c r="AY85" s="291"/>
      <c r="AZ85" s="291"/>
      <c r="BA85" s="291"/>
      <c r="BB85" s="291"/>
      <c r="BC85" s="291"/>
      <c r="BD85" s="291"/>
      <c r="BE85" s="291"/>
      <c r="BF85" s="291"/>
      <c r="BG85" s="291"/>
      <c r="BH85" s="291"/>
      <c r="BI85" s="291"/>
      <c r="BJ85" s="291"/>
      <c r="BK85" s="291"/>
      <c r="BL85" s="291"/>
      <c r="BM85" s="291"/>
      <c r="BN85" s="291"/>
      <c r="BO85" s="291"/>
      <c r="BP85" s="291"/>
      <c r="BQ85" s="291"/>
      <c r="BR85" s="291"/>
      <c r="BS85" s="291"/>
      <c r="BT85" s="291"/>
      <c r="BU85" s="291"/>
      <c r="BV85" s="291"/>
      <c r="BW85" s="291"/>
      <c r="BX85" s="291"/>
      <c r="BY85" s="291"/>
      <c r="BZ85" s="291"/>
      <c r="CA85" s="291"/>
      <c r="CB85" s="291"/>
      <c r="CC85" s="291"/>
      <c r="CD85" s="97"/>
      <c r="CE85" s="19"/>
    </row>
    <row r="86" spans="1:83" s="21" customFormat="1" ht="15" customHeight="1" x14ac:dyDescent="0.3">
      <c r="A86" s="19"/>
      <c r="D86" s="135"/>
      <c r="E86" s="35"/>
      <c r="F86" s="35"/>
      <c r="G86" s="35"/>
      <c r="H86" s="35"/>
      <c r="I86" s="35"/>
      <c r="J86" s="35"/>
      <c r="K86" s="35"/>
      <c r="L86" s="35"/>
      <c r="M86" s="42"/>
      <c r="O86" s="113"/>
      <c r="P86" s="5"/>
      <c r="Q86" s="5"/>
      <c r="R86" s="5"/>
      <c r="S86" s="5"/>
      <c r="T86" s="5"/>
      <c r="U86" s="113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7"/>
      <c r="AH86" s="97"/>
      <c r="AI86" s="97"/>
      <c r="AJ86" s="97"/>
      <c r="AK86" s="97"/>
      <c r="AL86" s="97"/>
      <c r="AM86" s="97"/>
      <c r="AN86" s="97"/>
      <c r="AO86" s="97"/>
      <c r="AP86" s="97"/>
      <c r="AQ86" s="97"/>
      <c r="AR86" s="97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  <c r="BP86" s="97"/>
      <c r="BQ86" s="97"/>
      <c r="BR86" s="97"/>
      <c r="BS86" s="97"/>
      <c r="BT86" s="97"/>
      <c r="BU86" s="97"/>
      <c r="BV86" s="97"/>
      <c r="BW86" s="97"/>
      <c r="BX86" s="97"/>
      <c r="BY86" s="97"/>
      <c r="BZ86" s="97"/>
      <c r="CA86" s="97"/>
      <c r="CB86" s="97"/>
      <c r="CC86" s="97"/>
      <c r="CD86" s="97"/>
      <c r="CE86" s="19"/>
    </row>
    <row r="87" spans="1:83" s="21" customFormat="1" ht="15" customHeight="1" x14ac:dyDescent="0.3">
      <c r="A87" s="19"/>
      <c r="D87" s="144"/>
      <c r="E87" s="34"/>
      <c r="F87" s="34"/>
      <c r="G87" s="34"/>
      <c r="H87" s="34"/>
      <c r="I87" s="31"/>
      <c r="J87" s="31"/>
      <c r="K87" s="31"/>
      <c r="L87" s="31"/>
      <c r="N87" s="31"/>
      <c r="O87" s="113"/>
      <c r="P87" s="1"/>
      <c r="Q87" s="1"/>
      <c r="R87" s="1"/>
      <c r="S87" s="1"/>
      <c r="T87" s="1"/>
      <c r="U87" s="113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7"/>
      <c r="AH87" s="97"/>
      <c r="AI87" s="97"/>
      <c r="AJ87" s="97"/>
      <c r="AK87" s="97"/>
      <c r="AL87" s="97"/>
      <c r="AM87" s="97"/>
      <c r="AN87" s="97"/>
      <c r="AO87" s="97"/>
      <c r="AP87" s="97"/>
      <c r="AQ87" s="97"/>
      <c r="AR87" s="97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  <c r="BP87" s="97"/>
      <c r="BQ87" s="97"/>
      <c r="BR87" s="97"/>
      <c r="BS87" s="97"/>
      <c r="BT87" s="97"/>
      <c r="BU87" s="97"/>
      <c r="BV87" s="97"/>
      <c r="BW87" s="97"/>
      <c r="BX87" s="97"/>
      <c r="BY87" s="97"/>
      <c r="BZ87" s="97"/>
      <c r="CA87" s="97"/>
      <c r="CB87" s="97"/>
      <c r="CC87" s="97"/>
      <c r="CD87" s="97"/>
      <c r="CE87" s="19"/>
    </row>
    <row r="88" spans="1:83" ht="15" customHeight="1" x14ac:dyDescent="0.3">
      <c r="D88" s="19"/>
      <c r="E88" s="19"/>
      <c r="F88" s="19"/>
      <c r="G88" s="19"/>
      <c r="H88" s="19"/>
      <c r="O88" s="15"/>
      <c r="U88" s="15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  <c r="AG88" s="109"/>
      <c r="AH88" s="109"/>
      <c r="AI88" s="109"/>
      <c r="AJ88" s="109"/>
      <c r="AK88" s="109"/>
      <c r="AL88" s="109"/>
      <c r="AM88" s="109"/>
      <c r="AN88" s="109"/>
      <c r="AO88" s="109"/>
      <c r="AP88" s="109"/>
      <c r="AQ88" s="109"/>
      <c r="AR88" s="109"/>
      <c r="AS88" s="109"/>
      <c r="AT88" s="109"/>
      <c r="AU88" s="109"/>
      <c r="AV88" s="109"/>
      <c r="AW88" s="109"/>
      <c r="AX88" s="109"/>
      <c r="AY88" s="109"/>
      <c r="AZ88" s="109"/>
      <c r="BA88" s="109"/>
      <c r="BB88" s="109"/>
      <c r="BC88" s="109"/>
      <c r="BD88" s="109"/>
      <c r="BE88" s="109"/>
      <c r="BF88" s="109"/>
      <c r="BG88" s="109"/>
      <c r="BH88" s="109"/>
      <c r="BI88" s="109"/>
      <c r="BJ88" s="109"/>
      <c r="BK88" s="109"/>
      <c r="BL88" s="109"/>
      <c r="BM88" s="109"/>
      <c r="BN88" s="109"/>
      <c r="BO88" s="109"/>
      <c r="BP88" s="109"/>
      <c r="BQ88" s="109"/>
      <c r="BR88" s="109"/>
      <c r="BS88" s="109"/>
      <c r="BT88" s="109"/>
      <c r="BU88" s="109"/>
      <c r="BV88" s="109"/>
      <c r="BW88" s="109"/>
      <c r="BX88" s="109"/>
      <c r="BY88" s="109"/>
      <c r="BZ88" s="109"/>
      <c r="CA88" s="109"/>
      <c r="CB88" s="109"/>
      <c r="CC88" s="109"/>
      <c r="CD88" s="109"/>
    </row>
    <row r="89" spans="1:83" ht="15" customHeight="1" x14ac:dyDescent="0.3">
      <c r="D89" s="19"/>
      <c r="E89" s="19"/>
      <c r="F89" s="19"/>
      <c r="G89" s="19"/>
      <c r="H89" s="19"/>
    </row>
    <row r="90" spans="1:83" ht="15" hidden="1" customHeight="1" x14ac:dyDescent="0.3">
      <c r="D90" s="19"/>
      <c r="E90" s="19"/>
      <c r="F90" s="19"/>
      <c r="G90" s="19"/>
      <c r="H90" s="19"/>
    </row>
    <row r="91" spans="1:83" ht="15" hidden="1" customHeight="1" x14ac:dyDescent="0.3">
      <c r="D91" s="19"/>
      <c r="E91" s="19"/>
      <c r="F91" s="19"/>
      <c r="G91" s="19"/>
      <c r="H91" s="19"/>
    </row>
    <row r="92" spans="1:83" ht="15" hidden="1" customHeight="1" x14ac:dyDescent="0.3">
      <c r="D92" s="19"/>
      <c r="E92" s="19"/>
      <c r="F92" s="19"/>
      <c r="G92" s="19"/>
      <c r="H92" s="19"/>
    </row>
    <row r="93" spans="1:83" ht="15" hidden="1" customHeight="1" x14ac:dyDescent="0.3">
      <c r="D93" s="19"/>
      <c r="E93" s="19"/>
      <c r="F93" s="19"/>
      <c r="G93" s="19"/>
      <c r="H93" s="19"/>
    </row>
    <row r="94" spans="1:83" ht="15" hidden="1" customHeight="1" x14ac:dyDescent="0.3">
      <c r="D94" s="19"/>
      <c r="E94" s="19"/>
      <c r="F94" s="19"/>
      <c r="G94" s="19"/>
      <c r="H94" s="19"/>
    </row>
    <row r="95" spans="1:83" ht="15" hidden="1" customHeight="1" x14ac:dyDescent="0.3">
      <c r="D95" s="19"/>
      <c r="E95" s="19"/>
      <c r="F95" s="19"/>
      <c r="G95" s="19"/>
      <c r="H95" s="19"/>
    </row>
    <row r="96" spans="1:83" ht="15" hidden="1" customHeight="1" x14ac:dyDescent="0.3">
      <c r="D96" s="19"/>
      <c r="E96" s="19"/>
      <c r="F96" s="19"/>
      <c r="G96" s="19"/>
      <c r="H96" s="19"/>
    </row>
    <row r="97" spans="4:82" ht="15" hidden="1" customHeight="1" x14ac:dyDescent="0.3">
      <c r="D97" s="19"/>
      <c r="E97" s="19"/>
      <c r="F97" s="19"/>
      <c r="G97" s="19"/>
      <c r="H97" s="19"/>
    </row>
    <row r="98" spans="4:82" ht="15" hidden="1" customHeight="1" x14ac:dyDescent="0.3">
      <c r="D98" s="19"/>
      <c r="E98" s="19"/>
      <c r="F98" s="19"/>
      <c r="G98" s="19"/>
      <c r="H98" s="19"/>
    </row>
    <row r="99" spans="4:82" ht="15" hidden="1" customHeight="1" x14ac:dyDescent="0.3">
      <c r="O99" s="108"/>
      <c r="U99" s="108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  <c r="AG99" s="109"/>
      <c r="AH99" s="109"/>
      <c r="AI99" s="109"/>
      <c r="AJ99" s="109"/>
      <c r="AK99" s="109"/>
      <c r="AL99" s="109"/>
      <c r="AM99" s="109"/>
      <c r="AN99" s="109"/>
      <c r="AO99" s="109"/>
      <c r="AP99" s="109"/>
      <c r="AQ99" s="109"/>
      <c r="AR99" s="109"/>
      <c r="AS99" s="109"/>
      <c r="AT99" s="109"/>
      <c r="AU99" s="109"/>
      <c r="AV99" s="109"/>
      <c r="AW99" s="109"/>
      <c r="AX99" s="109"/>
      <c r="AY99" s="109"/>
      <c r="AZ99" s="109"/>
      <c r="BA99" s="109"/>
      <c r="BB99" s="109"/>
      <c r="BC99" s="109"/>
      <c r="BD99" s="109"/>
      <c r="BE99" s="109"/>
      <c r="BF99" s="109"/>
      <c r="BG99" s="109"/>
      <c r="BH99" s="109"/>
      <c r="BI99" s="109"/>
      <c r="BJ99" s="109"/>
      <c r="BK99" s="109"/>
      <c r="BL99" s="109"/>
      <c r="BM99" s="109"/>
      <c r="BN99" s="109"/>
      <c r="BO99" s="109"/>
      <c r="BP99" s="109"/>
      <c r="BQ99" s="109"/>
      <c r="BR99" s="109"/>
      <c r="BS99" s="109"/>
      <c r="BT99" s="109"/>
      <c r="BU99" s="109"/>
      <c r="BV99" s="109"/>
      <c r="BW99" s="109"/>
      <c r="BX99" s="109"/>
      <c r="BY99" s="109"/>
      <c r="BZ99" s="109"/>
      <c r="CA99" s="109"/>
      <c r="CB99" s="109"/>
      <c r="CC99" s="109"/>
      <c r="CD99" s="109"/>
    </row>
    <row r="100" spans="4:82" ht="15" hidden="1" customHeight="1" x14ac:dyDescent="0.3">
      <c r="O100" s="108"/>
      <c r="U100" s="108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9"/>
      <c r="AH100" s="109"/>
      <c r="AI100" s="109"/>
      <c r="AJ100" s="109"/>
      <c r="AK100" s="109"/>
      <c r="AL100" s="109"/>
      <c r="AM100" s="109"/>
      <c r="AN100" s="109"/>
      <c r="AO100" s="109"/>
      <c r="AP100" s="109"/>
      <c r="AQ100" s="109"/>
      <c r="AR100" s="109"/>
      <c r="AS100" s="109"/>
      <c r="AT100" s="109"/>
      <c r="AU100" s="109"/>
      <c r="AV100" s="109"/>
      <c r="AW100" s="109"/>
      <c r="AX100" s="109"/>
      <c r="AY100" s="109"/>
      <c r="AZ100" s="109"/>
      <c r="BA100" s="109"/>
      <c r="BB100" s="109"/>
      <c r="BC100" s="109"/>
      <c r="BD100" s="109"/>
      <c r="BE100" s="109"/>
      <c r="BF100" s="109"/>
      <c r="BG100" s="109"/>
      <c r="BH100" s="109"/>
      <c r="BI100" s="109"/>
      <c r="BJ100" s="109"/>
      <c r="BK100" s="109"/>
      <c r="BL100" s="109"/>
      <c r="BM100" s="109"/>
      <c r="BN100" s="109"/>
      <c r="BO100" s="109"/>
      <c r="BP100" s="109"/>
      <c r="BQ100" s="109"/>
      <c r="BR100" s="109"/>
      <c r="BS100" s="109"/>
      <c r="BT100" s="109"/>
      <c r="BU100" s="109"/>
      <c r="BV100" s="109"/>
      <c r="BW100" s="109"/>
      <c r="BX100" s="109"/>
      <c r="BY100" s="109"/>
      <c r="BZ100" s="109"/>
      <c r="CA100" s="109"/>
      <c r="CB100" s="109"/>
      <c r="CC100" s="109"/>
      <c r="CD100" s="109"/>
    </row>
    <row r="101" spans="4:82" ht="15" hidden="1" customHeight="1" x14ac:dyDescent="0.3">
      <c r="O101" s="108"/>
      <c r="U101" s="108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  <c r="AG101" s="109"/>
      <c r="AH101" s="109"/>
      <c r="AI101" s="109"/>
      <c r="AJ101" s="109"/>
      <c r="AK101" s="109"/>
      <c r="AL101" s="109"/>
      <c r="AM101" s="109"/>
      <c r="AN101" s="109"/>
      <c r="AO101" s="109"/>
      <c r="AP101" s="109"/>
      <c r="AQ101" s="109"/>
      <c r="AR101" s="109"/>
      <c r="AS101" s="109"/>
      <c r="AT101" s="109"/>
      <c r="AU101" s="109"/>
      <c r="AV101" s="109"/>
      <c r="AW101" s="109"/>
      <c r="AX101" s="109"/>
      <c r="AY101" s="109"/>
      <c r="AZ101" s="109"/>
      <c r="BA101" s="109"/>
      <c r="BB101" s="109"/>
      <c r="BC101" s="109"/>
      <c r="BD101" s="109"/>
      <c r="BE101" s="109"/>
      <c r="BF101" s="109"/>
      <c r="BG101" s="109"/>
      <c r="BH101" s="109"/>
      <c r="BI101" s="109"/>
      <c r="BJ101" s="109"/>
      <c r="BK101" s="109"/>
      <c r="BL101" s="109"/>
      <c r="BM101" s="109"/>
      <c r="BN101" s="109"/>
      <c r="BO101" s="109"/>
      <c r="BP101" s="109"/>
      <c r="BQ101" s="109"/>
      <c r="BR101" s="109"/>
      <c r="BS101" s="109"/>
      <c r="BT101" s="109"/>
      <c r="BU101" s="109"/>
      <c r="BV101" s="109"/>
      <c r="BW101" s="109"/>
      <c r="BX101" s="109"/>
      <c r="BY101" s="109"/>
      <c r="BZ101" s="109"/>
      <c r="CA101" s="109"/>
      <c r="CB101" s="109"/>
      <c r="CC101" s="109"/>
      <c r="CD101" s="109"/>
    </row>
    <row r="102" spans="4:82" ht="15" hidden="1" customHeight="1" x14ac:dyDescent="0.3">
      <c r="O102" s="108"/>
      <c r="U102" s="108"/>
    </row>
    <row r="103" spans="4:82" ht="15" hidden="1" customHeight="1" x14ac:dyDescent="0.3">
      <c r="O103" s="108"/>
      <c r="U103" s="108"/>
    </row>
    <row r="104" spans="4:82" ht="15" hidden="1" customHeight="1" x14ac:dyDescent="0.3">
      <c r="O104" s="108"/>
      <c r="U104" s="108"/>
    </row>
    <row r="105" spans="4:82" ht="15" hidden="1" customHeight="1" x14ac:dyDescent="0.3">
      <c r="O105" s="108"/>
      <c r="U105" s="108"/>
    </row>
    <row r="106" spans="4:82" ht="15" hidden="1" customHeight="1" x14ac:dyDescent="0.3">
      <c r="O106" s="108"/>
      <c r="U106" s="108"/>
    </row>
    <row r="107" spans="4:82" ht="15" hidden="1" customHeight="1" x14ac:dyDescent="0.3">
      <c r="O107" s="108"/>
      <c r="U107" s="108"/>
    </row>
    <row r="108" spans="4:82" ht="15" hidden="1" customHeight="1" x14ac:dyDescent="0.3">
      <c r="O108" s="108"/>
      <c r="U108" s="108"/>
    </row>
    <row r="109" spans="4:82" ht="15" customHeight="1" x14ac:dyDescent="0.3"/>
    <row r="110" spans="4:82" ht="15" customHeight="1" x14ac:dyDescent="0.3"/>
    <row r="111" spans="4:82" ht="15" customHeight="1" x14ac:dyDescent="0.3"/>
    <row r="112" spans="4:82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  <row r="158" ht="15" customHeight="1" x14ac:dyDescent="0.3"/>
    <row r="159" ht="15" customHeight="1" x14ac:dyDescent="0.3"/>
    <row r="160" ht="15" customHeight="1" x14ac:dyDescent="0.3"/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185" ht="15" customHeight="1" x14ac:dyDescent="0.3"/>
    <row r="186" ht="15" customHeight="1" x14ac:dyDescent="0.3"/>
    <row r="187" ht="15" customHeight="1" x14ac:dyDescent="0.3"/>
    <row r="188" ht="15" customHeight="1" x14ac:dyDescent="0.3"/>
    <row r="189" ht="15" customHeight="1" x14ac:dyDescent="0.3"/>
    <row r="190" ht="15" customHeight="1" x14ac:dyDescent="0.3"/>
    <row r="191" ht="15" customHeight="1" x14ac:dyDescent="0.3"/>
    <row r="192" ht="15" customHeight="1" x14ac:dyDescent="0.3"/>
    <row r="193" ht="15" customHeight="1" x14ac:dyDescent="0.3"/>
    <row r="194" ht="15" customHeight="1" x14ac:dyDescent="0.3"/>
    <row r="195" ht="15" customHeight="1" x14ac:dyDescent="0.3"/>
    <row r="196" ht="15" customHeight="1" x14ac:dyDescent="0.3"/>
    <row r="197" ht="15" customHeight="1" x14ac:dyDescent="0.3"/>
    <row r="198" ht="15" customHeight="1" x14ac:dyDescent="0.3"/>
    <row r="199" ht="15" customHeight="1" x14ac:dyDescent="0.3"/>
    <row r="200" ht="15" customHeight="1" x14ac:dyDescent="0.3"/>
    <row r="201" ht="15" customHeight="1" x14ac:dyDescent="0.3"/>
    <row r="202" ht="15" customHeight="1" x14ac:dyDescent="0.3"/>
    <row r="203" ht="15" customHeight="1" x14ac:dyDescent="0.3"/>
    <row r="204" ht="15" customHeight="1" x14ac:dyDescent="0.3"/>
    <row r="205" ht="15" customHeight="1" x14ac:dyDescent="0.3"/>
    <row r="206" ht="15" customHeight="1" x14ac:dyDescent="0.3"/>
    <row r="207" ht="15" customHeight="1" x14ac:dyDescent="0.3"/>
    <row r="208" ht="15" customHeight="1" x14ac:dyDescent="0.3"/>
    <row r="209" ht="15" customHeight="1" x14ac:dyDescent="0.3"/>
    <row r="210" ht="15" customHeight="1" x14ac:dyDescent="0.3"/>
    <row r="211" ht="15" customHeight="1" x14ac:dyDescent="0.3"/>
  </sheetData>
  <phoneticPr fontId="15" type="noConversion"/>
  <hyperlinks>
    <hyperlink ref="D5" location="Ввод!D5" display="Ввод" xr:uid="{A62C1578-F563-4A35-B2DC-8CAC7DC16D58}"/>
    <hyperlink ref="E5" location="Расчет!E5" display="Расчет" xr:uid="{B2CAFF0E-6EC1-4F4A-B449-83F8F3DA9085}"/>
    <hyperlink ref="F5" location="Отчетность!F5" display="Отчетность" xr:uid="{FE5F455A-7D89-4DCE-8758-42E61506E4B1}"/>
    <hyperlink ref="G5" location="Результат!G5" display="Результат" xr:uid="{AB07FB4C-0954-49EC-9085-EE9346D31634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5C3DD-80C9-42A6-9CC9-8C4B30CB0749}">
  <sheetPr codeName="Лист1">
    <tabColor theme="0" tint="-0.249977111117893"/>
    <outlinePr summaryRight="0"/>
  </sheetPr>
  <dimension ref="A1:XDG391"/>
  <sheetViews>
    <sheetView showGridLines="0" zoomScaleNormal="100" workbookViewId="0">
      <pane xSplit="14" ySplit="8" topLeftCell="O9" activePane="bottomRight" state="frozen"/>
      <selection activeCell="O9" sqref="O9"/>
      <selection pane="topRight" activeCell="O9" sqref="O9"/>
      <selection pane="bottomLeft" activeCell="O9" sqref="O9"/>
      <selection pane="bottomRight" activeCell="AA22" sqref="AA22"/>
    </sheetView>
  </sheetViews>
  <sheetFormatPr defaultColWidth="0" defaultRowHeight="14.4" outlineLevelRow="1" outlineLevelCol="1" x14ac:dyDescent="0.3"/>
  <cols>
    <col min="1" max="3" width="2.6640625" style="25" customWidth="1"/>
    <col min="4" max="7" width="11.6640625" style="76" customWidth="1"/>
    <col min="8" max="8" width="6.77734375" style="76" customWidth="1"/>
    <col min="9" max="9" width="11.6640625" style="76" customWidth="1"/>
    <col min="10" max="12" width="4.109375" style="76" customWidth="1"/>
    <col min="13" max="13" width="11.6640625" style="25" customWidth="1"/>
    <col min="14" max="14" width="12.6640625" style="25" customWidth="1"/>
    <col min="15" max="15" width="2.6640625" style="20" customWidth="1" outlineLevel="1"/>
    <col min="16" max="20" width="11.6640625" style="20" customWidth="1" outlineLevel="1"/>
    <col min="21" max="21" width="2.6640625" style="20" customWidth="1"/>
    <col min="22" max="22" width="13" style="20" customWidth="1"/>
    <col min="23" max="81" width="11.6640625" style="20" customWidth="1"/>
    <col min="82" max="83" width="2.6640625" style="25" customWidth="1"/>
    <col min="84" max="191" width="11.6640625" style="25" hidden="1"/>
    <col min="192" max="16335" width="0" style="25" hidden="1"/>
    <col min="16336" max="16384" width="11.6640625" style="25" hidden="1"/>
  </cols>
  <sheetData>
    <row r="1" spans="1:83" s="22" customFormat="1" ht="15" customHeight="1" x14ac:dyDescent="0.3">
      <c r="A1" s="18"/>
      <c r="B1" s="51"/>
      <c r="C1" s="51"/>
      <c r="D1" s="67"/>
      <c r="E1" s="67"/>
      <c r="F1" s="67"/>
      <c r="G1" s="67"/>
      <c r="H1" s="67"/>
      <c r="I1" s="67"/>
      <c r="J1" s="67"/>
      <c r="K1" s="67"/>
      <c r="L1" s="67"/>
      <c r="M1" s="51"/>
      <c r="N1" s="109"/>
      <c r="O1" s="51"/>
      <c r="P1" s="51"/>
      <c r="Q1" s="51"/>
      <c r="R1" s="51"/>
      <c r="S1" s="51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11"/>
      <c r="CD1" s="51"/>
      <c r="CE1" s="51"/>
    </row>
    <row r="2" spans="1:83" s="23" customFormat="1" ht="15" customHeight="1" x14ac:dyDescent="0.3">
      <c r="A2" s="111"/>
      <c r="B2" s="57"/>
      <c r="C2" s="110"/>
      <c r="D2" s="114"/>
      <c r="E2" s="114"/>
      <c r="F2" s="114"/>
      <c r="G2" s="114"/>
      <c r="H2" s="114"/>
      <c r="I2" s="114"/>
      <c r="J2" s="114"/>
      <c r="K2" s="114"/>
      <c r="L2" s="114"/>
      <c r="M2" s="110"/>
      <c r="N2" s="110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  <c r="BP2" s="97"/>
      <c r="BQ2" s="97"/>
      <c r="BR2" s="97"/>
      <c r="BS2" s="97"/>
      <c r="BT2" s="97"/>
      <c r="BU2" s="97"/>
      <c r="BV2" s="97"/>
      <c r="BW2" s="97"/>
      <c r="BX2" s="97"/>
      <c r="BY2" s="97"/>
      <c r="BZ2" s="97"/>
      <c r="CA2" s="97"/>
      <c r="CB2" s="97"/>
      <c r="CC2" s="97"/>
      <c r="CD2" s="110"/>
      <c r="CE2" s="111"/>
    </row>
    <row r="3" spans="1:83" s="23" customFormat="1" ht="15" customHeight="1" x14ac:dyDescent="0.3">
      <c r="A3" s="111"/>
      <c r="B3" s="110"/>
      <c r="C3" s="110"/>
      <c r="D3" s="41"/>
      <c r="E3" s="120"/>
      <c r="F3" s="120"/>
      <c r="G3" s="120"/>
      <c r="H3" s="114"/>
      <c r="I3" s="110"/>
      <c r="J3" s="110"/>
      <c r="K3" s="110"/>
      <c r="L3" s="110"/>
      <c r="O3" s="22"/>
      <c r="P3" s="184"/>
      <c r="Q3" s="184"/>
      <c r="R3" s="184"/>
      <c r="S3" s="184"/>
      <c r="T3" s="184"/>
      <c r="U3" s="155"/>
      <c r="V3" s="156">
        <f>Ввод!V3</f>
        <v>1</v>
      </c>
      <c r="W3" s="156">
        <f>Ввод!W3</f>
        <v>1</v>
      </c>
      <c r="X3" s="156">
        <f>Ввод!X3</f>
        <v>1</v>
      </c>
      <c r="Y3" s="156">
        <f>Ввод!Y3</f>
        <v>1</v>
      </c>
      <c r="Z3" s="156">
        <f>Ввод!Z3</f>
        <v>1</v>
      </c>
      <c r="AA3" s="156">
        <f>Ввод!AA3</f>
        <v>1</v>
      </c>
      <c r="AB3" s="156">
        <f>Ввод!AB3</f>
        <v>1</v>
      </c>
      <c r="AC3" s="156">
        <f>Ввод!AC3</f>
        <v>1</v>
      </c>
      <c r="AD3" s="156">
        <f>Ввод!AD3</f>
        <v>1</v>
      </c>
      <c r="AE3" s="156">
        <f>Ввод!AE3</f>
        <v>1</v>
      </c>
      <c r="AF3" s="156">
        <f>Ввод!AF3</f>
        <v>1</v>
      </c>
      <c r="AG3" s="156">
        <f>Ввод!AG3</f>
        <v>1</v>
      </c>
      <c r="AH3" s="156">
        <f>Ввод!AH3</f>
        <v>2</v>
      </c>
      <c r="AI3" s="156">
        <f>Ввод!AI3</f>
        <v>2</v>
      </c>
      <c r="AJ3" s="156">
        <f>Ввод!AJ3</f>
        <v>2</v>
      </c>
      <c r="AK3" s="156">
        <f>Ввод!AK3</f>
        <v>2</v>
      </c>
      <c r="AL3" s="156">
        <f>Ввод!AL3</f>
        <v>2</v>
      </c>
      <c r="AM3" s="156">
        <f>Ввод!AM3</f>
        <v>2</v>
      </c>
      <c r="AN3" s="156">
        <f>Ввод!AN3</f>
        <v>2</v>
      </c>
      <c r="AO3" s="156">
        <f>Ввод!AO3</f>
        <v>2</v>
      </c>
      <c r="AP3" s="156">
        <f>Ввод!AP3</f>
        <v>2</v>
      </c>
      <c r="AQ3" s="156">
        <f>Ввод!AQ3</f>
        <v>2</v>
      </c>
      <c r="AR3" s="156">
        <f>Ввод!AR3</f>
        <v>2</v>
      </c>
      <c r="AS3" s="156">
        <f>Ввод!AS3</f>
        <v>2</v>
      </c>
      <c r="AT3" s="156">
        <f>Ввод!AT3</f>
        <v>3</v>
      </c>
      <c r="AU3" s="156">
        <f>Ввод!AU3</f>
        <v>3</v>
      </c>
      <c r="AV3" s="156">
        <f>Ввод!AV3</f>
        <v>3</v>
      </c>
      <c r="AW3" s="156">
        <f>Ввод!AW3</f>
        <v>3</v>
      </c>
      <c r="AX3" s="156">
        <f>Ввод!AX3</f>
        <v>3</v>
      </c>
      <c r="AY3" s="156">
        <f>Ввод!AY3</f>
        <v>3</v>
      </c>
      <c r="AZ3" s="156">
        <f>Ввод!AZ3</f>
        <v>3</v>
      </c>
      <c r="BA3" s="156">
        <f>Ввод!BA3</f>
        <v>3</v>
      </c>
      <c r="BB3" s="156">
        <f>Ввод!BB3</f>
        <v>3</v>
      </c>
      <c r="BC3" s="156">
        <f>Ввод!BC3</f>
        <v>3</v>
      </c>
      <c r="BD3" s="156">
        <f>Ввод!BD3</f>
        <v>3</v>
      </c>
      <c r="BE3" s="156">
        <f>Ввод!BE3</f>
        <v>3</v>
      </c>
      <c r="BF3" s="156">
        <f>Ввод!BF3</f>
        <v>4</v>
      </c>
      <c r="BG3" s="156">
        <f>Ввод!BG3</f>
        <v>4</v>
      </c>
      <c r="BH3" s="156">
        <f>Ввод!BH3</f>
        <v>4</v>
      </c>
      <c r="BI3" s="156">
        <f>Ввод!BI3</f>
        <v>4</v>
      </c>
      <c r="BJ3" s="156">
        <f>Ввод!BJ3</f>
        <v>4</v>
      </c>
      <c r="BK3" s="156">
        <f>Ввод!BK3</f>
        <v>4</v>
      </c>
      <c r="BL3" s="156">
        <f>Ввод!BL3</f>
        <v>4</v>
      </c>
      <c r="BM3" s="156">
        <f>Ввод!BM3</f>
        <v>4</v>
      </c>
      <c r="BN3" s="156">
        <f>Ввод!BN3</f>
        <v>4</v>
      </c>
      <c r="BO3" s="156">
        <f>Ввод!BO3</f>
        <v>4</v>
      </c>
      <c r="BP3" s="156">
        <f>Ввод!BP3</f>
        <v>4</v>
      </c>
      <c r="BQ3" s="156">
        <f>Ввод!BQ3</f>
        <v>4</v>
      </c>
      <c r="BR3" s="156">
        <f>Ввод!BR3</f>
        <v>5</v>
      </c>
      <c r="BS3" s="156">
        <f>Ввод!BS3</f>
        <v>5</v>
      </c>
      <c r="BT3" s="156">
        <f>Ввод!BT3</f>
        <v>5</v>
      </c>
      <c r="BU3" s="156">
        <f>Ввод!BU3</f>
        <v>5</v>
      </c>
      <c r="BV3" s="156">
        <f>Ввод!BV3</f>
        <v>5</v>
      </c>
      <c r="BW3" s="156">
        <f>Ввод!BW3</f>
        <v>5</v>
      </c>
      <c r="BX3" s="156">
        <f>Ввод!BX3</f>
        <v>5</v>
      </c>
      <c r="BY3" s="156">
        <f>Ввод!BY3</f>
        <v>5</v>
      </c>
      <c r="BZ3" s="156">
        <f>Ввод!BZ3</f>
        <v>5</v>
      </c>
      <c r="CA3" s="156">
        <f>Ввод!CA3</f>
        <v>5</v>
      </c>
      <c r="CB3" s="156">
        <f>Ввод!CB3</f>
        <v>5</v>
      </c>
      <c r="CC3" s="156">
        <f>Ввод!CC3</f>
        <v>5</v>
      </c>
      <c r="CD3" s="110"/>
      <c r="CE3" s="111"/>
    </row>
    <row r="4" spans="1:83" s="23" customFormat="1" ht="15" customHeight="1" x14ac:dyDescent="0.3">
      <c r="A4" s="111"/>
      <c r="B4" s="110"/>
      <c r="C4" s="110"/>
      <c r="D4" s="185"/>
      <c r="E4" s="130"/>
      <c r="F4" s="127"/>
      <c r="G4" s="127"/>
      <c r="H4" s="114"/>
      <c r="I4" s="296"/>
      <c r="K4" s="110"/>
      <c r="L4" s="110"/>
      <c r="M4" s="98" t="s">
        <v>22</v>
      </c>
      <c r="N4" s="242">
        <f ca="1">Отчетность!$L$83</f>
        <v>64235030.865700364</v>
      </c>
      <c r="O4" s="22"/>
      <c r="P4" s="244">
        <f>Ввод!P4</f>
        <v>2021</v>
      </c>
      <c r="Q4" s="244">
        <f>Ввод!Q4</f>
        <v>2022</v>
      </c>
      <c r="R4" s="244">
        <f>Ввод!R4</f>
        <v>2023</v>
      </c>
      <c r="S4" s="244">
        <f>Ввод!S4</f>
        <v>2024</v>
      </c>
      <c r="T4" s="244">
        <f>Ввод!T4</f>
        <v>2025</v>
      </c>
      <c r="U4" s="155"/>
      <c r="V4" s="156">
        <f>Ввод!V4</f>
        <v>2021</v>
      </c>
      <c r="W4" s="156">
        <f>Ввод!W4</f>
        <v>2021</v>
      </c>
      <c r="X4" s="156">
        <f>Ввод!X4</f>
        <v>2021</v>
      </c>
      <c r="Y4" s="156">
        <f>Ввод!Y4</f>
        <v>2021</v>
      </c>
      <c r="Z4" s="156">
        <f>Ввод!Z4</f>
        <v>2021</v>
      </c>
      <c r="AA4" s="156">
        <f>Ввод!AA4</f>
        <v>2021</v>
      </c>
      <c r="AB4" s="156">
        <f>Ввод!AB4</f>
        <v>2021</v>
      </c>
      <c r="AC4" s="156">
        <f>Ввод!AC4</f>
        <v>2021</v>
      </c>
      <c r="AD4" s="156">
        <f>Ввод!AD4</f>
        <v>2021</v>
      </c>
      <c r="AE4" s="156">
        <f>Ввод!AE4</f>
        <v>2021</v>
      </c>
      <c r="AF4" s="156">
        <f>Ввод!AF4</f>
        <v>2021</v>
      </c>
      <c r="AG4" s="156">
        <f>Ввод!AG4</f>
        <v>2021</v>
      </c>
      <c r="AH4" s="156">
        <f>Ввод!AH4</f>
        <v>2022</v>
      </c>
      <c r="AI4" s="156">
        <f>Ввод!AI4</f>
        <v>2022</v>
      </c>
      <c r="AJ4" s="156">
        <f>Ввод!AJ4</f>
        <v>2022</v>
      </c>
      <c r="AK4" s="156">
        <f>Ввод!AK4</f>
        <v>2022</v>
      </c>
      <c r="AL4" s="156">
        <f>Ввод!AL4</f>
        <v>2022</v>
      </c>
      <c r="AM4" s="156">
        <f>Ввод!AM4</f>
        <v>2022</v>
      </c>
      <c r="AN4" s="156">
        <f>Ввод!AN4</f>
        <v>2022</v>
      </c>
      <c r="AO4" s="156">
        <f>Ввод!AO4</f>
        <v>2022</v>
      </c>
      <c r="AP4" s="156">
        <f>Ввод!AP4</f>
        <v>2022</v>
      </c>
      <c r="AQ4" s="156">
        <f>Ввод!AQ4</f>
        <v>2022</v>
      </c>
      <c r="AR4" s="156">
        <f>Ввод!AR4</f>
        <v>2022</v>
      </c>
      <c r="AS4" s="156">
        <f>Ввод!AS4</f>
        <v>2022</v>
      </c>
      <c r="AT4" s="156">
        <f>Ввод!AT4</f>
        <v>2023</v>
      </c>
      <c r="AU4" s="156">
        <f>Ввод!AU4</f>
        <v>2023</v>
      </c>
      <c r="AV4" s="156">
        <f>Ввод!AV4</f>
        <v>2023</v>
      </c>
      <c r="AW4" s="156">
        <f>Ввод!AW4</f>
        <v>2023</v>
      </c>
      <c r="AX4" s="156">
        <f>Ввод!AX4</f>
        <v>2023</v>
      </c>
      <c r="AY4" s="156">
        <f>Ввод!AY4</f>
        <v>2023</v>
      </c>
      <c r="AZ4" s="156">
        <f>Ввод!AZ4</f>
        <v>2023</v>
      </c>
      <c r="BA4" s="156">
        <f>Ввод!BA4</f>
        <v>2023</v>
      </c>
      <c r="BB4" s="156">
        <f>Ввод!BB4</f>
        <v>2023</v>
      </c>
      <c r="BC4" s="156">
        <f>Ввод!BC4</f>
        <v>2023</v>
      </c>
      <c r="BD4" s="156">
        <f>Ввод!BD4</f>
        <v>2023</v>
      </c>
      <c r="BE4" s="156">
        <f>Ввод!BE4</f>
        <v>2023</v>
      </c>
      <c r="BF4" s="156">
        <f>Ввод!BF4</f>
        <v>2024</v>
      </c>
      <c r="BG4" s="156">
        <f>Ввод!BG4</f>
        <v>2024</v>
      </c>
      <c r="BH4" s="156">
        <f>Ввод!BH4</f>
        <v>2024</v>
      </c>
      <c r="BI4" s="156">
        <f>Ввод!BI4</f>
        <v>2024</v>
      </c>
      <c r="BJ4" s="156">
        <f>Ввод!BJ4</f>
        <v>2024</v>
      </c>
      <c r="BK4" s="156">
        <f>Ввод!BK4</f>
        <v>2024</v>
      </c>
      <c r="BL4" s="156">
        <f>Ввод!BL4</f>
        <v>2024</v>
      </c>
      <c r="BM4" s="156">
        <f>Ввод!BM4</f>
        <v>2024</v>
      </c>
      <c r="BN4" s="156">
        <f>Ввод!BN4</f>
        <v>2024</v>
      </c>
      <c r="BO4" s="156">
        <f>Ввод!BO4</f>
        <v>2024</v>
      </c>
      <c r="BP4" s="156">
        <f>Ввод!BP4</f>
        <v>2024</v>
      </c>
      <c r="BQ4" s="156">
        <f>Ввод!BQ4</f>
        <v>2024</v>
      </c>
      <c r="BR4" s="156">
        <f>Ввод!BR4</f>
        <v>2025</v>
      </c>
      <c r="BS4" s="156">
        <f>Ввод!BS4</f>
        <v>2025</v>
      </c>
      <c r="BT4" s="156">
        <f>Ввод!BT4</f>
        <v>2025</v>
      </c>
      <c r="BU4" s="156">
        <f>Ввод!BU4</f>
        <v>2025</v>
      </c>
      <c r="BV4" s="156">
        <f>Ввод!BV4</f>
        <v>2025</v>
      </c>
      <c r="BW4" s="156">
        <f>Ввод!BW4</f>
        <v>2025</v>
      </c>
      <c r="BX4" s="156">
        <f>Ввод!BX4</f>
        <v>2025</v>
      </c>
      <c r="BY4" s="156">
        <f>Ввод!BY4</f>
        <v>2025</v>
      </c>
      <c r="BZ4" s="156">
        <f>Ввод!BZ4</f>
        <v>2025</v>
      </c>
      <c r="CA4" s="156">
        <f>Ввод!CA4</f>
        <v>2025</v>
      </c>
      <c r="CB4" s="156">
        <f>Ввод!CB4</f>
        <v>2025</v>
      </c>
      <c r="CC4" s="156">
        <f>Ввод!CC4</f>
        <v>2025</v>
      </c>
      <c r="CD4" s="110"/>
      <c r="CE4" s="111"/>
    </row>
    <row r="5" spans="1:83" s="23" customFormat="1" ht="15" customHeight="1" x14ac:dyDescent="0.3">
      <c r="A5" s="111"/>
      <c r="B5" s="110"/>
      <c r="C5" s="110"/>
      <c r="D5" s="186" t="s">
        <v>21</v>
      </c>
      <c r="E5" s="146" t="s">
        <v>5</v>
      </c>
      <c r="F5" s="147" t="s">
        <v>18</v>
      </c>
      <c r="G5" s="147" t="s">
        <v>19</v>
      </c>
      <c r="H5" s="114"/>
      <c r="I5" s="297"/>
      <c r="K5" s="80"/>
      <c r="L5" s="80"/>
      <c r="M5" s="98" t="s">
        <v>23</v>
      </c>
      <c r="N5" s="99">
        <f ca="1">Отчетность!$L$86</f>
        <v>0.89190127765534299</v>
      </c>
      <c r="O5" s="22"/>
      <c r="P5" s="244">
        <f>Ввод!P5</f>
        <v>1</v>
      </c>
      <c r="Q5" s="244">
        <f>Ввод!Q5</f>
        <v>2</v>
      </c>
      <c r="R5" s="244">
        <f>Ввод!R5</f>
        <v>3</v>
      </c>
      <c r="S5" s="244">
        <f>Ввод!S5</f>
        <v>4</v>
      </c>
      <c r="T5" s="244">
        <f>Ввод!T5</f>
        <v>5</v>
      </c>
      <c r="U5" s="155"/>
      <c r="V5" s="156">
        <f>Ввод!V5</f>
        <v>1</v>
      </c>
      <c r="W5" s="156">
        <f>Ввод!W5</f>
        <v>2</v>
      </c>
      <c r="X5" s="156">
        <f>Ввод!X5</f>
        <v>3</v>
      </c>
      <c r="Y5" s="156">
        <f>Ввод!Y5</f>
        <v>4</v>
      </c>
      <c r="Z5" s="156">
        <f>Ввод!Z5</f>
        <v>5</v>
      </c>
      <c r="AA5" s="156">
        <f>Ввод!AA5</f>
        <v>6</v>
      </c>
      <c r="AB5" s="156">
        <f>Ввод!AB5</f>
        <v>7</v>
      </c>
      <c r="AC5" s="156">
        <f>Ввод!AC5</f>
        <v>8</v>
      </c>
      <c r="AD5" s="156">
        <f>Ввод!AD5</f>
        <v>9</v>
      </c>
      <c r="AE5" s="156">
        <f>Ввод!AE5</f>
        <v>10</v>
      </c>
      <c r="AF5" s="156">
        <f>Ввод!AF5</f>
        <v>11</v>
      </c>
      <c r="AG5" s="156">
        <f>Ввод!AG5</f>
        <v>12</v>
      </c>
      <c r="AH5" s="156">
        <f>Ввод!AH5</f>
        <v>13</v>
      </c>
      <c r="AI5" s="156">
        <f>Ввод!AI5</f>
        <v>14</v>
      </c>
      <c r="AJ5" s="156">
        <f>Ввод!AJ5</f>
        <v>15</v>
      </c>
      <c r="AK5" s="156">
        <f>Ввод!AK5</f>
        <v>16</v>
      </c>
      <c r="AL5" s="156">
        <f>Ввод!AL5</f>
        <v>17</v>
      </c>
      <c r="AM5" s="156">
        <f>Ввод!AM5</f>
        <v>18</v>
      </c>
      <c r="AN5" s="156">
        <f>Ввод!AN5</f>
        <v>19</v>
      </c>
      <c r="AO5" s="156">
        <f>Ввод!AO5</f>
        <v>20</v>
      </c>
      <c r="AP5" s="156">
        <f>Ввод!AP5</f>
        <v>21</v>
      </c>
      <c r="AQ5" s="156">
        <f>Ввод!AQ5</f>
        <v>22</v>
      </c>
      <c r="AR5" s="156">
        <f>Ввод!AR5</f>
        <v>23</v>
      </c>
      <c r="AS5" s="156">
        <f>Ввод!AS5</f>
        <v>24</v>
      </c>
      <c r="AT5" s="156">
        <f>Ввод!AT5</f>
        <v>25</v>
      </c>
      <c r="AU5" s="156">
        <f>Ввод!AU5</f>
        <v>26</v>
      </c>
      <c r="AV5" s="156">
        <f>Ввод!AV5</f>
        <v>27</v>
      </c>
      <c r="AW5" s="156">
        <f>Ввод!AW5</f>
        <v>28</v>
      </c>
      <c r="AX5" s="156">
        <f>Ввод!AX5</f>
        <v>29</v>
      </c>
      <c r="AY5" s="156">
        <f>Ввод!AY5</f>
        <v>30</v>
      </c>
      <c r="AZ5" s="156">
        <f>Ввод!AZ5</f>
        <v>31</v>
      </c>
      <c r="BA5" s="156">
        <f>Ввод!BA5</f>
        <v>32</v>
      </c>
      <c r="BB5" s="156">
        <f>Ввод!BB5</f>
        <v>33</v>
      </c>
      <c r="BC5" s="156">
        <f>Ввод!BC5</f>
        <v>34</v>
      </c>
      <c r="BD5" s="156">
        <f>Ввод!BD5</f>
        <v>35</v>
      </c>
      <c r="BE5" s="156">
        <f>Ввод!BE5</f>
        <v>36</v>
      </c>
      <c r="BF5" s="156">
        <f>Ввод!BF5</f>
        <v>37</v>
      </c>
      <c r="BG5" s="156">
        <f>Ввод!BG5</f>
        <v>38</v>
      </c>
      <c r="BH5" s="156">
        <f>Ввод!BH5</f>
        <v>39</v>
      </c>
      <c r="BI5" s="156">
        <f>Ввод!BI5</f>
        <v>40</v>
      </c>
      <c r="BJ5" s="156">
        <f>Ввод!BJ5</f>
        <v>41</v>
      </c>
      <c r="BK5" s="156">
        <f>Ввод!BK5</f>
        <v>42</v>
      </c>
      <c r="BL5" s="156">
        <f>Ввод!BL5</f>
        <v>43</v>
      </c>
      <c r="BM5" s="156">
        <f>Ввод!BM5</f>
        <v>44</v>
      </c>
      <c r="BN5" s="156">
        <f>Ввод!BN5</f>
        <v>45</v>
      </c>
      <c r="BO5" s="156">
        <f>Ввод!BO5</f>
        <v>46</v>
      </c>
      <c r="BP5" s="156">
        <f>Ввод!BP5</f>
        <v>47</v>
      </c>
      <c r="BQ5" s="156">
        <f>Ввод!BQ5</f>
        <v>48</v>
      </c>
      <c r="BR5" s="156">
        <f>Ввод!BR5</f>
        <v>49</v>
      </c>
      <c r="BS5" s="156">
        <f>Ввод!BS5</f>
        <v>50</v>
      </c>
      <c r="BT5" s="156">
        <f>Ввод!BT5</f>
        <v>51</v>
      </c>
      <c r="BU5" s="156">
        <f>Ввод!BU5</f>
        <v>52</v>
      </c>
      <c r="BV5" s="156">
        <f>Ввод!BV5</f>
        <v>53</v>
      </c>
      <c r="BW5" s="156">
        <f>Ввод!BW5</f>
        <v>54</v>
      </c>
      <c r="BX5" s="156">
        <f>Ввод!BX5</f>
        <v>55</v>
      </c>
      <c r="BY5" s="156">
        <f>Ввод!BY5</f>
        <v>56</v>
      </c>
      <c r="BZ5" s="156">
        <f>Ввод!BZ5</f>
        <v>57</v>
      </c>
      <c r="CA5" s="156">
        <f>Ввод!CA5</f>
        <v>58</v>
      </c>
      <c r="CB5" s="156">
        <f>Ввод!CB5</f>
        <v>59</v>
      </c>
      <c r="CC5" s="156">
        <f>Ввод!CC5</f>
        <v>60</v>
      </c>
      <c r="CD5" s="110"/>
      <c r="CE5" s="111"/>
    </row>
    <row r="6" spans="1:83" s="23" customFormat="1" ht="15" customHeight="1" x14ac:dyDescent="0.3">
      <c r="A6" s="111"/>
      <c r="B6" s="110"/>
      <c r="C6" s="110"/>
      <c r="D6" s="41"/>
      <c r="E6" s="27"/>
      <c r="F6" s="27"/>
      <c r="G6" s="27"/>
      <c r="H6" s="27"/>
      <c r="I6" s="110"/>
      <c r="J6" s="110"/>
      <c r="K6" s="110"/>
      <c r="L6" s="110"/>
      <c r="M6" s="110"/>
      <c r="N6" s="110"/>
      <c r="O6" s="22"/>
      <c r="P6" s="155"/>
      <c r="Q6" s="155"/>
      <c r="R6" s="155"/>
      <c r="S6" s="155"/>
      <c r="T6" s="155"/>
      <c r="U6" s="155"/>
      <c r="V6" s="156">
        <f>Ввод!V6</f>
        <v>1</v>
      </c>
      <c r="W6" s="156">
        <f>Ввод!W6</f>
        <v>2</v>
      </c>
      <c r="X6" s="156">
        <f>Ввод!X6</f>
        <v>3</v>
      </c>
      <c r="Y6" s="156">
        <f>Ввод!Y6</f>
        <v>4</v>
      </c>
      <c r="Z6" s="156">
        <f>Ввод!Z6</f>
        <v>5</v>
      </c>
      <c r="AA6" s="156">
        <f>Ввод!AA6</f>
        <v>6</v>
      </c>
      <c r="AB6" s="156">
        <f>Ввод!AB6</f>
        <v>7</v>
      </c>
      <c r="AC6" s="156">
        <f>Ввод!AC6</f>
        <v>8</v>
      </c>
      <c r="AD6" s="156">
        <f>Ввод!AD6</f>
        <v>9</v>
      </c>
      <c r="AE6" s="156">
        <f>Ввод!AE6</f>
        <v>10</v>
      </c>
      <c r="AF6" s="156">
        <f>Ввод!AF6</f>
        <v>11</v>
      </c>
      <c r="AG6" s="156">
        <f>Ввод!AG6</f>
        <v>12</v>
      </c>
      <c r="AH6" s="156">
        <f>Ввод!AH6</f>
        <v>1</v>
      </c>
      <c r="AI6" s="156">
        <f>Ввод!AI6</f>
        <v>2</v>
      </c>
      <c r="AJ6" s="156">
        <f>Ввод!AJ6</f>
        <v>3</v>
      </c>
      <c r="AK6" s="156">
        <f>Ввод!AK6</f>
        <v>4</v>
      </c>
      <c r="AL6" s="156">
        <f>Ввод!AL6</f>
        <v>5</v>
      </c>
      <c r="AM6" s="156">
        <f>Ввод!AM6</f>
        <v>6</v>
      </c>
      <c r="AN6" s="156">
        <f>Ввод!AN6</f>
        <v>7</v>
      </c>
      <c r="AO6" s="156">
        <f>Ввод!AO6</f>
        <v>8</v>
      </c>
      <c r="AP6" s="156">
        <f>Ввод!AP6</f>
        <v>9</v>
      </c>
      <c r="AQ6" s="156">
        <f>Ввод!AQ6</f>
        <v>10</v>
      </c>
      <c r="AR6" s="156">
        <f>Ввод!AR6</f>
        <v>11</v>
      </c>
      <c r="AS6" s="156">
        <f>Ввод!AS6</f>
        <v>12</v>
      </c>
      <c r="AT6" s="156">
        <f>Ввод!AT6</f>
        <v>1</v>
      </c>
      <c r="AU6" s="156">
        <f>Ввод!AU6</f>
        <v>2</v>
      </c>
      <c r="AV6" s="156">
        <f>Ввод!AV6</f>
        <v>3</v>
      </c>
      <c r="AW6" s="156">
        <f>Ввод!AW6</f>
        <v>4</v>
      </c>
      <c r="AX6" s="156">
        <f>Ввод!AX6</f>
        <v>5</v>
      </c>
      <c r="AY6" s="156">
        <f>Ввод!AY6</f>
        <v>6</v>
      </c>
      <c r="AZ6" s="156">
        <f>Ввод!AZ6</f>
        <v>7</v>
      </c>
      <c r="BA6" s="156">
        <f>Ввод!BA6</f>
        <v>8</v>
      </c>
      <c r="BB6" s="156">
        <f>Ввод!BB6</f>
        <v>9</v>
      </c>
      <c r="BC6" s="156">
        <f>Ввод!BC6</f>
        <v>10</v>
      </c>
      <c r="BD6" s="156">
        <f>Ввод!BD6</f>
        <v>11</v>
      </c>
      <c r="BE6" s="156">
        <f>Ввод!BE6</f>
        <v>12</v>
      </c>
      <c r="BF6" s="156">
        <f>Ввод!BF6</f>
        <v>1</v>
      </c>
      <c r="BG6" s="156">
        <f>Ввод!BG6</f>
        <v>2</v>
      </c>
      <c r="BH6" s="156">
        <f>Ввод!BH6</f>
        <v>3</v>
      </c>
      <c r="BI6" s="156">
        <f>Ввод!BI6</f>
        <v>4</v>
      </c>
      <c r="BJ6" s="156">
        <f>Ввод!BJ6</f>
        <v>5</v>
      </c>
      <c r="BK6" s="156">
        <f>Ввод!BK6</f>
        <v>6</v>
      </c>
      <c r="BL6" s="156">
        <f>Ввод!BL6</f>
        <v>7</v>
      </c>
      <c r="BM6" s="156">
        <f>Ввод!BM6</f>
        <v>8</v>
      </c>
      <c r="BN6" s="156">
        <f>Ввод!BN6</f>
        <v>9</v>
      </c>
      <c r="BO6" s="156">
        <f>Ввод!BO6</f>
        <v>10</v>
      </c>
      <c r="BP6" s="156">
        <f>Ввод!BP6</f>
        <v>11</v>
      </c>
      <c r="BQ6" s="156">
        <f>Ввод!BQ6</f>
        <v>12</v>
      </c>
      <c r="BR6" s="156">
        <f>Ввод!BR6</f>
        <v>1</v>
      </c>
      <c r="BS6" s="156">
        <f>Ввод!BS6</f>
        <v>2</v>
      </c>
      <c r="BT6" s="156">
        <f>Ввод!BT6</f>
        <v>3</v>
      </c>
      <c r="BU6" s="156">
        <f>Ввод!BU6</f>
        <v>4</v>
      </c>
      <c r="BV6" s="156">
        <f>Ввод!BV6</f>
        <v>5</v>
      </c>
      <c r="BW6" s="156">
        <f>Ввод!BW6</f>
        <v>6</v>
      </c>
      <c r="BX6" s="156">
        <f>Ввод!BX6</f>
        <v>7</v>
      </c>
      <c r="BY6" s="156">
        <f>Ввод!BY6</f>
        <v>8</v>
      </c>
      <c r="BZ6" s="156">
        <f>Ввод!BZ6</f>
        <v>9</v>
      </c>
      <c r="CA6" s="156">
        <f>Ввод!CA6</f>
        <v>10</v>
      </c>
      <c r="CB6" s="156">
        <f>Ввод!CB6</f>
        <v>11</v>
      </c>
      <c r="CC6" s="156">
        <f>Ввод!CC6</f>
        <v>12</v>
      </c>
      <c r="CD6" s="110"/>
      <c r="CE6" s="111"/>
    </row>
    <row r="7" spans="1:83" s="23" customFormat="1" ht="15" customHeight="1" x14ac:dyDescent="0.3">
      <c r="A7" s="111"/>
      <c r="B7" s="110"/>
      <c r="C7" s="110"/>
      <c r="D7" s="41"/>
      <c r="E7" s="27"/>
      <c r="F7" s="27"/>
      <c r="G7" s="27"/>
      <c r="H7" s="27"/>
      <c r="I7" s="110"/>
      <c r="J7" s="110"/>
      <c r="K7" s="110"/>
      <c r="L7" s="110"/>
      <c r="M7" s="110"/>
      <c r="N7" s="110"/>
      <c r="O7" s="22"/>
      <c r="P7" s="2"/>
      <c r="Q7" s="2"/>
      <c r="R7" s="2"/>
      <c r="S7" s="2"/>
      <c r="T7" s="2"/>
      <c r="U7" s="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2"/>
      <c r="BI7" s="82"/>
      <c r="BJ7" s="82"/>
      <c r="BK7" s="82"/>
      <c r="BL7" s="82"/>
      <c r="BM7" s="82"/>
      <c r="BN7" s="82"/>
      <c r="BO7" s="82"/>
      <c r="BP7" s="82"/>
      <c r="BQ7" s="82"/>
      <c r="BR7" s="82"/>
      <c r="BS7" s="82"/>
      <c r="BT7" s="82"/>
      <c r="BU7" s="82"/>
      <c r="BV7" s="82"/>
      <c r="BW7" s="82"/>
      <c r="BX7" s="82"/>
      <c r="BY7" s="82"/>
      <c r="BZ7" s="82"/>
      <c r="CA7" s="82"/>
      <c r="CB7" s="82"/>
      <c r="CC7" s="82"/>
      <c r="CD7" s="110"/>
      <c r="CE7" s="111"/>
    </row>
    <row r="8" spans="1:83" s="23" customFormat="1" ht="20.100000000000001" customHeight="1" x14ac:dyDescent="0.3">
      <c r="A8" s="111"/>
      <c r="B8" s="110"/>
      <c r="C8" s="110"/>
      <c r="D8" s="121" t="s">
        <v>24</v>
      </c>
      <c r="E8" s="121"/>
      <c r="F8" s="121"/>
      <c r="G8" s="121"/>
      <c r="H8" s="121"/>
      <c r="I8" s="121" t="s">
        <v>25</v>
      </c>
      <c r="J8" s="121"/>
      <c r="K8" s="121"/>
      <c r="L8" s="121"/>
      <c r="M8" s="121"/>
      <c r="N8" s="122" t="s">
        <v>26</v>
      </c>
      <c r="O8" s="88"/>
      <c r="P8" s="246">
        <f>Ввод!P8</f>
        <v>44197</v>
      </c>
      <c r="Q8" s="246">
        <f>Ввод!Q8</f>
        <v>44562</v>
      </c>
      <c r="R8" s="246">
        <f>Ввод!R8</f>
        <v>44927</v>
      </c>
      <c r="S8" s="246">
        <f>Ввод!S8</f>
        <v>45292</v>
      </c>
      <c r="T8" s="246">
        <f>Ввод!T8</f>
        <v>45658</v>
      </c>
      <c r="U8" s="88"/>
      <c r="V8" s="247">
        <f>Ввод!V8</f>
        <v>44197</v>
      </c>
      <c r="W8" s="247">
        <f>Ввод!W8</f>
        <v>44228</v>
      </c>
      <c r="X8" s="247">
        <f>Ввод!X8</f>
        <v>44256</v>
      </c>
      <c r="Y8" s="247">
        <f>Ввод!Y8</f>
        <v>44287</v>
      </c>
      <c r="Z8" s="247">
        <f>Ввод!Z8</f>
        <v>44317</v>
      </c>
      <c r="AA8" s="247">
        <f>Ввод!AA8</f>
        <v>44348</v>
      </c>
      <c r="AB8" s="247">
        <f>Ввод!AB8</f>
        <v>44378</v>
      </c>
      <c r="AC8" s="247">
        <f>Ввод!AC8</f>
        <v>44409</v>
      </c>
      <c r="AD8" s="247">
        <f>Ввод!AD8</f>
        <v>44440</v>
      </c>
      <c r="AE8" s="247">
        <f>Ввод!AE8</f>
        <v>44470</v>
      </c>
      <c r="AF8" s="247">
        <f>Ввод!AF8</f>
        <v>44501</v>
      </c>
      <c r="AG8" s="247">
        <f>Ввод!AG8</f>
        <v>44531</v>
      </c>
      <c r="AH8" s="247">
        <f>Ввод!AH8</f>
        <v>44562</v>
      </c>
      <c r="AI8" s="247">
        <f>Ввод!AI8</f>
        <v>44593</v>
      </c>
      <c r="AJ8" s="247">
        <f>Ввод!AJ8</f>
        <v>44621</v>
      </c>
      <c r="AK8" s="247">
        <f>Ввод!AK8</f>
        <v>44652</v>
      </c>
      <c r="AL8" s="247">
        <f>Ввод!AL8</f>
        <v>44682</v>
      </c>
      <c r="AM8" s="247">
        <f>Ввод!AM8</f>
        <v>44713</v>
      </c>
      <c r="AN8" s="247">
        <f>Ввод!AN8</f>
        <v>44743</v>
      </c>
      <c r="AO8" s="247">
        <f>Ввод!AO8</f>
        <v>44774</v>
      </c>
      <c r="AP8" s="247">
        <f>Ввод!AP8</f>
        <v>44805</v>
      </c>
      <c r="AQ8" s="247">
        <f>Ввод!AQ8</f>
        <v>44835</v>
      </c>
      <c r="AR8" s="247">
        <f>Ввод!AR8</f>
        <v>44866</v>
      </c>
      <c r="AS8" s="247">
        <f>Ввод!AS8</f>
        <v>44896</v>
      </c>
      <c r="AT8" s="247">
        <f>Ввод!AT8</f>
        <v>44927</v>
      </c>
      <c r="AU8" s="247">
        <f>Ввод!AU8</f>
        <v>44958</v>
      </c>
      <c r="AV8" s="247">
        <f>Ввод!AV8</f>
        <v>44986</v>
      </c>
      <c r="AW8" s="247">
        <f>Ввод!AW8</f>
        <v>45017</v>
      </c>
      <c r="AX8" s="247">
        <f>Ввод!AX8</f>
        <v>45047</v>
      </c>
      <c r="AY8" s="247">
        <f>Ввод!AY8</f>
        <v>45078</v>
      </c>
      <c r="AZ8" s="247">
        <f>Ввод!AZ8</f>
        <v>45108</v>
      </c>
      <c r="BA8" s="247">
        <f>Ввод!BA8</f>
        <v>45139</v>
      </c>
      <c r="BB8" s="247">
        <f>Ввод!BB8</f>
        <v>45170</v>
      </c>
      <c r="BC8" s="247">
        <f>Ввод!BC8</f>
        <v>45200</v>
      </c>
      <c r="BD8" s="247">
        <f>Ввод!BD8</f>
        <v>45231</v>
      </c>
      <c r="BE8" s="247">
        <f>Ввод!BE8</f>
        <v>45261</v>
      </c>
      <c r="BF8" s="247">
        <f>Ввод!BF8</f>
        <v>45292</v>
      </c>
      <c r="BG8" s="247">
        <f>Ввод!BG8</f>
        <v>45323</v>
      </c>
      <c r="BH8" s="247">
        <f>Ввод!BH8</f>
        <v>45352</v>
      </c>
      <c r="BI8" s="247">
        <f>Ввод!BI8</f>
        <v>45383</v>
      </c>
      <c r="BJ8" s="247">
        <f>Ввод!BJ8</f>
        <v>45413</v>
      </c>
      <c r="BK8" s="247">
        <f>Ввод!BK8</f>
        <v>45444</v>
      </c>
      <c r="BL8" s="247">
        <f>Ввод!BL8</f>
        <v>45474</v>
      </c>
      <c r="BM8" s="247">
        <f>Ввод!BM8</f>
        <v>45505</v>
      </c>
      <c r="BN8" s="247">
        <f>Ввод!BN8</f>
        <v>45536</v>
      </c>
      <c r="BO8" s="247">
        <f>Ввод!BO8</f>
        <v>45566</v>
      </c>
      <c r="BP8" s="247">
        <f>Ввод!BP8</f>
        <v>45597</v>
      </c>
      <c r="BQ8" s="247">
        <f>Ввод!BQ8</f>
        <v>45627</v>
      </c>
      <c r="BR8" s="247">
        <f>Ввод!BR8</f>
        <v>45658</v>
      </c>
      <c r="BS8" s="247">
        <f>Ввод!BS8</f>
        <v>45689</v>
      </c>
      <c r="BT8" s="247">
        <f>Ввод!BT8</f>
        <v>45717</v>
      </c>
      <c r="BU8" s="247">
        <f>Ввод!BU8</f>
        <v>45748</v>
      </c>
      <c r="BV8" s="247">
        <f>Ввод!BV8</f>
        <v>45778</v>
      </c>
      <c r="BW8" s="247">
        <f>Ввод!BW8</f>
        <v>45809</v>
      </c>
      <c r="BX8" s="247">
        <f>Ввод!BX8</f>
        <v>45839</v>
      </c>
      <c r="BY8" s="247">
        <f>Ввод!BY8</f>
        <v>45870</v>
      </c>
      <c r="BZ8" s="247">
        <f>Ввод!BZ8</f>
        <v>45901</v>
      </c>
      <c r="CA8" s="247">
        <f>Ввод!CA8</f>
        <v>45931</v>
      </c>
      <c r="CB8" s="247">
        <f>Ввод!CB8</f>
        <v>45962</v>
      </c>
      <c r="CC8" s="247">
        <f>Ввод!CC8</f>
        <v>45992</v>
      </c>
      <c r="CD8" s="112"/>
      <c r="CE8" s="111"/>
    </row>
    <row r="9" spans="1:83" s="23" customFormat="1" ht="15" customHeight="1" x14ac:dyDescent="0.3">
      <c r="A9" s="111"/>
      <c r="B9" s="110"/>
      <c r="C9" s="110"/>
      <c r="D9" s="133" t="s">
        <v>59</v>
      </c>
      <c r="E9" s="123"/>
      <c r="F9" s="123"/>
      <c r="G9" s="123"/>
      <c r="H9" s="123"/>
      <c r="I9" s="124"/>
      <c r="J9" s="124"/>
      <c r="K9" s="124"/>
      <c r="L9" s="124"/>
      <c r="M9" s="125"/>
      <c r="N9" s="126"/>
      <c r="O9" s="97"/>
      <c r="P9" s="126"/>
      <c r="Q9" s="126"/>
      <c r="R9" s="126"/>
      <c r="S9" s="126"/>
      <c r="T9" s="126"/>
      <c r="U9" s="97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  <c r="AP9" s="126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26"/>
      <c r="BN9" s="126"/>
      <c r="BO9" s="126"/>
      <c r="BP9" s="126"/>
      <c r="BQ9" s="126"/>
      <c r="BR9" s="126"/>
      <c r="BS9" s="126"/>
      <c r="BT9" s="126"/>
      <c r="BU9" s="126"/>
      <c r="BV9" s="126"/>
      <c r="BW9" s="126"/>
      <c r="BX9" s="126"/>
      <c r="BY9" s="126"/>
      <c r="BZ9" s="126"/>
      <c r="CA9" s="126"/>
      <c r="CB9" s="126"/>
      <c r="CC9" s="126"/>
      <c r="CD9" s="112"/>
      <c r="CE9" s="111"/>
    </row>
    <row r="10" spans="1:83" s="30" customFormat="1" ht="15" customHeight="1" outlineLevel="1" x14ac:dyDescent="0.3">
      <c r="A10" s="44"/>
      <c r="D10" s="140"/>
      <c r="E10" s="41"/>
      <c r="F10" s="41"/>
      <c r="G10" s="41"/>
      <c r="H10" s="41"/>
      <c r="I10" s="31"/>
      <c r="J10" s="31"/>
      <c r="K10" s="31"/>
      <c r="L10" s="31"/>
      <c r="M10" s="46"/>
      <c r="N10" s="29"/>
      <c r="O10" s="97"/>
      <c r="P10" s="55"/>
      <c r="Q10" s="55"/>
      <c r="R10" s="55"/>
      <c r="S10" s="55"/>
      <c r="T10" s="55"/>
      <c r="U10" s="97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44"/>
    </row>
    <row r="11" spans="1:83" s="30" customFormat="1" ht="15" customHeight="1" outlineLevel="1" x14ac:dyDescent="0.3">
      <c r="A11" s="44"/>
      <c r="D11" s="140"/>
      <c r="E11" s="41"/>
      <c r="F11" s="41"/>
      <c r="G11" s="41"/>
      <c r="H11" s="41"/>
      <c r="I11" s="31"/>
      <c r="J11" s="31"/>
      <c r="K11" s="31"/>
      <c r="L11" s="31"/>
      <c r="M11" s="46"/>
      <c r="N11" s="29"/>
      <c r="O11" s="283"/>
      <c r="P11" s="55"/>
      <c r="Q11" s="55"/>
      <c r="R11" s="55"/>
      <c r="S11" s="55"/>
      <c r="T11" s="55"/>
      <c r="U11" s="283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44"/>
    </row>
    <row r="12" spans="1:83" s="30" customFormat="1" ht="15" customHeight="1" outlineLevel="1" x14ac:dyDescent="0.3">
      <c r="A12" s="44"/>
      <c r="D12" s="141" t="s">
        <v>60</v>
      </c>
      <c r="E12" s="39"/>
      <c r="F12" s="39"/>
      <c r="G12" s="39"/>
      <c r="H12" s="39"/>
      <c r="I12" s="31"/>
      <c r="J12" s="31"/>
      <c r="K12" s="31"/>
      <c r="L12" s="31"/>
      <c r="M12" s="46"/>
      <c r="N12" s="29"/>
      <c r="O12" s="283"/>
      <c r="P12" s="55"/>
      <c r="Q12" s="55"/>
      <c r="R12" s="55"/>
      <c r="S12" s="55"/>
      <c r="T12" s="55"/>
      <c r="U12" s="283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44"/>
    </row>
    <row r="13" spans="1:83" s="30" customFormat="1" ht="15" customHeight="1" outlineLevel="1" x14ac:dyDescent="0.3">
      <c r="A13" s="44"/>
      <c r="D13" s="145"/>
      <c r="E13" s="56"/>
      <c r="F13" s="56"/>
      <c r="G13" s="56"/>
      <c r="H13" s="56"/>
      <c r="I13" s="52"/>
      <c r="J13" s="52"/>
      <c r="K13" s="52"/>
      <c r="L13" s="52"/>
      <c r="M13" s="47"/>
      <c r="N13" s="285"/>
      <c r="O13" s="283"/>
      <c r="P13" s="286"/>
      <c r="Q13" s="286"/>
      <c r="R13" s="286"/>
      <c r="S13" s="286"/>
      <c r="T13" s="286"/>
      <c r="U13" s="283"/>
      <c r="V13" s="287"/>
      <c r="W13" s="287"/>
      <c r="X13" s="287"/>
      <c r="Y13" s="287"/>
      <c r="Z13" s="287"/>
      <c r="AA13" s="287"/>
      <c r="AB13" s="287"/>
      <c r="AC13" s="287"/>
      <c r="AD13" s="287"/>
      <c r="AE13" s="287"/>
      <c r="AF13" s="287"/>
      <c r="AG13" s="287"/>
      <c r="AH13" s="287"/>
      <c r="AI13" s="287"/>
      <c r="AJ13" s="287"/>
      <c r="AK13" s="287"/>
      <c r="AL13" s="287"/>
      <c r="AM13" s="287"/>
      <c r="AN13" s="287"/>
      <c r="AO13" s="287"/>
      <c r="AP13" s="287"/>
      <c r="AQ13" s="287"/>
      <c r="AR13" s="287"/>
      <c r="AS13" s="287"/>
      <c r="AT13" s="287"/>
      <c r="AU13" s="287"/>
      <c r="AV13" s="287"/>
      <c r="AW13" s="287"/>
      <c r="AX13" s="287"/>
      <c r="AY13" s="287"/>
      <c r="AZ13" s="287"/>
      <c r="BA13" s="287"/>
      <c r="BB13" s="287"/>
      <c r="BC13" s="287"/>
      <c r="BD13" s="287"/>
      <c r="BE13" s="287"/>
      <c r="BF13" s="287"/>
      <c r="BG13" s="287"/>
      <c r="BH13" s="287"/>
      <c r="BI13" s="287"/>
      <c r="BJ13" s="287"/>
      <c r="BK13" s="287"/>
      <c r="BL13" s="287"/>
      <c r="BM13" s="287"/>
      <c r="BN13" s="287"/>
      <c r="BO13" s="287"/>
      <c r="BP13" s="287"/>
      <c r="BQ13" s="287"/>
      <c r="BR13" s="287"/>
      <c r="BS13" s="287"/>
      <c r="BT13" s="287"/>
      <c r="BU13" s="287"/>
      <c r="BV13" s="287"/>
      <c r="BW13" s="287"/>
      <c r="BX13" s="287"/>
      <c r="BY13" s="287"/>
      <c r="BZ13" s="287"/>
      <c r="CA13" s="287"/>
      <c r="CB13" s="287"/>
      <c r="CC13" s="287"/>
      <c r="CD13" s="29"/>
      <c r="CE13" s="44"/>
    </row>
    <row r="14" spans="1:83" s="30" customFormat="1" ht="15" customHeight="1" outlineLevel="1" x14ac:dyDescent="0.3">
      <c r="A14" s="44"/>
      <c r="D14" s="145"/>
      <c r="E14" s="56"/>
      <c r="F14" s="56"/>
      <c r="G14" s="56"/>
      <c r="H14" s="56"/>
      <c r="I14" s="52"/>
      <c r="J14" s="52"/>
      <c r="K14" s="52"/>
      <c r="L14" s="52"/>
      <c r="M14" s="47"/>
      <c r="N14" s="285"/>
      <c r="O14" s="283"/>
      <c r="P14" s="286"/>
      <c r="Q14" s="286"/>
      <c r="R14" s="286"/>
      <c r="S14" s="286"/>
      <c r="T14" s="286"/>
      <c r="U14" s="283"/>
      <c r="V14" s="287"/>
      <c r="W14" s="287"/>
      <c r="X14" s="287"/>
      <c r="Y14" s="287"/>
      <c r="Z14" s="287"/>
      <c r="AA14" s="287"/>
      <c r="AB14" s="287"/>
      <c r="AC14" s="287"/>
      <c r="AD14" s="287"/>
      <c r="AE14" s="287"/>
      <c r="AF14" s="287"/>
      <c r="AG14" s="287"/>
      <c r="AH14" s="287"/>
      <c r="AI14" s="287"/>
      <c r="AJ14" s="287"/>
      <c r="AK14" s="287"/>
      <c r="AL14" s="287"/>
      <c r="AM14" s="287"/>
      <c r="AN14" s="287"/>
      <c r="AO14" s="287"/>
      <c r="AP14" s="287"/>
      <c r="AQ14" s="287"/>
      <c r="AR14" s="287"/>
      <c r="AS14" s="287"/>
      <c r="AT14" s="287"/>
      <c r="AU14" s="287"/>
      <c r="AV14" s="287"/>
      <c r="AW14" s="287"/>
      <c r="AX14" s="287"/>
      <c r="AY14" s="287"/>
      <c r="AZ14" s="287"/>
      <c r="BA14" s="287"/>
      <c r="BB14" s="287"/>
      <c r="BC14" s="287"/>
      <c r="BD14" s="287"/>
      <c r="BE14" s="287"/>
      <c r="BF14" s="287"/>
      <c r="BG14" s="287"/>
      <c r="BH14" s="287"/>
      <c r="BI14" s="287"/>
      <c r="BJ14" s="287"/>
      <c r="BK14" s="287"/>
      <c r="BL14" s="287"/>
      <c r="BM14" s="287"/>
      <c r="BN14" s="287"/>
      <c r="BO14" s="287"/>
      <c r="BP14" s="287"/>
      <c r="BQ14" s="287"/>
      <c r="BR14" s="287"/>
      <c r="BS14" s="287"/>
      <c r="BT14" s="287"/>
      <c r="BU14" s="287"/>
      <c r="BV14" s="287"/>
      <c r="BW14" s="287"/>
      <c r="BX14" s="287"/>
      <c r="BY14" s="287"/>
      <c r="BZ14" s="287"/>
      <c r="CA14" s="287"/>
      <c r="CB14" s="287"/>
      <c r="CC14" s="287"/>
      <c r="CD14" s="29"/>
      <c r="CE14" s="44"/>
    </row>
    <row r="15" spans="1:83" s="30" customFormat="1" ht="15" customHeight="1" outlineLevel="1" x14ac:dyDescent="0.3">
      <c r="A15" s="44"/>
      <c r="D15" s="284"/>
      <c r="E15" s="284"/>
      <c r="F15" s="284"/>
      <c r="G15" s="284"/>
      <c r="H15" s="284"/>
      <c r="I15" s="31"/>
      <c r="J15" s="31"/>
      <c r="K15" s="31"/>
      <c r="L15" s="31"/>
      <c r="M15" s="46"/>
      <c r="N15" s="29"/>
      <c r="O15" s="283"/>
      <c r="P15" s="55"/>
      <c r="Q15" s="55"/>
      <c r="R15" s="55"/>
      <c r="S15" s="55"/>
      <c r="T15" s="55"/>
      <c r="U15" s="283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5"/>
      <c r="BR15" s="55"/>
      <c r="BS15" s="55"/>
      <c r="BT15" s="55"/>
      <c r="BU15" s="55"/>
      <c r="BV15" s="55"/>
      <c r="BW15" s="55"/>
      <c r="BX15" s="55"/>
      <c r="BY15" s="55"/>
      <c r="BZ15" s="55"/>
      <c r="CA15" s="55"/>
      <c r="CB15" s="55"/>
      <c r="CC15" s="55"/>
      <c r="CD15" s="29"/>
      <c r="CE15" s="44"/>
    </row>
    <row r="16" spans="1:83" s="30" customFormat="1" ht="15" customHeight="1" outlineLevel="1" x14ac:dyDescent="0.3">
      <c r="A16" s="44"/>
      <c r="D16" s="141" t="s">
        <v>5</v>
      </c>
      <c r="E16" s="39"/>
      <c r="F16" s="39"/>
      <c r="G16" s="39"/>
      <c r="H16" s="39"/>
      <c r="I16" s="31"/>
      <c r="J16" s="31"/>
      <c r="K16" s="31"/>
      <c r="L16" s="31"/>
      <c r="M16" s="46"/>
      <c r="N16" s="29"/>
      <c r="O16" s="283"/>
      <c r="P16" s="55"/>
      <c r="Q16" s="55"/>
      <c r="R16" s="55"/>
      <c r="S16" s="55"/>
      <c r="T16" s="55"/>
      <c r="U16" s="283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44"/>
    </row>
    <row r="17" spans="1:83" s="30" customFormat="1" ht="15" customHeight="1" outlineLevel="1" x14ac:dyDescent="0.3">
      <c r="A17" s="44"/>
      <c r="D17" s="145"/>
      <c r="E17" s="56"/>
      <c r="F17" s="56"/>
      <c r="G17" s="56"/>
      <c r="H17" s="56"/>
      <c r="I17" s="52"/>
      <c r="J17" s="52"/>
      <c r="K17" s="52"/>
      <c r="L17" s="52"/>
      <c r="M17" s="47"/>
      <c r="N17" s="285"/>
      <c r="O17" s="283"/>
      <c r="P17" s="286"/>
      <c r="Q17" s="286"/>
      <c r="R17" s="286"/>
      <c r="S17" s="286"/>
      <c r="T17" s="286"/>
      <c r="U17" s="283"/>
      <c r="V17" s="287"/>
      <c r="W17" s="287"/>
      <c r="X17" s="287"/>
      <c r="Y17" s="287"/>
      <c r="Z17" s="287"/>
      <c r="AA17" s="287"/>
      <c r="AB17" s="287"/>
      <c r="AC17" s="287"/>
      <c r="AD17" s="287"/>
      <c r="AE17" s="287"/>
      <c r="AF17" s="287"/>
      <c r="AG17" s="287"/>
      <c r="AH17" s="287"/>
      <c r="AI17" s="287"/>
      <c r="AJ17" s="287"/>
      <c r="AK17" s="287"/>
      <c r="AL17" s="287"/>
      <c r="AM17" s="287"/>
      <c r="AN17" s="287"/>
      <c r="AO17" s="287"/>
      <c r="AP17" s="287"/>
      <c r="AQ17" s="287"/>
      <c r="AR17" s="287"/>
      <c r="AS17" s="287"/>
      <c r="AT17" s="287"/>
      <c r="AU17" s="287"/>
      <c r="AV17" s="287"/>
      <c r="AW17" s="287"/>
      <c r="AX17" s="287"/>
      <c r="AY17" s="287"/>
      <c r="AZ17" s="287"/>
      <c r="BA17" s="287"/>
      <c r="BB17" s="287"/>
      <c r="BC17" s="287"/>
      <c r="BD17" s="287"/>
      <c r="BE17" s="287"/>
      <c r="BF17" s="287"/>
      <c r="BG17" s="287"/>
      <c r="BH17" s="287"/>
      <c r="BI17" s="287"/>
      <c r="BJ17" s="287"/>
      <c r="BK17" s="287"/>
      <c r="BL17" s="287"/>
      <c r="BM17" s="287"/>
      <c r="BN17" s="287"/>
      <c r="BO17" s="287"/>
      <c r="BP17" s="287"/>
      <c r="BQ17" s="287"/>
      <c r="BR17" s="287"/>
      <c r="BS17" s="287"/>
      <c r="BT17" s="287"/>
      <c r="BU17" s="287"/>
      <c r="BV17" s="287"/>
      <c r="BW17" s="287"/>
      <c r="BX17" s="287"/>
      <c r="BY17" s="287"/>
      <c r="BZ17" s="287"/>
      <c r="CA17" s="287"/>
      <c r="CB17" s="287"/>
      <c r="CC17" s="287"/>
      <c r="CD17" s="29"/>
      <c r="CE17" s="44"/>
    </row>
    <row r="18" spans="1:83" s="30" customFormat="1" ht="15" customHeight="1" outlineLevel="1" x14ac:dyDescent="0.3">
      <c r="A18" s="44"/>
      <c r="D18" s="145"/>
      <c r="E18" s="56"/>
      <c r="F18" s="56"/>
      <c r="G18" s="56"/>
      <c r="H18" s="56"/>
      <c r="I18" s="52"/>
      <c r="J18" s="52"/>
      <c r="K18" s="52"/>
      <c r="L18" s="52"/>
      <c r="M18" s="47"/>
      <c r="N18" s="285"/>
      <c r="O18" s="283"/>
      <c r="P18" s="286"/>
      <c r="Q18" s="286"/>
      <c r="R18" s="286"/>
      <c r="S18" s="286"/>
      <c r="T18" s="286"/>
      <c r="U18" s="283"/>
      <c r="V18" s="287"/>
      <c r="W18" s="287"/>
      <c r="X18" s="287"/>
      <c r="Y18" s="287"/>
      <c r="Z18" s="287"/>
      <c r="AA18" s="287"/>
      <c r="AB18" s="287"/>
      <c r="AC18" s="287"/>
      <c r="AD18" s="287"/>
      <c r="AE18" s="287"/>
      <c r="AF18" s="287"/>
      <c r="AG18" s="287"/>
      <c r="AH18" s="287"/>
      <c r="AI18" s="287"/>
      <c r="AJ18" s="287"/>
      <c r="AK18" s="287"/>
      <c r="AL18" s="287"/>
      <c r="AM18" s="287"/>
      <c r="AN18" s="287"/>
      <c r="AO18" s="287"/>
      <c r="AP18" s="287"/>
      <c r="AQ18" s="287"/>
      <c r="AR18" s="287"/>
      <c r="AS18" s="287"/>
      <c r="AT18" s="287"/>
      <c r="AU18" s="287"/>
      <c r="AV18" s="287"/>
      <c r="AW18" s="287"/>
      <c r="AX18" s="287"/>
      <c r="AY18" s="287"/>
      <c r="AZ18" s="287"/>
      <c r="BA18" s="287"/>
      <c r="BB18" s="287"/>
      <c r="BC18" s="287"/>
      <c r="BD18" s="287"/>
      <c r="BE18" s="287"/>
      <c r="BF18" s="287"/>
      <c r="BG18" s="287"/>
      <c r="BH18" s="287"/>
      <c r="BI18" s="287"/>
      <c r="BJ18" s="287"/>
      <c r="BK18" s="287"/>
      <c r="BL18" s="287"/>
      <c r="BM18" s="287"/>
      <c r="BN18" s="287"/>
      <c r="BO18" s="287"/>
      <c r="BP18" s="287"/>
      <c r="BQ18" s="287"/>
      <c r="BR18" s="287"/>
      <c r="BS18" s="287"/>
      <c r="BT18" s="287"/>
      <c r="BU18" s="287"/>
      <c r="BV18" s="287"/>
      <c r="BW18" s="287"/>
      <c r="BX18" s="287"/>
      <c r="BY18" s="287"/>
      <c r="BZ18" s="287"/>
      <c r="CA18" s="287"/>
      <c r="CB18" s="287"/>
      <c r="CC18" s="287"/>
      <c r="CD18" s="29"/>
      <c r="CE18" s="44"/>
    </row>
    <row r="19" spans="1:83" s="30" customFormat="1" ht="15" customHeight="1" outlineLevel="1" x14ac:dyDescent="0.3">
      <c r="A19" s="44"/>
      <c r="D19" s="284"/>
      <c r="E19" s="284"/>
      <c r="F19" s="284"/>
      <c r="G19" s="284"/>
      <c r="H19" s="284"/>
      <c r="I19" s="31"/>
      <c r="J19" s="31"/>
      <c r="K19" s="31"/>
      <c r="L19" s="31"/>
      <c r="M19" s="46"/>
      <c r="N19" s="29"/>
      <c r="O19" s="283"/>
      <c r="P19" s="55"/>
      <c r="Q19" s="55"/>
      <c r="R19" s="55"/>
      <c r="S19" s="55"/>
      <c r="T19" s="55"/>
      <c r="U19" s="283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5"/>
      <c r="BK19" s="55"/>
      <c r="BL19" s="55"/>
      <c r="BM19" s="55"/>
      <c r="BN19" s="55"/>
      <c r="BO19" s="55"/>
      <c r="BP19" s="55"/>
      <c r="BQ19" s="55"/>
      <c r="BR19" s="55"/>
      <c r="BS19" s="55"/>
      <c r="BT19" s="55"/>
      <c r="BU19" s="55"/>
      <c r="BV19" s="55"/>
      <c r="BW19" s="55"/>
      <c r="BX19" s="55"/>
      <c r="BY19" s="55"/>
      <c r="BZ19" s="55"/>
      <c r="CA19" s="55"/>
      <c r="CB19" s="55"/>
      <c r="CC19" s="55"/>
      <c r="CD19" s="29"/>
      <c r="CE19" s="44"/>
    </row>
    <row r="20" spans="1:83" s="30" customFormat="1" ht="15" customHeight="1" outlineLevel="1" x14ac:dyDescent="0.3">
      <c r="A20" s="44"/>
      <c r="D20" s="284"/>
      <c r="E20" s="284"/>
      <c r="F20" s="284"/>
      <c r="G20" s="284"/>
      <c r="H20" s="284"/>
      <c r="I20" s="31"/>
      <c r="J20" s="31"/>
      <c r="K20" s="31"/>
      <c r="L20" s="31"/>
      <c r="M20" s="46"/>
      <c r="N20" s="29"/>
      <c r="O20" s="283"/>
      <c r="P20" s="55"/>
      <c r="Q20" s="55"/>
      <c r="R20" s="55"/>
      <c r="S20" s="55"/>
      <c r="T20" s="55"/>
      <c r="U20" s="283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5"/>
      <c r="BK20" s="55"/>
      <c r="BL20" s="55"/>
      <c r="BM20" s="55"/>
      <c r="BN20" s="55"/>
      <c r="BO20" s="55"/>
      <c r="BP20" s="55"/>
      <c r="BQ20" s="55"/>
      <c r="BR20" s="55"/>
      <c r="BS20" s="55"/>
      <c r="BT20" s="55"/>
      <c r="BU20" s="55"/>
      <c r="BV20" s="55"/>
      <c r="BW20" s="55"/>
      <c r="BX20" s="55"/>
      <c r="BY20" s="55"/>
      <c r="BZ20" s="55"/>
      <c r="CA20" s="55"/>
      <c r="CB20" s="55"/>
      <c r="CC20" s="55"/>
      <c r="CD20" s="29"/>
      <c r="CE20" s="44"/>
    </row>
    <row r="21" spans="1:83" s="73" customFormat="1" ht="15" customHeight="1" outlineLevel="1" x14ac:dyDescent="0.3">
      <c r="A21" s="87"/>
      <c r="D21" s="141" t="s">
        <v>26</v>
      </c>
      <c r="E21" s="39"/>
      <c r="F21" s="39"/>
      <c r="G21" s="39"/>
      <c r="H21" s="39"/>
      <c r="I21" s="6" t="str">
        <f>Ввод!$M$12</f>
        <v>руб</v>
      </c>
      <c r="J21" s="6"/>
      <c r="K21" s="6"/>
      <c r="L21" s="6"/>
      <c r="M21" s="61"/>
      <c r="N21" s="159">
        <f>SUM(P21:T21)</f>
        <v>635000000</v>
      </c>
      <c r="O21" s="172"/>
      <c r="P21" s="159">
        <f>SUMIF($V$4:$EK$4,P$4,$V21:$EK21)</f>
        <v>44600000</v>
      </c>
      <c r="Q21" s="159">
        <f t="shared" ref="Q21:T21" si="0">SUMIF($V$4:$EK$4,Q$4,$V21:$EK21)</f>
        <v>104400000</v>
      </c>
      <c r="R21" s="159">
        <f t="shared" si="0"/>
        <v>133200000</v>
      </c>
      <c r="S21" s="159">
        <f t="shared" si="0"/>
        <v>162000000</v>
      </c>
      <c r="T21" s="159">
        <f t="shared" si="0"/>
        <v>190800000</v>
      </c>
      <c r="U21" s="172"/>
      <c r="V21" s="95"/>
      <c r="W21" s="95">
        <v>0</v>
      </c>
      <c r="X21" s="95">
        <v>0</v>
      </c>
      <c r="Y21" s="95">
        <v>0</v>
      </c>
      <c r="Z21" s="95">
        <v>0</v>
      </c>
      <c r="AA21" s="95">
        <v>5000000</v>
      </c>
      <c r="AB21" s="95">
        <f>AA21+500000</f>
        <v>5500000</v>
      </c>
      <c r="AC21" s="95">
        <f>AB21+500000</f>
        <v>6000000</v>
      </c>
      <c r="AD21" s="95">
        <f t="shared" ref="AD21:AE21" si="1">AC21+500000</f>
        <v>6500000</v>
      </c>
      <c r="AE21" s="95">
        <f t="shared" si="1"/>
        <v>7000000</v>
      </c>
      <c r="AF21" s="95">
        <f>AE21+200000</f>
        <v>7200000</v>
      </c>
      <c r="AG21" s="95">
        <f t="shared" ref="AG21:CC21" si="2">AF21+200000</f>
        <v>7400000</v>
      </c>
      <c r="AH21" s="95">
        <f t="shared" si="2"/>
        <v>7600000</v>
      </c>
      <c r="AI21" s="95">
        <f t="shared" si="2"/>
        <v>7800000</v>
      </c>
      <c r="AJ21" s="95">
        <f t="shared" si="2"/>
        <v>8000000</v>
      </c>
      <c r="AK21" s="95">
        <f t="shared" si="2"/>
        <v>8200000</v>
      </c>
      <c r="AL21" s="95">
        <f t="shared" si="2"/>
        <v>8400000</v>
      </c>
      <c r="AM21" s="95">
        <f t="shared" si="2"/>
        <v>8600000</v>
      </c>
      <c r="AN21" s="95">
        <f t="shared" si="2"/>
        <v>8800000</v>
      </c>
      <c r="AO21" s="95">
        <f t="shared" si="2"/>
        <v>9000000</v>
      </c>
      <c r="AP21" s="95">
        <f t="shared" si="2"/>
        <v>9200000</v>
      </c>
      <c r="AQ21" s="95">
        <f t="shared" si="2"/>
        <v>9400000</v>
      </c>
      <c r="AR21" s="95">
        <f t="shared" si="2"/>
        <v>9600000</v>
      </c>
      <c r="AS21" s="95">
        <f t="shared" si="2"/>
        <v>9800000</v>
      </c>
      <c r="AT21" s="95">
        <f t="shared" si="2"/>
        <v>10000000</v>
      </c>
      <c r="AU21" s="95">
        <f t="shared" si="2"/>
        <v>10200000</v>
      </c>
      <c r="AV21" s="95">
        <f t="shared" si="2"/>
        <v>10400000</v>
      </c>
      <c r="AW21" s="95">
        <f t="shared" si="2"/>
        <v>10600000</v>
      </c>
      <c r="AX21" s="95">
        <f t="shared" si="2"/>
        <v>10800000</v>
      </c>
      <c r="AY21" s="95">
        <f t="shared" si="2"/>
        <v>11000000</v>
      </c>
      <c r="AZ21" s="95">
        <f t="shared" si="2"/>
        <v>11200000</v>
      </c>
      <c r="BA21" s="95">
        <f t="shared" si="2"/>
        <v>11400000</v>
      </c>
      <c r="BB21" s="95">
        <f t="shared" si="2"/>
        <v>11600000</v>
      </c>
      <c r="BC21" s="95">
        <f t="shared" si="2"/>
        <v>11800000</v>
      </c>
      <c r="BD21" s="95">
        <f t="shared" si="2"/>
        <v>12000000</v>
      </c>
      <c r="BE21" s="95">
        <f t="shared" si="2"/>
        <v>12200000</v>
      </c>
      <c r="BF21" s="95">
        <f t="shared" si="2"/>
        <v>12400000</v>
      </c>
      <c r="BG21" s="95">
        <f t="shared" si="2"/>
        <v>12600000</v>
      </c>
      <c r="BH21" s="95">
        <f t="shared" si="2"/>
        <v>12800000</v>
      </c>
      <c r="BI21" s="95">
        <f t="shared" si="2"/>
        <v>13000000</v>
      </c>
      <c r="BJ21" s="95">
        <f t="shared" si="2"/>
        <v>13200000</v>
      </c>
      <c r="BK21" s="95">
        <f t="shared" si="2"/>
        <v>13400000</v>
      </c>
      <c r="BL21" s="95">
        <f t="shared" si="2"/>
        <v>13600000</v>
      </c>
      <c r="BM21" s="95">
        <f t="shared" si="2"/>
        <v>13800000</v>
      </c>
      <c r="BN21" s="95">
        <f t="shared" si="2"/>
        <v>14000000</v>
      </c>
      <c r="BO21" s="95">
        <f t="shared" si="2"/>
        <v>14200000</v>
      </c>
      <c r="BP21" s="95">
        <f t="shared" si="2"/>
        <v>14400000</v>
      </c>
      <c r="BQ21" s="95">
        <f t="shared" si="2"/>
        <v>14600000</v>
      </c>
      <c r="BR21" s="95">
        <f t="shared" si="2"/>
        <v>14800000</v>
      </c>
      <c r="BS21" s="95">
        <f t="shared" si="2"/>
        <v>15000000</v>
      </c>
      <c r="BT21" s="95">
        <f t="shared" si="2"/>
        <v>15200000</v>
      </c>
      <c r="BU21" s="95">
        <f t="shared" si="2"/>
        <v>15400000</v>
      </c>
      <c r="BV21" s="95">
        <f t="shared" si="2"/>
        <v>15600000</v>
      </c>
      <c r="BW21" s="95">
        <f t="shared" si="2"/>
        <v>15800000</v>
      </c>
      <c r="BX21" s="95">
        <f t="shared" si="2"/>
        <v>16000000</v>
      </c>
      <c r="BY21" s="95">
        <f t="shared" si="2"/>
        <v>16200000</v>
      </c>
      <c r="BZ21" s="95">
        <f t="shared" si="2"/>
        <v>16400000</v>
      </c>
      <c r="CA21" s="95">
        <f t="shared" si="2"/>
        <v>16600000</v>
      </c>
      <c r="CB21" s="95">
        <f t="shared" si="2"/>
        <v>16800000</v>
      </c>
      <c r="CC21" s="95">
        <f t="shared" si="2"/>
        <v>17000000</v>
      </c>
      <c r="CD21" s="5"/>
      <c r="CE21" s="87"/>
    </row>
    <row r="22" spans="1:83" s="30" customFormat="1" ht="15" customHeight="1" outlineLevel="1" x14ac:dyDescent="0.3">
      <c r="A22" s="44"/>
      <c r="D22" s="161" t="s">
        <v>62</v>
      </c>
      <c r="E22" s="86"/>
      <c r="F22" s="86"/>
      <c r="G22" s="86"/>
      <c r="H22" s="86"/>
      <c r="I22" s="31" t="s">
        <v>36</v>
      </c>
      <c r="J22" s="31"/>
      <c r="K22" s="31"/>
      <c r="L22" s="31"/>
      <c r="M22" s="32"/>
      <c r="N22" s="29"/>
      <c r="O22" s="283"/>
      <c r="P22" s="85">
        <f>IFERROR((P21-O21)/O21,0)</f>
        <v>0</v>
      </c>
      <c r="Q22" s="85">
        <f>IFERROR((Q21-P21)/P21,0)</f>
        <v>1.3408071748878925</v>
      </c>
      <c r="R22" s="85">
        <f>IFERROR((R21-Q21)/Q21,0)</f>
        <v>0.27586206896551724</v>
      </c>
      <c r="S22" s="85">
        <f>IFERROR((S21-R21)/R21,0)</f>
        <v>0.21621621621621623</v>
      </c>
      <c r="T22" s="85">
        <f>IFERROR((T21-S21)/S21,0)</f>
        <v>0.17777777777777778</v>
      </c>
      <c r="U22" s="283"/>
      <c r="V22" s="85">
        <f t="shared" ref="V22" si="3">IFERROR((V21-U21)/U21,0)</f>
        <v>0</v>
      </c>
      <c r="W22" s="85">
        <f t="shared" ref="W22" si="4">IFERROR((W21-V21)/V21,0)</f>
        <v>0</v>
      </c>
      <c r="X22" s="85">
        <f t="shared" ref="X22" si="5">IFERROR((X21-W21)/W21,0)</f>
        <v>0</v>
      </c>
      <c r="Y22" s="85">
        <f t="shared" ref="Y22" si="6">IFERROR((Y21-X21)/X21,0)</f>
        <v>0</v>
      </c>
      <c r="Z22" s="85">
        <f t="shared" ref="Z22" si="7">IFERROR((Z21-Y21)/Y21,0)</f>
        <v>0</v>
      </c>
      <c r="AA22" s="85">
        <f t="shared" ref="AA22" si="8">IFERROR((AA21-Z21)/Z21,0)</f>
        <v>0</v>
      </c>
      <c r="AB22" s="85">
        <f t="shared" ref="AB22" si="9">IFERROR((AB21-AA21)/AA21,0)</f>
        <v>0.1</v>
      </c>
      <c r="AC22" s="85">
        <f t="shared" ref="AC22" si="10">IFERROR((AC21-AB21)/AB21,0)</f>
        <v>9.0909090909090912E-2</v>
      </c>
      <c r="AD22" s="85">
        <f t="shared" ref="AD22" si="11">IFERROR((AD21-AC21)/AC21,0)</f>
        <v>8.3333333333333329E-2</v>
      </c>
      <c r="AE22" s="85">
        <f t="shared" ref="AE22" si="12">IFERROR((AE21-AD21)/AD21,0)</f>
        <v>7.6923076923076927E-2</v>
      </c>
      <c r="AF22" s="85">
        <f t="shared" ref="AF22" si="13">IFERROR((AF21-AE21)/AE21,0)</f>
        <v>2.8571428571428571E-2</v>
      </c>
      <c r="AG22" s="85">
        <f t="shared" ref="AG22" si="14">IFERROR((AG21-AF21)/AF21,0)</f>
        <v>2.7777777777777776E-2</v>
      </c>
      <c r="AH22" s="85">
        <f t="shared" ref="AH22" si="15">IFERROR((AH21-AG21)/AG21,0)</f>
        <v>2.7027027027027029E-2</v>
      </c>
      <c r="AI22" s="85">
        <f t="shared" ref="AI22" si="16">IFERROR((AI21-AH21)/AH21,0)</f>
        <v>2.6315789473684209E-2</v>
      </c>
      <c r="AJ22" s="85">
        <f t="shared" ref="AJ22" si="17">IFERROR((AJ21-AI21)/AI21,0)</f>
        <v>2.564102564102564E-2</v>
      </c>
      <c r="AK22" s="85">
        <f t="shared" ref="AK22" si="18">IFERROR((AK21-AJ21)/AJ21,0)</f>
        <v>2.5000000000000001E-2</v>
      </c>
      <c r="AL22" s="85">
        <f t="shared" ref="AL22" si="19">IFERROR((AL21-AK21)/AK21,0)</f>
        <v>2.4390243902439025E-2</v>
      </c>
      <c r="AM22" s="85">
        <f t="shared" ref="AM22" si="20">IFERROR((AM21-AL21)/AL21,0)</f>
        <v>2.3809523809523808E-2</v>
      </c>
      <c r="AN22" s="85">
        <f t="shared" ref="AN22" si="21">IFERROR((AN21-AM21)/AM21,0)</f>
        <v>2.3255813953488372E-2</v>
      </c>
      <c r="AO22" s="85">
        <f t="shared" ref="AO22" si="22">IFERROR((AO21-AN21)/AN21,0)</f>
        <v>2.2727272727272728E-2</v>
      </c>
      <c r="AP22" s="85">
        <f t="shared" ref="AP22" si="23">IFERROR((AP21-AO21)/AO21,0)</f>
        <v>2.2222222222222223E-2</v>
      </c>
      <c r="AQ22" s="85">
        <f t="shared" ref="AQ22" si="24">IFERROR((AQ21-AP21)/AP21,0)</f>
        <v>2.1739130434782608E-2</v>
      </c>
      <c r="AR22" s="85">
        <f t="shared" ref="AR22" si="25">IFERROR((AR21-AQ21)/AQ21,0)</f>
        <v>2.1276595744680851E-2</v>
      </c>
      <c r="AS22" s="85">
        <f t="shared" ref="AS22" si="26">IFERROR((AS21-AR21)/AR21,0)</f>
        <v>2.0833333333333332E-2</v>
      </c>
      <c r="AT22" s="85">
        <f t="shared" ref="AT22" si="27">IFERROR((AT21-AS21)/AS21,0)</f>
        <v>2.0408163265306121E-2</v>
      </c>
      <c r="AU22" s="85">
        <f t="shared" ref="AU22" si="28">IFERROR((AU21-AT21)/AT21,0)</f>
        <v>0.02</v>
      </c>
      <c r="AV22" s="85">
        <f t="shared" ref="AV22" si="29">IFERROR((AV21-AU21)/AU21,0)</f>
        <v>1.9607843137254902E-2</v>
      </c>
      <c r="AW22" s="85">
        <f t="shared" ref="AW22" si="30">IFERROR((AW21-AV21)/AV21,0)</f>
        <v>1.9230769230769232E-2</v>
      </c>
      <c r="AX22" s="85">
        <f t="shared" ref="AX22" si="31">IFERROR((AX21-AW21)/AW21,0)</f>
        <v>1.8867924528301886E-2</v>
      </c>
      <c r="AY22" s="85">
        <f t="shared" ref="AY22" si="32">IFERROR((AY21-AX21)/AX21,0)</f>
        <v>1.8518518518518517E-2</v>
      </c>
      <c r="AZ22" s="85">
        <f t="shared" ref="AZ22" si="33">IFERROR((AZ21-AY21)/AY21,0)</f>
        <v>1.8181818181818181E-2</v>
      </c>
      <c r="BA22" s="85">
        <f t="shared" ref="BA22" si="34">IFERROR((BA21-AZ21)/AZ21,0)</f>
        <v>1.7857142857142856E-2</v>
      </c>
      <c r="BB22" s="85">
        <f t="shared" ref="BB22" si="35">IFERROR((BB21-BA21)/BA21,0)</f>
        <v>1.7543859649122806E-2</v>
      </c>
      <c r="BC22" s="85">
        <f t="shared" ref="BC22" si="36">IFERROR((BC21-BB21)/BB21,0)</f>
        <v>1.7241379310344827E-2</v>
      </c>
      <c r="BD22" s="85">
        <f t="shared" ref="BD22" si="37">IFERROR((BD21-BC21)/BC21,0)</f>
        <v>1.6949152542372881E-2</v>
      </c>
      <c r="BE22" s="85">
        <f t="shared" ref="BE22" si="38">IFERROR((BE21-BD21)/BD21,0)</f>
        <v>1.6666666666666666E-2</v>
      </c>
      <c r="BF22" s="85">
        <f t="shared" ref="BF22" si="39">IFERROR((BF21-BE21)/BE21,0)</f>
        <v>1.6393442622950821E-2</v>
      </c>
      <c r="BG22" s="85">
        <f t="shared" ref="BG22" si="40">IFERROR((BG21-BF21)/BF21,0)</f>
        <v>1.6129032258064516E-2</v>
      </c>
      <c r="BH22" s="85">
        <f t="shared" ref="BH22" si="41">IFERROR((BH21-BG21)/BG21,0)</f>
        <v>1.5873015873015872E-2</v>
      </c>
      <c r="BI22" s="85">
        <f t="shared" ref="BI22" si="42">IFERROR((BI21-BH21)/BH21,0)</f>
        <v>1.5625E-2</v>
      </c>
      <c r="BJ22" s="85">
        <f t="shared" ref="BJ22" si="43">IFERROR((BJ21-BI21)/BI21,0)</f>
        <v>1.5384615384615385E-2</v>
      </c>
      <c r="BK22" s="85">
        <f t="shared" ref="BK22" si="44">IFERROR((BK21-BJ21)/BJ21,0)</f>
        <v>1.5151515151515152E-2</v>
      </c>
      <c r="BL22" s="85">
        <f t="shared" ref="BL22" si="45">IFERROR((BL21-BK21)/BK21,0)</f>
        <v>1.4925373134328358E-2</v>
      </c>
      <c r="BM22" s="85">
        <f t="shared" ref="BM22" si="46">IFERROR((BM21-BL21)/BL21,0)</f>
        <v>1.4705882352941176E-2</v>
      </c>
      <c r="BN22" s="85">
        <f t="shared" ref="BN22" si="47">IFERROR((BN21-BM21)/BM21,0)</f>
        <v>1.4492753623188406E-2</v>
      </c>
      <c r="BO22" s="85">
        <f t="shared" ref="BO22" si="48">IFERROR((BO21-BN21)/BN21,0)</f>
        <v>1.4285714285714285E-2</v>
      </c>
      <c r="BP22" s="85">
        <f t="shared" ref="BP22" si="49">IFERROR((BP21-BO21)/BO21,0)</f>
        <v>1.4084507042253521E-2</v>
      </c>
      <c r="BQ22" s="85">
        <f t="shared" ref="BQ22" si="50">IFERROR((BQ21-BP21)/BP21,0)</f>
        <v>1.3888888888888888E-2</v>
      </c>
      <c r="BR22" s="85">
        <f t="shared" ref="BR22" si="51">IFERROR((BR21-BQ21)/BQ21,0)</f>
        <v>1.3698630136986301E-2</v>
      </c>
      <c r="BS22" s="85">
        <f t="shared" ref="BS22" si="52">IFERROR((BS21-BR21)/BR21,0)</f>
        <v>1.3513513513513514E-2</v>
      </c>
      <c r="BT22" s="85">
        <f t="shared" ref="BT22" si="53">IFERROR((BT21-BS21)/BS21,0)</f>
        <v>1.3333333333333334E-2</v>
      </c>
      <c r="BU22" s="85">
        <f t="shared" ref="BU22" si="54">IFERROR((BU21-BT21)/BT21,0)</f>
        <v>1.3157894736842105E-2</v>
      </c>
      <c r="BV22" s="85">
        <f t="shared" ref="BV22" si="55">IFERROR((BV21-BU21)/BU21,0)</f>
        <v>1.2987012987012988E-2</v>
      </c>
      <c r="BW22" s="85">
        <f t="shared" ref="BW22" si="56">IFERROR((BW21-BV21)/BV21,0)</f>
        <v>1.282051282051282E-2</v>
      </c>
      <c r="BX22" s="85">
        <f t="shared" ref="BX22" si="57">IFERROR((BX21-BW21)/BW21,0)</f>
        <v>1.2658227848101266E-2</v>
      </c>
      <c r="BY22" s="85">
        <f t="shared" ref="BY22" si="58">IFERROR((BY21-BX21)/BX21,0)</f>
        <v>1.2500000000000001E-2</v>
      </c>
      <c r="BZ22" s="85">
        <f t="shared" ref="BZ22" si="59">IFERROR((BZ21-BY21)/BY21,0)</f>
        <v>1.2345679012345678E-2</v>
      </c>
      <c r="CA22" s="85">
        <f t="shared" ref="CA22" si="60">IFERROR((CA21-BZ21)/BZ21,0)</f>
        <v>1.2195121951219513E-2</v>
      </c>
      <c r="CB22" s="85">
        <f t="shared" ref="CB22" si="61">IFERROR((CB21-CA21)/CA21,0)</f>
        <v>1.2048192771084338E-2</v>
      </c>
      <c r="CC22" s="85">
        <f t="shared" ref="CC22" si="62">IFERROR((CC21-CB21)/CB21,0)</f>
        <v>1.1904761904761904E-2</v>
      </c>
      <c r="CD22" s="55"/>
      <c r="CE22" s="44"/>
    </row>
    <row r="23" spans="1:83" s="30" customFormat="1" ht="15" customHeight="1" outlineLevel="1" x14ac:dyDescent="0.3">
      <c r="A23" s="44"/>
      <c r="D23" s="140"/>
      <c r="E23" s="41"/>
      <c r="F23" s="41"/>
      <c r="G23" s="41"/>
      <c r="H23" s="41"/>
      <c r="I23" s="31"/>
      <c r="J23" s="31"/>
      <c r="K23" s="31"/>
      <c r="L23" s="31"/>
      <c r="M23" s="46"/>
      <c r="N23" s="29"/>
      <c r="O23" s="283"/>
      <c r="P23" s="55"/>
      <c r="Q23" s="55"/>
      <c r="R23" s="55"/>
      <c r="S23" s="55"/>
      <c r="T23" s="55"/>
      <c r="U23" s="283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44"/>
    </row>
    <row r="24" spans="1:83" s="22" customFormat="1" ht="15" customHeight="1" outlineLevel="1" x14ac:dyDescent="0.3">
      <c r="A24" s="51"/>
      <c r="D24" s="220" t="s">
        <v>63</v>
      </c>
      <c r="E24" s="221"/>
      <c r="F24" s="221"/>
      <c r="G24" s="221"/>
      <c r="H24" s="221"/>
      <c r="I24" s="209" t="str">
        <f>Ввод!$M$12</f>
        <v>руб</v>
      </c>
      <c r="J24" s="209"/>
      <c r="K24" s="209"/>
      <c r="L24" s="209"/>
      <c r="M24" s="210"/>
      <c r="N24" s="230">
        <f t="shared" ref="N24" si="63">SUM(P24:T24)</f>
        <v>635000000</v>
      </c>
      <c r="O24" s="139"/>
      <c r="P24" s="230">
        <f>SUMIF($V$4:$EK$4,P$4,$V24:$EK24)</f>
        <v>44600000</v>
      </c>
      <c r="Q24" s="230">
        <f>SUMIF($V$4:$EK$4,Q$4,$V24:$EK24)</f>
        <v>104400000</v>
      </c>
      <c r="R24" s="230">
        <f>SUMIF($V$4:$EK$4,R$4,$V24:$EK24)</f>
        <v>133200000</v>
      </c>
      <c r="S24" s="230">
        <f>SUMIF($V$4:$EK$4,S$4,$V24:$EK24)</f>
        <v>162000000</v>
      </c>
      <c r="T24" s="230">
        <f>SUMIF($V$4:$EK$4,T$4,$V24:$EK24)</f>
        <v>190800000</v>
      </c>
      <c r="U24" s="139"/>
      <c r="V24" s="230">
        <f>V21</f>
        <v>0</v>
      </c>
      <c r="W24" s="230">
        <f t="shared" ref="W24:CC24" si="64">W21</f>
        <v>0</v>
      </c>
      <c r="X24" s="230">
        <f t="shared" si="64"/>
        <v>0</v>
      </c>
      <c r="Y24" s="230">
        <f t="shared" si="64"/>
        <v>0</v>
      </c>
      <c r="Z24" s="230">
        <f t="shared" si="64"/>
        <v>0</v>
      </c>
      <c r="AA24" s="230">
        <f t="shared" si="64"/>
        <v>5000000</v>
      </c>
      <c r="AB24" s="230">
        <f t="shared" si="64"/>
        <v>5500000</v>
      </c>
      <c r="AC24" s="230">
        <f t="shared" si="64"/>
        <v>6000000</v>
      </c>
      <c r="AD24" s="230">
        <f t="shared" si="64"/>
        <v>6500000</v>
      </c>
      <c r="AE24" s="230">
        <f t="shared" si="64"/>
        <v>7000000</v>
      </c>
      <c r="AF24" s="230">
        <f t="shared" si="64"/>
        <v>7200000</v>
      </c>
      <c r="AG24" s="230">
        <f t="shared" si="64"/>
        <v>7400000</v>
      </c>
      <c r="AH24" s="230">
        <f t="shared" si="64"/>
        <v>7600000</v>
      </c>
      <c r="AI24" s="230">
        <f t="shared" si="64"/>
        <v>7800000</v>
      </c>
      <c r="AJ24" s="230">
        <f t="shared" si="64"/>
        <v>8000000</v>
      </c>
      <c r="AK24" s="230">
        <f t="shared" si="64"/>
        <v>8200000</v>
      </c>
      <c r="AL24" s="230">
        <f t="shared" si="64"/>
        <v>8400000</v>
      </c>
      <c r="AM24" s="230">
        <f t="shared" si="64"/>
        <v>8600000</v>
      </c>
      <c r="AN24" s="230">
        <f t="shared" si="64"/>
        <v>8800000</v>
      </c>
      <c r="AO24" s="230">
        <f t="shared" si="64"/>
        <v>9000000</v>
      </c>
      <c r="AP24" s="230">
        <f t="shared" si="64"/>
        <v>9200000</v>
      </c>
      <c r="AQ24" s="230">
        <f t="shared" si="64"/>
        <v>9400000</v>
      </c>
      <c r="AR24" s="230">
        <f t="shared" si="64"/>
        <v>9600000</v>
      </c>
      <c r="AS24" s="230">
        <f t="shared" si="64"/>
        <v>9800000</v>
      </c>
      <c r="AT24" s="230">
        <f t="shared" si="64"/>
        <v>10000000</v>
      </c>
      <c r="AU24" s="230">
        <f t="shared" si="64"/>
        <v>10200000</v>
      </c>
      <c r="AV24" s="230">
        <f t="shared" si="64"/>
        <v>10400000</v>
      </c>
      <c r="AW24" s="230">
        <f t="shared" si="64"/>
        <v>10600000</v>
      </c>
      <c r="AX24" s="230">
        <f t="shared" si="64"/>
        <v>10800000</v>
      </c>
      <c r="AY24" s="230">
        <f t="shared" si="64"/>
        <v>11000000</v>
      </c>
      <c r="AZ24" s="230">
        <f t="shared" si="64"/>
        <v>11200000</v>
      </c>
      <c r="BA24" s="230">
        <f t="shared" si="64"/>
        <v>11400000</v>
      </c>
      <c r="BB24" s="230">
        <f t="shared" si="64"/>
        <v>11600000</v>
      </c>
      <c r="BC24" s="230">
        <f t="shared" si="64"/>
        <v>11800000</v>
      </c>
      <c r="BD24" s="230">
        <f t="shared" si="64"/>
        <v>12000000</v>
      </c>
      <c r="BE24" s="230">
        <f t="shared" si="64"/>
        <v>12200000</v>
      </c>
      <c r="BF24" s="230">
        <f t="shared" si="64"/>
        <v>12400000</v>
      </c>
      <c r="BG24" s="230">
        <f t="shared" si="64"/>
        <v>12600000</v>
      </c>
      <c r="BH24" s="230">
        <f t="shared" si="64"/>
        <v>12800000</v>
      </c>
      <c r="BI24" s="230">
        <f t="shared" si="64"/>
        <v>13000000</v>
      </c>
      <c r="BJ24" s="230">
        <f t="shared" si="64"/>
        <v>13200000</v>
      </c>
      <c r="BK24" s="230">
        <f t="shared" si="64"/>
        <v>13400000</v>
      </c>
      <c r="BL24" s="230">
        <f t="shared" si="64"/>
        <v>13600000</v>
      </c>
      <c r="BM24" s="230">
        <f t="shared" si="64"/>
        <v>13800000</v>
      </c>
      <c r="BN24" s="230">
        <f t="shared" si="64"/>
        <v>14000000</v>
      </c>
      <c r="BO24" s="230">
        <f t="shared" si="64"/>
        <v>14200000</v>
      </c>
      <c r="BP24" s="230">
        <f t="shared" si="64"/>
        <v>14400000</v>
      </c>
      <c r="BQ24" s="230">
        <f t="shared" si="64"/>
        <v>14600000</v>
      </c>
      <c r="BR24" s="230">
        <f t="shared" si="64"/>
        <v>14800000</v>
      </c>
      <c r="BS24" s="230">
        <f t="shared" si="64"/>
        <v>15000000</v>
      </c>
      <c r="BT24" s="230">
        <f t="shared" si="64"/>
        <v>15200000</v>
      </c>
      <c r="BU24" s="230">
        <f t="shared" si="64"/>
        <v>15400000</v>
      </c>
      <c r="BV24" s="230">
        <f t="shared" si="64"/>
        <v>15600000</v>
      </c>
      <c r="BW24" s="230">
        <f t="shared" si="64"/>
        <v>15800000</v>
      </c>
      <c r="BX24" s="230">
        <f t="shared" si="64"/>
        <v>16000000</v>
      </c>
      <c r="BY24" s="230">
        <f t="shared" si="64"/>
        <v>16200000</v>
      </c>
      <c r="BZ24" s="230">
        <f t="shared" si="64"/>
        <v>16400000</v>
      </c>
      <c r="CA24" s="230">
        <f t="shared" si="64"/>
        <v>16600000</v>
      </c>
      <c r="CB24" s="230">
        <f t="shared" si="64"/>
        <v>16800000</v>
      </c>
      <c r="CC24" s="230">
        <f t="shared" si="64"/>
        <v>17000000</v>
      </c>
      <c r="CE24" s="51"/>
    </row>
    <row r="25" spans="1:83" s="30" customFormat="1" ht="15" customHeight="1" outlineLevel="1" x14ac:dyDescent="0.3">
      <c r="A25" s="44"/>
      <c r="D25" s="161" t="s">
        <v>62</v>
      </c>
      <c r="E25" s="86"/>
      <c r="F25" s="86"/>
      <c r="G25" s="86"/>
      <c r="H25" s="86"/>
      <c r="I25" s="31" t="s">
        <v>36</v>
      </c>
      <c r="J25" s="31"/>
      <c r="K25" s="31"/>
      <c r="L25" s="31"/>
      <c r="M25" s="32"/>
      <c r="N25" s="29"/>
      <c r="O25" s="97"/>
      <c r="P25" s="85">
        <f>IFERROR((P24-O24)/O24,0)</f>
        <v>0</v>
      </c>
      <c r="Q25" s="85">
        <f>IFERROR((Q24-P24)/P24,0)</f>
        <v>1.3408071748878925</v>
      </c>
      <c r="R25" s="85">
        <f>IFERROR((R24-Q24)/Q24,0)</f>
        <v>0.27586206896551724</v>
      </c>
      <c r="S25" s="85">
        <f>IFERROR((S24-R24)/R24,0)</f>
        <v>0.21621621621621623</v>
      </c>
      <c r="T25" s="85">
        <f>IFERROR((T24-S24)/S24,0)</f>
        <v>0.17777777777777778</v>
      </c>
      <c r="U25" s="97"/>
      <c r="V25" s="85">
        <f t="shared" ref="V25:BA25" si="65">IFERROR((V24-U24)/U24,0)</f>
        <v>0</v>
      </c>
      <c r="W25" s="85">
        <f t="shared" si="65"/>
        <v>0</v>
      </c>
      <c r="X25" s="85">
        <f t="shared" si="65"/>
        <v>0</v>
      </c>
      <c r="Y25" s="85">
        <f t="shared" si="65"/>
        <v>0</v>
      </c>
      <c r="Z25" s="85">
        <f t="shared" si="65"/>
        <v>0</v>
      </c>
      <c r="AA25" s="85">
        <f t="shared" si="65"/>
        <v>0</v>
      </c>
      <c r="AB25" s="85">
        <f t="shared" si="65"/>
        <v>0.1</v>
      </c>
      <c r="AC25" s="85">
        <f t="shared" si="65"/>
        <v>9.0909090909090912E-2</v>
      </c>
      <c r="AD25" s="85">
        <f t="shared" si="65"/>
        <v>8.3333333333333329E-2</v>
      </c>
      <c r="AE25" s="85">
        <f t="shared" si="65"/>
        <v>7.6923076923076927E-2</v>
      </c>
      <c r="AF25" s="85">
        <f t="shared" si="65"/>
        <v>2.8571428571428571E-2</v>
      </c>
      <c r="AG25" s="85">
        <f t="shared" si="65"/>
        <v>2.7777777777777776E-2</v>
      </c>
      <c r="AH25" s="85">
        <f t="shared" si="65"/>
        <v>2.7027027027027029E-2</v>
      </c>
      <c r="AI25" s="85">
        <f t="shared" si="65"/>
        <v>2.6315789473684209E-2</v>
      </c>
      <c r="AJ25" s="85">
        <f t="shared" si="65"/>
        <v>2.564102564102564E-2</v>
      </c>
      <c r="AK25" s="85">
        <f t="shared" si="65"/>
        <v>2.5000000000000001E-2</v>
      </c>
      <c r="AL25" s="85">
        <f t="shared" si="65"/>
        <v>2.4390243902439025E-2</v>
      </c>
      <c r="AM25" s="85">
        <f t="shared" si="65"/>
        <v>2.3809523809523808E-2</v>
      </c>
      <c r="AN25" s="85">
        <f t="shared" si="65"/>
        <v>2.3255813953488372E-2</v>
      </c>
      <c r="AO25" s="85">
        <f t="shared" si="65"/>
        <v>2.2727272727272728E-2</v>
      </c>
      <c r="AP25" s="85">
        <f t="shared" si="65"/>
        <v>2.2222222222222223E-2</v>
      </c>
      <c r="AQ25" s="85">
        <f t="shared" si="65"/>
        <v>2.1739130434782608E-2</v>
      </c>
      <c r="AR25" s="85">
        <f t="shared" si="65"/>
        <v>2.1276595744680851E-2</v>
      </c>
      <c r="AS25" s="85">
        <f t="shared" si="65"/>
        <v>2.0833333333333332E-2</v>
      </c>
      <c r="AT25" s="85">
        <f t="shared" si="65"/>
        <v>2.0408163265306121E-2</v>
      </c>
      <c r="AU25" s="85">
        <f t="shared" si="65"/>
        <v>0.02</v>
      </c>
      <c r="AV25" s="85">
        <f t="shared" si="65"/>
        <v>1.9607843137254902E-2</v>
      </c>
      <c r="AW25" s="85">
        <f t="shared" si="65"/>
        <v>1.9230769230769232E-2</v>
      </c>
      <c r="AX25" s="85">
        <f t="shared" si="65"/>
        <v>1.8867924528301886E-2</v>
      </c>
      <c r="AY25" s="85">
        <f t="shared" si="65"/>
        <v>1.8518518518518517E-2</v>
      </c>
      <c r="AZ25" s="85">
        <f t="shared" si="65"/>
        <v>1.8181818181818181E-2</v>
      </c>
      <c r="BA25" s="85">
        <f t="shared" si="65"/>
        <v>1.7857142857142856E-2</v>
      </c>
      <c r="BB25" s="85">
        <f t="shared" ref="BB25:CC25" si="66">IFERROR((BB24-BA24)/BA24,0)</f>
        <v>1.7543859649122806E-2</v>
      </c>
      <c r="BC25" s="85">
        <f t="shared" si="66"/>
        <v>1.7241379310344827E-2</v>
      </c>
      <c r="BD25" s="85">
        <f t="shared" si="66"/>
        <v>1.6949152542372881E-2</v>
      </c>
      <c r="BE25" s="85">
        <f t="shared" si="66"/>
        <v>1.6666666666666666E-2</v>
      </c>
      <c r="BF25" s="85">
        <f t="shared" si="66"/>
        <v>1.6393442622950821E-2</v>
      </c>
      <c r="BG25" s="85">
        <f t="shared" si="66"/>
        <v>1.6129032258064516E-2</v>
      </c>
      <c r="BH25" s="85">
        <f t="shared" si="66"/>
        <v>1.5873015873015872E-2</v>
      </c>
      <c r="BI25" s="85">
        <f t="shared" si="66"/>
        <v>1.5625E-2</v>
      </c>
      <c r="BJ25" s="85">
        <f t="shared" si="66"/>
        <v>1.5384615384615385E-2</v>
      </c>
      <c r="BK25" s="85">
        <f t="shared" si="66"/>
        <v>1.5151515151515152E-2</v>
      </c>
      <c r="BL25" s="85">
        <f t="shared" si="66"/>
        <v>1.4925373134328358E-2</v>
      </c>
      <c r="BM25" s="85">
        <f t="shared" si="66"/>
        <v>1.4705882352941176E-2</v>
      </c>
      <c r="BN25" s="85">
        <f t="shared" si="66"/>
        <v>1.4492753623188406E-2</v>
      </c>
      <c r="BO25" s="85">
        <f t="shared" si="66"/>
        <v>1.4285714285714285E-2</v>
      </c>
      <c r="BP25" s="85">
        <f t="shared" si="66"/>
        <v>1.4084507042253521E-2</v>
      </c>
      <c r="BQ25" s="85">
        <f t="shared" si="66"/>
        <v>1.3888888888888888E-2</v>
      </c>
      <c r="BR25" s="85">
        <f t="shared" si="66"/>
        <v>1.3698630136986301E-2</v>
      </c>
      <c r="BS25" s="85">
        <f t="shared" si="66"/>
        <v>1.3513513513513514E-2</v>
      </c>
      <c r="BT25" s="85">
        <f t="shared" si="66"/>
        <v>1.3333333333333334E-2</v>
      </c>
      <c r="BU25" s="85">
        <f t="shared" si="66"/>
        <v>1.3157894736842105E-2</v>
      </c>
      <c r="BV25" s="85">
        <f t="shared" si="66"/>
        <v>1.2987012987012988E-2</v>
      </c>
      <c r="BW25" s="85">
        <f t="shared" si="66"/>
        <v>1.282051282051282E-2</v>
      </c>
      <c r="BX25" s="85">
        <f t="shared" si="66"/>
        <v>1.2658227848101266E-2</v>
      </c>
      <c r="BY25" s="85">
        <f t="shared" si="66"/>
        <v>1.2500000000000001E-2</v>
      </c>
      <c r="BZ25" s="85">
        <f t="shared" si="66"/>
        <v>1.2345679012345678E-2</v>
      </c>
      <c r="CA25" s="85">
        <f t="shared" si="66"/>
        <v>1.2195121951219513E-2</v>
      </c>
      <c r="CB25" s="85">
        <f t="shared" si="66"/>
        <v>1.2048192771084338E-2</v>
      </c>
      <c r="CC25" s="85">
        <f t="shared" si="66"/>
        <v>1.1904761904761904E-2</v>
      </c>
      <c r="CD25" s="55"/>
      <c r="CE25" s="44"/>
    </row>
    <row r="26" spans="1:83" s="23" customFormat="1" ht="15" customHeight="1" x14ac:dyDescent="0.3">
      <c r="A26" s="111"/>
      <c r="B26" s="110"/>
      <c r="C26" s="110"/>
      <c r="D26" s="131"/>
      <c r="E26" s="114"/>
      <c r="F26" s="114"/>
      <c r="G26" s="114"/>
      <c r="H26" s="114"/>
      <c r="I26" s="114"/>
      <c r="J26" s="114"/>
      <c r="K26" s="114"/>
      <c r="L26" s="114"/>
      <c r="M26" s="110"/>
      <c r="N26" s="110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97"/>
      <c r="BF26" s="97"/>
      <c r="BG26" s="97"/>
      <c r="BH26" s="97"/>
      <c r="BI26" s="97"/>
      <c r="BJ26" s="97"/>
      <c r="BK26" s="97"/>
      <c r="BL26" s="97"/>
      <c r="BM26" s="97"/>
      <c r="BN26" s="97"/>
      <c r="BO26" s="97"/>
      <c r="BP26" s="97"/>
      <c r="BQ26" s="97"/>
      <c r="BR26" s="97"/>
      <c r="BS26" s="97"/>
      <c r="BT26" s="97"/>
      <c r="BU26" s="97"/>
      <c r="BV26" s="97"/>
      <c r="BW26" s="97"/>
      <c r="BX26" s="97"/>
      <c r="BY26" s="97"/>
      <c r="BZ26" s="97"/>
      <c r="CA26" s="97"/>
      <c r="CB26" s="97"/>
      <c r="CC26" s="97"/>
      <c r="CD26" s="110"/>
      <c r="CE26" s="111"/>
    </row>
    <row r="27" spans="1:83" s="23" customFormat="1" ht="15" customHeight="1" x14ac:dyDescent="0.3">
      <c r="A27" s="111"/>
      <c r="B27" s="110"/>
      <c r="C27" s="110"/>
      <c r="D27" s="133" t="s">
        <v>64</v>
      </c>
      <c r="E27" s="123"/>
      <c r="F27" s="123"/>
      <c r="G27" s="123"/>
      <c r="H27" s="123"/>
      <c r="I27" s="124"/>
      <c r="J27" s="124"/>
      <c r="K27" s="124"/>
      <c r="L27" s="124"/>
      <c r="M27" s="125"/>
      <c r="N27" s="126"/>
      <c r="O27" s="97"/>
      <c r="P27" s="126"/>
      <c r="Q27" s="126"/>
      <c r="R27" s="126"/>
      <c r="S27" s="126"/>
      <c r="T27" s="126"/>
      <c r="U27" s="97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12"/>
      <c r="CE27" s="111"/>
    </row>
    <row r="28" spans="1:83" s="45" customFormat="1" ht="15" customHeight="1" outlineLevel="1" x14ac:dyDescent="0.3">
      <c r="A28" s="111"/>
      <c r="B28" s="30"/>
      <c r="C28" s="110"/>
      <c r="D28" s="134"/>
      <c r="E28" s="28"/>
      <c r="F28" s="28"/>
      <c r="G28" s="28"/>
      <c r="H28" s="28"/>
      <c r="I28" s="6"/>
      <c r="J28" s="6"/>
      <c r="K28" s="6"/>
      <c r="L28" s="6"/>
      <c r="M28" s="49"/>
      <c r="N28" s="5"/>
      <c r="O28" s="97"/>
      <c r="P28" s="5"/>
      <c r="Q28" s="5"/>
      <c r="R28" s="5"/>
      <c r="S28" s="5"/>
      <c r="T28" s="5"/>
      <c r="U28" s="97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4"/>
      <c r="BS28" s="64"/>
      <c r="BT28" s="64"/>
      <c r="BU28" s="64"/>
      <c r="BV28" s="64"/>
      <c r="BW28" s="64"/>
      <c r="BX28" s="64"/>
      <c r="BY28" s="64"/>
      <c r="BZ28" s="64"/>
      <c r="CA28" s="64"/>
      <c r="CB28" s="64"/>
      <c r="CC28" s="64"/>
      <c r="CD28" s="50"/>
      <c r="CE28" s="111"/>
    </row>
    <row r="29" spans="1:83" s="30" customFormat="1" ht="15" customHeight="1" outlineLevel="1" x14ac:dyDescent="0.3">
      <c r="A29" s="44"/>
      <c r="D29" s="141" t="s">
        <v>60</v>
      </c>
      <c r="E29" s="39"/>
      <c r="F29" s="39"/>
      <c r="G29" s="39"/>
      <c r="H29" s="39"/>
      <c r="I29" s="31"/>
      <c r="J29" s="31"/>
      <c r="K29" s="31"/>
      <c r="L29" s="31"/>
      <c r="M29" s="68"/>
      <c r="N29" s="29"/>
      <c r="O29" s="97"/>
      <c r="P29" s="29"/>
      <c r="Q29" s="29"/>
      <c r="R29" s="29"/>
      <c r="S29" s="29"/>
      <c r="T29" s="29"/>
      <c r="U29" s="97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  <c r="BZ29" s="46"/>
      <c r="CA29" s="46"/>
      <c r="CB29" s="46"/>
      <c r="CC29" s="46"/>
      <c r="CE29" s="44"/>
    </row>
    <row r="30" spans="1:83" s="30" customFormat="1" ht="15" customHeight="1" outlineLevel="1" x14ac:dyDescent="0.3">
      <c r="A30" s="44"/>
      <c r="D30" s="145"/>
      <c r="E30" s="56"/>
      <c r="F30" s="56"/>
      <c r="G30" s="56"/>
      <c r="H30" s="56"/>
      <c r="I30" s="52"/>
      <c r="J30" s="52"/>
      <c r="K30" s="52"/>
      <c r="L30" s="52"/>
      <c r="M30" s="47"/>
      <c r="N30" s="285"/>
      <c r="O30" s="283"/>
      <c r="P30" s="286"/>
      <c r="Q30" s="286"/>
      <c r="R30" s="286"/>
      <c r="S30" s="286"/>
      <c r="T30" s="286"/>
      <c r="U30" s="283"/>
      <c r="V30" s="287"/>
      <c r="W30" s="287"/>
      <c r="X30" s="287"/>
      <c r="Y30" s="287"/>
      <c r="Z30" s="287"/>
      <c r="AA30" s="287"/>
      <c r="AB30" s="287"/>
      <c r="AC30" s="287"/>
      <c r="AD30" s="287"/>
      <c r="AE30" s="287"/>
      <c r="AF30" s="287"/>
      <c r="AG30" s="287"/>
      <c r="AH30" s="287"/>
      <c r="AI30" s="287"/>
      <c r="AJ30" s="287"/>
      <c r="AK30" s="287"/>
      <c r="AL30" s="287"/>
      <c r="AM30" s="287"/>
      <c r="AN30" s="287"/>
      <c r="AO30" s="287"/>
      <c r="AP30" s="287"/>
      <c r="AQ30" s="287"/>
      <c r="AR30" s="287"/>
      <c r="AS30" s="287"/>
      <c r="AT30" s="287"/>
      <c r="AU30" s="287"/>
      <c r="AV30" s="287"/>
      <c r="AW30" s="287"/>
      <c r="AX30" s="287"/>
      <c r="AY30" s="287"/>
      <c r="AZ30" s="287"/>
      <c r="BA30" s="287"/>
      <c r="BB30" s="287"/>
      <c r="BC30" s="287"/>
      <c r="BD30" s="287"/>
      <c r="BE30" s="287"/>
      <c r="BF30" s="287"/>
      <c r="BG30" s="287"/>
      <c r="BH30" s="287"/>
      <c r="BI30" s="287"/>
      <c r="BJ30" s="287"/>
      <c r="BK30" s="287"/>
      <c r="BL30" s="287"/>
      <c r="BM30" s="287"/>
      <c r="BN30" s="287"/>
      <c r="BO30" s="287"/>
      <c r="BP30" s="287"/>
      <c r="BQ30" s="287"/>
      <c r="BR30" s="287"/>
      <c r="BS30" s="287"/>
      <c r="BT30" s="287"/>
      <c r="BU30" s="287"/>
      <c r="BV30" s="287"/>
      <c r="BW30" s="287"/>
      <c r="BX30" s="287"/>
      <c r="BY30" s="287"/>
      <c r="BZ30" s="287"/>
      <c r="CA30" s="287"/>
      <c r="CB30" s="287"/>
      <c r="CC30" s="287"/>
      <c r="CD30" s="29"/>
      <c r="CE30" s="44"/>
    </row>
    <row r="31" spans="1:83" s="30" customFormat="1" ht="15" customHeight="1" outlineLevel="1" x14ac:dyDescent="0.3">
      <c r="A31" s="44"/>
      <c r="D31" s="145"/>
      <c r="E31" s="56"/>
      <c r="F31" s="56"/>
      <c r="G31" s="56"/>
      <c r="H31" s="56"/>
      <c r="I31" s="52"/>
      <c r="J31" s="52"/>
      <c r="K31" s="52"/>
      <c r="L31" s="52"/>
      <c r="M31" s="47"/>
      <c r="N31" s="285"/>
      <c r="O31" s="283"/>
      <c r="P31" s="286"/>
      <c r="Q31" s="286"/>
      <c r="R31" s="286"/>
      <c r="S31" s="286"/>
      <c r="T31" s="286"/>
      <c r="U31" s="283"/>
      <c r="V31" s="287"/>
      <c r="W31" s="287"/>
      <c r="X31" s="287"/>
      <c r="Y31" s="287"/>
      <c r="Z31" s="287"/>
      <c r="AA31" s="287"/>
      <c r="AB31" s="287"/>
      <c r="AC31" s="287"/>
      <c r="AD31" s="287"/>
      <c r="AE31" s="287"/>
      <c r="AF31" s="287"/>
      <c r="AG31" s="287"/>
      <c r="AH31" s="287"/>
      <c r="AI31" s="287"/>
      <c r="AJ31" s="287"/>
      <c r="AK31" s="287"/>
      <c r="AL31" s="287"/>
      <c r="AM31" s="287"/>
      <c r="AN31" s="287"/>
      <c r="AO31" s="287"/>
      <c r="AP31" s="287"/>
      <c r="AQ31" s="287"/>
      <c r="AR31" s="287"/>
      <c r="AS31" s="287"/>
      <c r="AT31" s="287"/>
      <c r="AU31" s="287"/>
      <c r="AV31" s="287"/>
      <c r="AW31" s="287"/>
      <c r="AX31" s="287"/>
      <c r="AY31" s="287"/>
      <c r="AZ31" s="287"/>
      <c r="BA31" s="287"/>
      <c r="BB31" s="287"/>
      <c r="BC31" s="287"/>
      <c r="BD31" s="287"/>
      <c r="BE31" s="287"/>
      <c r="BF31" s="287"/>
      <c r="BG31" s="287"/>
      <c r="BH31" s="287"/>
      <c r="BI31" s="287"/>
      <c r="BJ31" s="287"/>
      <c r="BK31" s="287"/>
      <c r="BL31" s="287"/>
      <c r="BM31" s="287"/>
      <c r="BN31" s="287"/>
      <c r="BO31" s="287"/>
      <c r="BP31" s="287"/>
      <c r="BQ31" s="287"/>
      <c r="BR31" s="287"/>
      <c r="BS31" s="287"/>
      <c r="BT31" s="287"/>
      <c r="BU31" s="287"/>
      <c r="BV31" s="287"/>
      <c r="BW31" s="287"/>
      <c r="BX31" s="287"/>
      <c r="BY31" s="287"/>
      <c r="BZ31" s="287"/>
      <c r="CA31" s="287"/>
      <c r="CB31" s="287"/>
      <c r="CC31" s="287"/>
      <c r="CD31" s="29"/>
      <c r="CE31" s="44"/>
    </row>
    <row r="32" spans="1:83" s="30" customFormat="1" ht="15" customHeight="1" outlineLevel="1" x14ac:dyDescent="0.3">
      <c r="A32" s="44"/>
      <c r="D32" s="141"/>
      <c r="E32" s="39"/>
      <c r="F32" s="39"/>
      <c r="G32" s="39"/>
      <c r="H32" s="39"/>
      <c r="I32" s="31"/>
      <c r="J32" s="31"/>
      <c r="K32" s="31"/>
      <c r="L32" s="31"/>
      <c r="M32" s="68"/>
      <c r="N32" s="29"/>
      <c r="O32" s="97"/>
      <c r="P32" s="29"/>
      <c r="Q32" s="29"/>
      <c r="R32" s="29"/>
      <c r="S32" s="29"/>
      <c r="T32" s="29"/>
      <c r="U32" s="97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  <c r="CE32" s="44"/>
    </row>
    <row r="33" spans="1:83" s="30" customFormat="1" ht="15" customHeight="1" outlineLevel="1" x14ac:dyDescent="0.3">
      <c r="A33" s="44"/>
      <c r="D33" s="141" t="s">
        <v>5</v>
      </c>
      <c r="E33" s="39"/>
      <c r="F33" s="39"/>
      <c r="G33" s="39"/>
      <c r="H33" s="39"/>
      <c r="I33" s="31"/>
      <c r="J33" s="31"/>
      <c r="K33" s="31"/>
      <c r="L33" s="31"/>
      <c r="M33" s="68"/>
      <c r="N33" s="29"/>
      <c r="O33" s="97"/>
      <c r="P33" s="29"/>
      <c r="Q33" s="29"/>
      <c r="R33" s="29"/>
      <c r="S33" s="29"/>
      <c r="T33" s="29"/>
      <c r="U33" s="97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  <c r="CE33" s="44"/>
    </row>
    <row r="34" spans="1:83" s="30" customFormat="1" ht="15" customHeight="1" outlineLevel="1" x14ac:dyDescent="0.3">
      <c r="A34" s="44"/>
      <c r="D34" s="140" t="s">
        <v>180</v>
      </c>
      <c r="E34" s="39"/>
      <c r="F34" s="39"/>
      <c r="G34" s="39"/>
      <c r="H34" s="39"/>
      <c r="I34" s="31" t="str">
        <f>Ввод!$M$12</f>
        <v>руб</v>
      </c>
      <c r="J34" s="31"/>
      <c r="K34" s="31"/>
      <c r="L34" s="31"/>
      <c r="M34" s="68"/>
      <c r="N34" s="191">
        <f t="shared" ref="N34:N38" si="67">SUM(P34:T34)</f>
        <v>-158750000</v>
      </c>
      <c r="O34" s="139"/>
      <c r="P34" s="191">
        <f t="shared" ref="P34:P38" si="68">SUMIF($V$4:$EK$4,P$4,$V34:$EK34)</f>
        <v>-11150000</v>
      </c>
      <c r="Q34" s="191">
        <f t="shared" ref="Q34:T38" si="69">SUMIF($V$4:$EK$4,Q$4,$V34:$EK34)</f>
        <v>-26100000</v>
      </c>
      <c r="R34" s="191">
        <f t="shared" si="69"/>
        <v>-33300000</v>
      </c>
      <c r="S34" s="191">
        <f t="shared" si="69"/>
        <v>-40500000</v>
      </c>
      <c r="T34" s="191">
        <f t="shared" si="69"/>
        <v>-47700000</v>
      </c>
      <c r="U34" s="139"/>
      <c r="V34" s="95"/>
      <c r="W34" s="95">
        <v>0</v>
      </c>
      <c r="X34" s="95">
        <v>0</v>
      </c>
      <c r="Y34" s="95">
        <v>0</v>
      </c>
      <c r="Z34" s="95">
        <v>0</v>
      </c>
      <c r="AA34" s="95">
        <f>(AA21*Ввод!$M$35)*-1</f>
        <v>-1250000</v>
      </c>
      <c r="AB34" s="95">
        <f>(AB21*Ввод!$M$35)*-1</f>
        <v>-1375000</v>
      </c>
      <c r="AC34" s="95">
        <f>(AC21*Ввод!$M$35)*-1</f>
        <v>-1500000</v>
      </c>
      <c r="AD34" s="95">
        <f>(AD21*Ввод!$M$35)*-1</f>
        <v>-1625000</v>
      </c>
      <c r="AE34" s="95">
        <f>(AE21*Ввод!$M$35)*-1</f>
        <v>-1750000</v>
      </c>
      <c r="AF34" s="95">
        <f>(AF21*Ввод!$M$35)*-1</f>
        <v>-1800000</v>
      </c>
      <c r="AG34" s="95">
        <f>(AG21*Ввод!$M$35)*-1</f>
        <v>-1850000</v>
      </c>
      <c r="AH34" s="95">
        <f>(AH21*Ввод!$M$35)*-1</f>
        <v>-1900000</v>
      </c>
      <c r="AI34" s="95">
        <f>(AI21*Ввод!$M$35)*-1</f>
        <v>-1950000</v>
      </c>
      <c r="AJ34" s="95">
        <f>(AJ21*Ввод!$M$35)*-1</f>
        <v>-2000000</v>
      </c>
      <c r="AK34" s="95">
        <f>(AK21*Ввод!$M$35)*-1</f>
        <v>-2050000</v>
      </c>
      <c r="AL34" s="95">
        <f>(AL21*Ввод!$M$35)*-1</f>
        <v>-2100000</v>
      </c>
      <c r="AM34" s="95">
        <f>(AM21*Ввод!$M$35)*-1</f>
        <v>-2150000</v>
      </c>
      <c r="AN34" s="95">
        <f>(AN21*Ввод!$M$35)*-1</f>
        <v>-2200000</v>
      </c>
      <c r="AO34" s="95">
        <f>(AO21*Ввод!$M$35)*-1</f>
        <v>-2250000</v>
      </c>
      <c r="AP34" s="95">
        <f>(AP21*Ввод!$M$35)*-1</f>
        <v>-2300000</v>
      </c>
      <c r="AQ34" s="95">
        <f>(AQ21*Ввод!$M$35)*-1</f>
        <v>-2350000</v>
      </c>
      <c r="AR34" s="95">
        <f>(AR21*Ввод!$M$35)*-1</f>
        <v>-2400000</v>
      </c>
      <c r="AS34" s="95">
        <f>(AS21*Ввод!$M$35)*-1</f>
        <v>-2450000</v>
      </c>
      <c r="AT34" s="95">
        <f>(AT21*Ввод!$M$35)*-1</f>
        <v>-2500000</v>
      </c>
      <c r="AU34" s="95">
        <f>(AU21*Ввод!$M$35)*-1</f>
        <v>-2550000</v>
      </c>
      <c r="AV34" s="95">
        <f>(AV21*Ввод!$M$35)*-1</f>
        <v>-2600000</v>
      </c>
      <c r="AW34" s="95">
        <f>(AW21*Ввод!$M$35)*-1</f>
        <v>-2650000</v>
      </c>
      <c r="AX34" s="95">
        <f>(AX21*Ввод!$M$35)*-1</f>
        <v>-2700000</v>
      </c>
      <c r="AY34" s="95">
        <f>(AY21*Ввод!$M$35)*-1</f>
        <v>-2750000</v>
      </c>
      <c r="AZ34" s="95">
        <f>(AZ21*Ввод!$M$35)*-1</f>
        <v>-2800000</v>
      </c>
      <c r="BA34" s="95">
        <f>(BA21*Ввод!$M$35)*-1</f>
        <v>-2850000</v>
      </c>
      <c r="BB34" s="95">
        <f>(BB21*Ввод!$M$35)*-1</f>
        <v>-2900000</v>
      </c>
      <c r="BC34" s="95">
        <f>(BC21*Ввод!$M$35)*-1</f>
        <v>-2950000</v>
      </c>
      <c r="BD34" s="95">
        <f>(BD21*Ввод!$M$35)*-1</f>
        <v>-3000000</v>
      </c>
      <c r="BE34" s="95">
        <f>(BE21*Ввод!$M$35)*-1</f>
        <v>-3050000</v>
      </c>
      <c r="BF34" s="95">
        <f>(BF21*Ввод!$M$35)*-1</f>
        <v>-3100000</v>
      </c>
      <c r="BG34" s="95">
        <f>(BG21*Ввод!$M$35)*-1</f>
        <v>-3150000</v>
      </c>
      <c r="BH34" s="95">
        <f>(BH21*Ввод!$M$35)*-1</f>
        <v>-3200000</v>
      </c>
      <c r="BI34" s="95">
        <f>(BI21*Ввод!$M$35)*-1</f>
        <v>-3250000</v>
      </c>
      <c r="BJ34" s="95">
        <f>(BJ21*Ввод!$M$35)*-1</f>
        <v>-3300000</v>
      </c>
      <c r="BK34" s="95">
        <f>(BK21*Ввод!$M$35)*-1</f>
        <v>-3350000</v>
      </c>
      <c r="BL34" s="95">
        <f>(BL21*Ввод!$M$35)*-1</f>
        <v>-3400000</v>
      </c>
      <c r="BM34" s="95">
        <f>(BM21*Ввод!$M$35)*-1</f>
        <v>-3450000</v>
      </c>
      <c r="BN34" s="95">
        <f>(BN21*Ввод!$M$35)*-1</f>
        <v>-3500000</v>
      </c>
      <c r="BO34" s="95">
        <f>(BO21*Ввод!$M$35)*-1</f>
        <v>-3550000</v>
      </c>
      <c r="BP34" s="95">
        <f>(BP21*Ввод!$M$35)*-1</f>
        <v>-3600000</v>
      </c>
      <c r="BQ34" s="95">
        <f>(BQ21*Ввод!$M$35)*-1</f>
        <v>-3650000</v>
      </c>
      <c r="BR34" s="95">
        <f>(BR21*Ввод!$M$35)*-1</f>
        <v>-3700000</v>
      </c>
      <c r="BS34" s="95">
        <f>(BS21*Ввод!$M$35)*-1</f>
        <v>-3750000</v>
      </c>
      <c r="BT34" s="95">
        <f>(BT21*Ввод!$M$35)*-1</f>
        <v>-3800000</v>
      </c>
      <c r="BU34" s="95">
        <f>(BU21*Ввод!$M$35)*-1</f>
        <v>-3850000</v>
      </c>
      <c r="BV34" s="95">
        <f>(BV21*Ввод!$M$35)*-1</f>
        <v>-3900000</v>
      </c>
      <c r="BW34" s="95">
        <f>(BW21*Ввод!$M$35)*-1</f>
        <v>-3950000</v>
      </c>
      <c r="BX34" s="95">
        <f>(BX21*Ввод!$M$35)*-1</f>
        <v>-4000000</v>
      </c>
      <c r="BY34" s="95">
        <f>(BY21*Ввод!$M$35)*-1</f>
        <v>-4050000</v>
      </c>
      <c r="BZ34" s="95">
        <f>(BZ21*Ввод!$M$35)*-1</f>
        <v>-4100000</v>
      </c>
      <c r="CA34" s="95">
        <f>(CA21*Ввод!$M$35)*-1</f>
        <v>-4150000</v>
      </c>
      <c r="CB34" s="95">
        <f>(CB21*Ввод!$M$35)*-1</f>
        <v>-4200000</v>
      </c>
      <c r="CC34" s="95">
        <f>(CC21*Ввод!$M$35)*-1</f>
        <v>-4250000</v>
      </c>
      <c r="CE34" s="44"/>
    </row>
    <row r="35" spans="1:83" s="30" customFormat="1" ht="15" customHeight="1" outlineLevel="1" x14ac:dyDescent="0.3">
      <c r="A35" s="44"/>
      <c r="D35" s="140" t="s">
        <v>181</v>
      </c>
      <c r="E35" s="39"/>
      <c r="F35" s="39"/>
      <c r="G35" s="39"/>
      <c r="H35" s="39"/>
      <c r="I35" s="31" t="str">
        <f>Ввод!$M$12</f>
        <v>руб</v>
      </c>
      <c r="J35" s="31"/>
      <c r="K35" s="31"/>
      <c r="L35" s="31"/>
      <c r="M35" s="68"/>
      <c r="N35" s="191">
        <f t="shared" si="67"/>
        <v>-63500000</v>
      </c>
      <c r="O35" s="139"/>
      <c r="P35" s="191">
        <f t="shared" si="68"/>
        <v>-4460000</v>
      </c>
      <c r="Q35" s="191">
        <f t="shared" si="69"/>
        <v>-10440000</v>
      </c>
      <c r="R35" s="191">
        <f t="shared" si="69"/>
        <v>-13320000</v>
      </c>
      <c r="S35" s="191">
        <f t="shared" si="69"/>
        <v>-16200000</v>
      </c>
      <c r="T35" s="191">
        <f t="shared" si="69"/>
        <v>-19080000</v>
      </c>
      <c r="U35" s="139"/>
      <c r="V35" s="95"/>
      <c r="W35" s="95">
        <v>0</v>
      </c>
      <c r="X35" s="95">
        <v>0</v>
      </c>
      <c r="Y35" s="95">
        <v>0</v>
      </c>
      <c r="Z35" s="95">
        <v>0</v>
      </c>
      <c r="AA35" s="95">
        <f>(AA21*Ввод!$M$36)*-1</f>
        <v>-500000</v>
      </c>
      <c r="AB35" s="95">
        <f>(AB21*Ввод!$M$36)*-1</f>
        <v>-550000</v>
      </c>
      <c r="AC35" s="95">
        <f>(AC21*Ввод!$M$36)*-1</f>
        <v>-600000</v>
      </c>
      <c r="AD35" s="95">
        <f>(AD21*Ввод!$M$36)*-1</f>
        <v>-650000</v>
      </c>
      <c r="AE35" s="95">
        <f>(AE21*Ввод!$M$36)*-1</f>
        <v>-700000</v>
      </c>
      <c r="AF35" s="95">
        <f>(AF21*Ввод!$M$36)*-1</f>
        <v>-720000</v>
      </c>
      <c r="AG35" s="95">
        <f>(AG21*Ввод!$M$36)*-1</f>
        <v>-740000</v>
      </c>
      <c r="AH35" s="95">
        <f>(AH21*Ввод!$M$36)*-1</f>
        <v>-760000</v>
      </c>
      <c r="AI35" s="95">
        <f>(AI21*Ввод!$M$36)*-1</f>
        <v>-780000</v>
      </c>
      <c r="AJ35" s="95">
        <f>(AJ21*Ввод!$M$36)*-1</f>
        <v>-800000</v>
      </c>
      <c r="AK35" s="95">
        <f>(AK21*Ввод!$M$36)*-1</f>
        <v>-820000</v>
      </c>
      <c r="AL35" s="95">
        <f>(AL21*Ввод!$M$36)*-1</f>
        <v>-840000</v>
      </c>
      <c r="AM35" s="95">
        <f>(AM21*Ввод!$M$36)*-1</f>
        <v>-860000</v>
      </c>
      <c r="AN35" s="95">
        <f>(AN21*Ввод!$M$36)*-1</f>
        <v>-880000</v>
      </c>
      <c r="AO35" s="95">
        <f>(AO21*Ввод!$M$36)*-1</f>
        <v>-900000</v>
      </c>
      <c r="AP35" s="95">
        <f>(AP21*Ввод!$M$36)*-1</f>
        <v>-920000</v>
      </c>
      <c r="AQ35" s="95">
        <f>(AQ21*Ввод!$M$36)*-1</f>
        <v>-940000</v>
      </c>
      <c r="AR35" s="95">
        <f>(AR21*Ввод!$M$36)*-1</f>
        <v>-960000</v>
      </c>
      <c r="AS35" s="95">
        <f>(AS21*Ввод!$M$36)*-1</f>
        <v>-980000</v>
      </c>
      <c r="AT35" s="95">
        <f>(AT21*Ввод!$M$36)*-1</f>
        <v>-1000000</v>
      </c>
      <c r="AU35" s="95">
        <f>(AU21*Ввод!$M$36)*-1</f>
        <v>-1020000</v>
      </c>
      <c r="AV35" s="95">
        <f>(AV21*Ввод!$M$36)*-1</f>
        <v>-1040000</v>
      </c>
      <c r="AW35" s="95">
        <f>(AW21*Ввод!$M$36)*-1</f>
        <v>-1060000</v>
      </c>
      <c r="AX35" s="95">
        <f>(AX21*Ввод!$M$36)*-1</f>
        <v>-1080000</v>
      </c>
      <c r="AY35" s="95">
        <f>(AY21*Ввод!$M$36)*-1</f>
        <v>-1100000</v>
      </c>
      <c r="AZ35" s="95">
        <f>(AZ21*Ввод!$M$36)*-1</f>
        <v>-1120000</v>
      </c>
      <c r="BA35" s="95">
        <f>(BA21*Ввод!$M$36)*-1</f>
        <v>-1140000</v>
      </c>
      <c r="BB35" s="95">
        <f>(BB21*Ввод!$M$36)*-1</f>
        <v>-1160000</v>
      </c>
      <c r="BC35" s="95">
        <f>(BC21*Ввод!$M$36)*-1</f>
        <v>-1180000</v>
      </c>
      <c r="BD35" s="95">
        <f>(BD21*Ввод!$M$36)*-1</f>
        <v>-1200000</v>
      </c>
      <c r="BE35" s="95">
        <f>(BE21*Ввод!$M$36)*-1</f>
        <v>-1220000</v>
      </c>
      <c r="BF35" s="95">
        <f>(BF21*Ввод!$M$36)*-1</f>
        <v>-1240000</v>
      </c>
      <c r="BG35" s="95">
        <f>(BG21*Ввод!$M$36)*-1</f>
        <v>-1260000</v>
      </c>
      <c r="BH35" s="95">
        <f>(BH21*Ввод!$M$36)*-1</f>
        <v>-1280000</v>
      </c>
      <c r="BI35" s="95">
        <f>(BI21*Ввод!$M$36)*-1</f>
        <v>-1300000</v>
      </c>
      <c r="BJ35" s="95">
        <f>(BJ21*Ввод!$M$36)*-1</f>
        <v>-1320000</v>
      </c>
      <c r="BK35" s="95">
        <f>(BK21*Ввод!$M$36)*-1</f>
        <v>-1340000</v>
      </c>
      <c r="BL35" s="95">
        <f>(BL21*Ввод!$M$36)*-1</f>
        <v>-1360000</v>
      </c>
      <c r="BM35" s="95">
        <f>(BM21*Ввод!$M$36)*-1</f>
        <v>-1380000</v>
      </c>
      <c r="BN35" s="95">
        <f>(BN21*Ввод!$M$36)*-1</f>
        <v>-1400000</v>
      </c>
      <c r="BO35" s="95">
        <f>(BO21*Ввод!$M$36)*-1</f>
        <v>-1420000</v>
      </c>
      <c r="BP35" s="95">
        <f>(BP21*Ввод!$M$36)*-1</f>
        <v>-1440000</v>
      </c>
      <c r="BQ35" s="95">
        <f>(BQ21*Ввод!$M$36)*-1</f>
        <v>-1460000</v>
      </c>
      <c r="BR35" s="95">
        <f>(BR21*Ввод!$M$36)*-1</f>
        <v>-1480000</v>
      </c>
      <c r="BS35" s="95">
        <f>(BS21*Ввод!$M$36)*-1</f>
        <v>-1500000</v>
      </c>
      <c r="BT35" s="95">
        <f>(BT21*Ввод!$M$36)*-1</f>
        <v>-1520000</v>
      </c>
      <c r="BU35" s="95">
        <f>(BU21*Ввод!$M$36)*-1</f>
        <v>-1540000</v>
      </c>
      <c r="BV35" s="95">
        <f>(BV21*Ввод!$M$36)*-1</f>
        <v>-1560000</v>
      </c>
      <c r="BW35" s="95">
        <f>(BW21*Ввод!$M$36)*-1</f>
        <v>-1580000</v>
      </c>
      <c r="BX35" s="95">
        <f>(BX21*Ввод!$M$36)*-1</f>
        <v>-1600000</v>
      </c>
      <c r="BY35" s="95">
        <f>(BY21*Ввод!$M$36)*-1</f>
        <v>-1620000</v>
      </c>
      <c r="BZ35" s="95">
        <f>(BZ21*Ввод!$M$36)*-1</f>
        <v>-1640000</v>
      </c>
      <c r="CA35" s="95">
        <f>(CA21*Ввод!$M$36)*-1</f>
        <v>-1660000</v>
      </c>
      <c r="CB35" s="95">
        <f>(CB21*Ввод!$M$36)*-1</f>
        <v>-1680000</v>
      </c>
      <c r="CC35" s="95">
        <f>(CC21*Ввод!$M$36)*-1</f>
        <v>-1700000</v>
      </c>
      <c r="CE35" s="44"/>
    </row>
    <row r="36" spans="1:83" s="30" customFormat="1" ht="15" customHeight="1" outlineLevel="1" x14ac:dyDescent="0.3">
      <c r="A36" s="44"/>
      <c r="D36" s="140" t="s">
        <v>182</v>
      </c>
      <c r="E36" s="39"/>
      <c r="F36" s="39"/>
      <c r="G36" s="39"/>
      <c r="H36" s="39"/>
      <c r="I36" s="31" t="str">
        <f>Ввод!$M$12</f>
        <v>руб</v>
      </c>
      <c r="J36" s="31"/>
      <c r="K36" s="31"/>
      <c r="L36" s="31"/>
      <c r="M36" s="68"/>
      <c r="N36" s="191">
        <f t="shared" si="67"/>
        <v>-31750000</v>
      </c>
      <c r="O36" s="139"/>
      <c r="P36" s="191">
        <f t="shared" si="68"/>
        <v>-2230000</v>
      </c>
      <c r="Q36" s="191">
        <f t="shared" si="69"/>
        <v>-5220000</v>
      </c>
      <c r="R36" s="191">
        <f t="shared" si="69"/>
        <v>-6660000</v>
      </c>
      <c r="S36" s="191">
        <f t="shared" si="69"/>
        <v>-8100000</v>
      </c>
      <c r="T36" s="191">
        <f t="shared" si="69"/>
        <v>-9540000</v>
      </c>
      <c r="U36" s="139"/>
      <c r="V36" s="95"/>
      <c r="W36" s="95">
        <v>0</v>
      </c>
      <c r="X36" s="95">
        <v>0</v>
      </c>
      <c r="Y36" s="95">
        <v>0</v>
      </c>
      <c r="Z36" s="95">
        <v>0</v>
      </c>
      <c r="AA36" s="95">
        <f>(AA21*Ввод!$M$37)*-1</f>
        <v>-250000</v>
      </c>
      <c r="AB36" s="95">
        <f>(AB21*Ввод!$M$37)*-1</f>
        <v>-275000</v>
      </c>
      <c r="AC36" s="95">
        <f>(AC21*Ввод!$M$37)*-1</f>
        <v>-300000</v>
      </c>
      <c r="AD36" s="95">
        <f>(AD21*Ввод!$M$37)*-1</f>
        <v>-325000</v>
      </c>
      <c r="AE36" s="95">
        <f>(AE21*Ввод!$M$37)*-1</f>
        <v>-350000</v>
      </c>
      <c r="AF36" s="95">
        <f>(AF21*Ввод!$M$37)*-1</f>
        <v>-360000</v>
      </c>
      <c r="AG36" s="95">
        <f>(AG21*Ввод!$M$37)*-1</f>
        <v>-370000</v>
      </c>
      <c r="AH36" s="95">
        <f>(AH21*Ввод!$M$37)*-1</f>
        <v>-380000</v>
      </c>
      <c r="AI36" s="95">
        <f>(AI21*Ввод!$M$37)*-1</f>
        <v>-390000</v>
      </c>
      <c r="AJ36" s="95">
        <f>(AJ21*Ввод!$M$37)*-1</f>
        <v>-400000</v>
      </c>
      <c r="AK36" s="95">
        <f>(AK21*Ввод!$M$37)*-1</f>
        <v>-410000</v>
      </c>
      <c r="AL36" s="95">
        <f>(AL21*Ввод!$M$37)*-1</f>
        <v>-420000</v>
      </c>
      <c r="AM36" s="95">
        <f>(AM21*Ввод!$M$37)*-1</f>
        <v>-430000</v>
      </c>
      <c r="AN36" s="95">
        <f>(AN21*Ввод!$M$37)*-1</f>
        <v>-440000</v>
      </c>
      <c r="AO36" s="95">
        <f>(AO21*Ввод!$M$37)*-1</f>
        <v>-450000</v>
      </c>
      <c r="AP36" s="95">
        <f>(AP21*Ввод!$M$37)*-1</f>
        <v>-460000</v>
      </c>
      <c r="AQ36" s="95">
        <f>(AQ21*Ввод!$M$37)*-1</f>
        <v>-470000</v>
      </c>
      <c r="AR36" s="95">
        <f>(AR21*Ввод!$M$37)*-1</f>
        <v>-480000</v>
      </c>
      <c r="AS36" s="95">
        <f>(AS21*Ввод!$M$37)*-1</f>
        <v>-490000</v>
      </c>
      <c r="AT36" s="95">
        <f>(AT21*Ввод!$M$37)*-1</f>
        <v>-500000</v>
      </c>
      <c r="AU36" s="95">
        <f>(AU21*Ввод!$M$37)*-1</f>
        <v>-510000</v>
      </c>
      <c r="AV36" s="95">
        <f>(AV21*Ввод!$M$37)*-1</f>
        <v>-520000</v>
      </c>
      <c r="AW36" s="95">
        <f>(AW21*Ввод!$M$37)*-1</f>
        <v>-530000</v>
      </c>
      <c r="AX36" s="95">
        <f>(AX21*Ввод!$M$37)*-1</f>
        <v>-540000</v>
      </c>
      <c r="AY36" s="95">
        <f>(AY21*Ввод!$M$37)*-1</f>
        <v>-550000</v>
      </c>
      <c r="AZ36" s="95">
        <f>(AZ21*Ввод!$M$37)*-1</f>
        <v>-560000</v>
      </c>
      <c r="BA36" s="95">
        <f>(BA21*Ввод!$M$37)*-1</f>
        <v>-570000</v>
      </c>
      <c r="BB36" s="95">
        <f>(BB21*Ввод!$M$37)*-1</f>
        <v>-580000</v>
      </c>
      <c r="BC36" s="95">
        <f>(BC21*Ввод!$M$37)*-1</f>
        <v>-590000</v>
      </c>
      <c r="BD36" s="95">
        <f>(BD21*Ввод!$M$37)*-1</f>
        <v>-600000</v>
      </c>
      <c r="BE36" s="95">
        <f>(BE21*Ввод!$M$37)*-1</f>
        <v>-610000</v>
      </c>
      <c r="BF36" s="95">
        <f>(BF21*Ввод!$M$37)*-1</f>
        <v>-620000</v>
      </c>
      <c r="BG36" s="95">
        <f>(BG21*Ввод!$M$37)*-1</f>
        <v>-630000</v>
      </c>
      <c r="BH36" s="95">
        <f>(BH21*Ввод!$M$37)*-1</f>
        <v>-640000</v>
      </c>
      <c r="BI36" s="95">
        <f>(BI21*Ввод!$M$37)*-1</f>
        <v>-650000</v>
      </c>
      <c r="BJ36" s="95">
        <f>(BJ21*Ввод!$M$37)*-1</f>
        <v>-660000</v>
      </c>
      <c r="BK36" s="95">
        <f>(BK21*Ввод!$M$37)*-1</f>
        <v>-670000</v>
      </c>
      <c r="BL36" s="95">
        <f>(BL21*Ввод!$M$37)*-1</f>
        <v>-680000</v>
      </c>
      <c r="BM36" s="95">
        <f>(BM21*Ввод!$M$37)*-1</f>
        <v>-690000</v>
      </c>
      <c r="BN36" s="95">
        <f>(BN21*Ввод!$M$37)*-1</f>
        <v>-700000</v>
      </c>
      <c r="BO36" s="95">
        <f>(BO21*Ввод!$M$37)*-1</f>
        <v>-710000</v>
      </c>
      <c r="BP36" s="95">
        <f>(BP21*Ввод!$M$37)*-1</f>
        <v>-720000</v>
      </c>
      <c r="BQ36" s="95">
        <f>(BQ21*Ввод!$M$37)*-1</f>
        <v>-730000</v>
      </c>
      <c r="BR36" s="95">
        <f>(BR21*Ввод!$M$37)*-1</f>
        <v>-740000</v>
      </c>
      <c r="BS36" s="95">
        <f>(BS21*Ввод!$M$37)*-1</f>
        <v>-750000</v>
      </c>
      <c r="BT36" s="95">
        <f>(BT21*Ввод!$M$37)*-1</f>
        <v>-760000</v>
      </c>
      <c r="BU36" s="95">
        <f>(BU21*Ввод!$M$37)*-1</f>
        <v>-770000</v>
      </c>
      <c r="BV36" s="95">
        <f>(BV21*Ввод!$M$37)*-1</f>
        <v>-780000</v>
      </c>
      <c r="BW36" s="95">
        <f>(BW21*Ввод!$M$37)*-1</f>
        <v>-790000</v>
      </c>
      <c r="BX36" s="95">
        <f>(BX21*Ввод!$M$37)*-1</f>
        <v>-800000</v>
      </c>
      <c r="BY36" s="95">
        <f>(BY21*Ввод!$M$37)*-1</f>
        <v>-810000</v>
      </c>
      <c r="BZ36" s="95">
        <f>(BZ21*Ввод!$M$37)*-1</f>
        <v>-820000</v>
      </c>
      <c r="CA36" s="95">
        <f>(CA21*Ввод!$M$37)*-1</f>
        <v>-830000</v>
      </c>
      <c r="CB36" s="95">
        <f>(CB21*Ввод!$M$37)*-1</f>
        <v>-840000</v>
      </c>
      <c r="CC36" s="95">
        <f>(CC21*Ввод!$M$37)*-1</f>
        <v>-850000</v>
      </c>
      <c r="CE36" s="44"/>
    </row>
    <row r="37" spans="1:83" s="30" customFormat="1" ht="15" customHeight="1" outlineLevel="1" x14ac:dyDescent="0.3">
      <c r="A37" s="44"/>
      <c r="D37" s="140" t="s">
        <v>183</v>
      </c>
      <c r="E37" s="39"/>
      <c r="F37" s="39"/>
      <c r="G37" s="39"/>
      <c r="H37" s="39"/>
      <c r="I37" s="31" t="str">
        <f>Ввод!$M$12</f>
        <v>руб</v>
      </c>
      <c r="J37" s="31"/>
      <c r="K37" s="31"/>
      <c r="L37" s="31"/>
      <c r="M37" s="68"/>
      <c r="N37" s="191">
        <f t="shared" si="67"/>
        <v>-6350000</v>
      </c>
      <c r="O37" s="139"/>
      <c r="P37" s="191">
        <f t="shared" si="68"/>
        <v>-446000</v>
      </c>
      <c r="Q37" s="191">
        <f t="shared" si="69"/>
        <v>-1044000</v>
      </c>
      <c r="R37" s="191">
        <f t="shared" si="69"/>
        <v>-1332000</v>
      </c>
      <c r="S37" s="191">
        <f t="shared" si="69"/>
        <v>-1620000</v>
      </c>
      <c r="T37" s="191">
        <f t="shared" si="69"/>
        <v>-1908000</v>
      </c>
      <c r="U37" s="139"/>
      <c r="V37" s="95"/>
      <c r="W37" s="95">
        <v>0</v>
      </c>
      <c r="X37" s="95">
        <v>0</v>
      </c>
      <c r="Y37" s="95">
        <v>0</v>
      </c>
      <c r="Z37" s="95">
        <v>0</v>
      </c>
      <c r="AA37" s="95">
        <f>(AA21*Ввод!$M$38)*-1</f>
        <v>-50000</v>
      </c>
      <c r="AB37" s="95">
        <f>(AB21*Ввод!$M$38)*-1</f>
        <v>-55000</v>
      </c>
      <c r="AC37" s="95">
        <f>(AC21*Ввод!$M$38)*-1</f>
        <v>-60000</v>
      </c>
      <c r="AD37" s="95">
        <f>(AD21*Ввод!$M$38)*-1</f>
        <v>-65000</v>
      </c>
      <c r="AE37" s="95">
        <f>(AE21*Ввод!$M$38)*-1</f>
        <v>-70000</v>
      </c>
      <c r="AF37" s="95">
        <f>(AF21*Ввод!$M$38)*-1</f>
        <v>-72000</v>
      </c>
      <c r="AG37" s="95">
        <f>(AG21*Ввод!$M$38)*-1</f>
        <v>-74000</v>
      </c>
      <c r="AH37" s="95">
        <f>(AH21*Ввод!$M$38)*-1</f>
        <v>-76000</v>
      </c>
      <c r="AI37" s="95">
        <f>(AI21*Ввод!$M$38)*-1</f>
        <v>-78000</v>
      </c>
      <c r="AJ37" s="95">
        <f>(AJ21*Ввод!$M$38)*-1</f>
        <v>-80000</v>
      </c>
      <c r="AK37" s="95">
        <f>(AK21*Ввод!$M$38)*-1</f>
        <v>-82000</v>
      </c>
      <c r="AL37" s="95">
        <f>(AL21*Ввод!$M$38)*-1</f>
        <v>-84000</v>
      </c>
      <c r="AM37" s="95">
        <f>(AM21*Ввод!$M$38)*-1</f>
        <v>-86000</v>
      </c>
      <c r="AN37" s="95">
        <f>(AN21*Ввод!$M$38)*-1</f>
        <v>-88000</v>
      </c>
      <c r="AO37" s="95">
        <f>(AO21*Ввод!$M$38)*-1</f>
        <v>-90000</v>
      </c>
      <c r="AP37" s="95">
        <f>(AP21*Ввод!$M$38)*-1</f>
        <v>-92000</v>
      </c>
      <c r="AQ37" s="95">
        <f>(AQ21*Ввод!$M$38)*-1</f>
        <v>-94000</v>
      </c>
      <c r="AR37" s="95">
        <f>(AR21*Ввод!$M$38)*-1</f>
        <v>-96000</v>
      </c>
      <c r="AS37" s="95">
        <f>(AS21*Ввод!$M$38)*-1</f>
        <v>-98000</v>
      </c>
      <c r="AT37" s="95">
        <f>(AT21*Ввод!$M$38)*-1</f>
        <v>-100000</v>
      </c>
      <c r="AU37" s="95">
        <f>(AU21*Ввод!$M$38)*-1</f>
        <v>-102000</v>
      </c>
      <c r="AV37" s="95">
        <f>(AV21*Ввод!$M$38)*-1</f>
        <v>-104000</v>
      </c>
      <c r="AW37" s="95">
        <f>(AW21*Ввод!$M$38)*-1</f>
        <v>-106000</v>
      </c>
      <c r="AX37" s="95">
        <f>(AX21*Ввод!$M$38)*-1</f>
        <v>-108000</v>
      </c>
      <c r="AY37" s="95">
        <f>(AY21*Ввод!$M$38)*-1</f>
        <v>-110000</v>
      </c>
      <c r="AZ37" s="95">
        <f>(AZ21*Ввод!$M$38)*-1</f>
        <v>-112000</v>
      </c>
      <c r="BA37" s="95">
        <f>(BA21*Ввод!$M$38)*-1</f>
        <v>-114000</v>
      </c>
      <c r="BB37" s="95">
        <f>(BB21*Ввод!$M$38)*-1</f>
        <v>-116000</v>
      </c>
      <c r="BC37" s="95">
        <f>(BC21*Ввод!$M$38)*-1</f>
        <v>-118000</v>
      </c>
      <c r="BD37" s="95">
        <f>(BD21*Ввод!$M$38)*-1</f>
        <v>-120000</v>
      </c>
      <c r="BE37" s="95">
        <f>(BE21*Ввод!$M$38)*-1</f>
        <v>-122000</v>
      </c>
      <c r="BF37" s="95">
        <f>(BF21*Ввод!$M$38)*-1</f>
        <v>-124000</v>
      </c>
      <c r="BG37" s="95">
        <f>(BG21*Ввод!$M$38)*-1</f>
        <v>-126000</v>
      </c>
      <c r="BH37" s="95">
        <f>(BH21*Ввод!$M$38)*-1</f>
        <v>-128000</v>
      </c>
      <c r="BI37" s="95">
        <f>(BI21*Ввод!$M$38)*-1</f>
        <v>-130000</v>
      </c>
      <c r="BJ37" s="95">
        <f>(BJ21*Ввод!$M$38)*-1</f>
        <v>-132000</v>
      </c>
      <c r="BK37" s="95">
        <f>(BK21*Ввод!$M$38)*-1</f>
        <v>-134000</v>
      </c>
      <c r="BL37" s="95">
        <f>(BL21*Ввод!$M$38)*-1</f>
        <v>-136000</v>
      </c>
      <c r="BM37" s="95">
        <f>(BM21*Ввод!$M$38)*-1</f>
        <v>-138000</v>
      </c>
      <c r="BN37" s="95">
        <f>(BN21*Ввод!$M$38)*-1</f>
        <v>-140000</v>
      </c>
      <c r="BO37" s="95">
        <f>(BO21*Ввод!$M$38)*-1</f>
        <v>-142000</v>
      </c>
      <c r="BP37" s="95">
        <f>(BP21*Ввод!$M$38)*-1</f>
        <v>-144000</v>
      </c>
      <c r="BQ37" s="95">
        <f>(BQ21*Ввод!$M$38)*-1</f>
        <v>-146000</v>
      </c>
      <c r="BR37" s="95">
        <f>(BR21*Ввод!$M$38)*-1</f>
        <v>-148000</v>
      </c>
      <c r="BS37" s="95">
        <f>(BS21*Ввод!$M$38)*-1</f>
        <v>-150000</v>
      </c>
      <c r="BT37" s="95">
        <f>(BT21*Ввод!$M$38)*-1</f>
        <v>-152000</v>
      </c>
      <c r="BU37" s="95">
        <f>(BU21*Ввод!$M$38)*-1</f>
        <v>-154000</v>
      </c>
      <c r="BV37" s="95">
        <f>(BV21*Ввод!$M$38)*-1</f>
        <v>-156000</v>
      </c>
      <c r="BW37" s="95">
        <f>(BW21*Ввод!$M$38)*-1</f>
        <v>-158000</v>
      </c>
      <c r="BX37" s="95">
        <f>(BX21*Ввод!$M$38)*-1</f>
        <v>-160000</v>
      </c>
      <c r="BY37" s="95">
        <f>(BY21*Ввод!$M$38)*-1</f>
        <v>-162000</v>
      </c>
      <c r="BZ37" s="95">
        <f>(BZ21*Ввод!$M$38)*-1</f>
        <v>-164000</v>
      </c>
      <c r="CA37" s="95">
        <f>(CA21*Ввод!$M$38)*-1</f>
        <v>-166000</v>
      </c>
      <c r="CB37" s="95">
        <f>(CB21*Ввод!$M$38)*-1</f>
        <v>-168000</v>
      </c>
      <c r="CC37" s="95">
        <f>(CC21*Ввод!$M$38)*-1</f>
        <v>-170000</v>
      </c>
      <c r="CE37" s="44"/>
    </row>
    <row r="38" spans="1:83" s="30" customFormat="1" ht="15" customHeight="1" outlineLevel="1" x14ac:dyDescent="0.3">
      <c r="A38" s="44"/>
      <c r="D38" s="140" t="s">
        <v>184</v>
      </c>
      <c r="E38" s="39"/>
      <c r="F38" s="39"/>
      <c r="G38" s="39"/>
      <c r="H38" s="39"/>
      <c r="I38" s="31" t="str">
        <f>Ввод!$M$12</f>
        <v>руб</v>
      </c>
      <c r="J38" s="31"/>
      <c r="K38" s="31"/>
      <c r="L38" s="31"/>
      <c r="M38" s="68"/>
      <c r="N38" s="191">
        <f t="shared" si="67"/>
        <v>-6350000</v>
      </c>
      <c r="O38" s="139"/>
      <c r="P38" s="191">
        <f t="shared" si="68"/>
        <v>-446000</v>
      </c>
      <c r="Q38" s="191">
        <f t="shared" si="69"/>
        <v>-1044000</v>
      </c>
      <c r="R38" s="191">
        <f t="shared" si="69"/>
        <v>-1332000</v>
      </c>
      <c r="S38" s="191">
        <f t="shared" si="69"/>
        <v>-1620000</v>
      </c>
      <c r="T38" s="191">
        <f t="shared" si="69"/>
        <v>-1908000</v>
      </c>
      <c r="U38" s="139"/>
      <c r="V38" s="95"/>
      <c r="W38" s="95">
        <v>0</v>
      </c>
      <c r="X38" s="95">
        <v>0</v>
      </c>
      <c r="Y38" s="95">
        <v>0</v>
      </c>
      <c r="Z38" s="95">
        <v>0</v>
      </c>
      <c r="AA38" s="95">
        <f>(AA21*Ввод!$M$39)*-1</f>
        <v>-50000</v>
      </c>
      <c r="AB38" s="95">
        <f>(AB21*Ввод!$M$39)*-1</f>
        <v>-55000</v>
      </c>
      <c r="AC38" s="95">
        <f>(AC21*Ввод!$M$39)*-1</f>
        <v>-60000</v>
      </c>
      <c r="AD38" s="95">
        <f>(AD21*Ввод!$M$39)*-1</f>
        <v>-65000</v>
      </c>
      <c r="AE38" s="95">
        <f>(AE21*Ввод!$M$39)*-1</f>
        <v>-70000</v>
      </c>
      <c r="AF38" s="95">
        <f>(AF21*Ввод!$M$39)*-1</f>
        <v>-72000</v>
      </c>
      <c r="AG38" s="95">
        <f>(AG21*Ввод!$M$39)*-1</f>
        <v>-74000</v>
      </c>
      <c r="AH38" s="95">
        <f>(AH21*Ввод!$M$39)*-1</f>
        <v>-76000</v>
      </c>
      <c r="AI38" s="95">
        <f>(AI21*Ввод!$M$39)*-1</f>
        <v>-78000</v>
      </c>
      <c r="AJ38" s="95">
        <f>(AJ21*Ввод!$M$39)*-1</f>
        <v>-80000</v>
      </c>
      <c r="AK38" s="95">
        <f>(AK21*Ввод!$M$39)*-1</f>
        <v>-82000</v>
      </c>
      <c r="AL38" s="95">
        <f>(AL21*Ввод!$M$39)*-1</f>
        <v>-84000</v>
      </c>
      <c r="AM38" s="95">
        <f>(AM21*Ввод!$M$39)*-1</f>
        <v>-86000</v>
      </c>
      <c r="AN38" s="95">
        <f>(AN21*Ввод!$M$39)*-1</f>
        <v>-88000</v>
      </c>
      <c r="AO38" s="95">
        <f>(AO21*Ввод!$M$39)*-1</f>
        <v>-90000</v>
      </c>
      <c r="AP38" s="95">
        <f>(AP21*Ввод!$M$39)*-1</f>
        <v>-92000</v>
      </c>
      <c r="AQ38" s="95">
        <f>(AQ21*Ввод!$M$39)*-1</f>
        <v>-94000</v>
      </c>
      <c r="AR38" s="95">
        <f>(AR21*Ввод!$M$39)*-1</f>
        <v>-96000</v>
      </c>
      <c r="AS38" s="95">
        <f>(AS21*Ввод!$M$39)*-1</f>
        <v>-98000</v>
      </c>
      <c r="AT38" s="95">
        <f>(AT21*Ввод!$M$39)*-1</f>
        <v>-100000</v>
      </c>
      <c r="AU38" s="95">
        <f>(AU21*Ввод!$M$39)*-1</f>
        <v>-102000</v>
      </c>
      <c r="AV38" s="95">
        <f>(AV21*Ввод!$M$39)*-1</f>
        <v>-104000</v>
      </c>
      <c r="AW38" s="95">
        <f>(AW21*Ввод!$M$39)*-1</f>
        <v>-106000</v>
      </c>
      <c r="AX38" s="95">
        <f>(AX21*Ввод!$M$39)*-1</f>
        <v>-108000</v>
      </c>
      <c r="AY38" s="95">
        <f>(AY21*Ввод!$M$39)*-1</f>
        <v>-110000</v>
      </c>
      <c r="AZ38" s="95">
        <f>(AZ21*Ввод!$M$39)*-1</f>
        <v>-112000</v>
      </c>
      <c r="BA38" s="95">
        <f>(BA21*Ввод!$M$39)*-1</f>
        <v>-114000</v>
      </c>
      <c r="BB38" s="95">
        <f>(BB21*Ввод!$M$39)*-1</f>
        <v>-116000</v>
      </c>
      <c r="BC38" s="95">
        <f>(BC21*Ввод!$M$39)*-1</f>
        <v>-118000</v>
      </c>
      <c r="BD38" s="95">
        <f>(BD21*Ввод!$M$39)*-1</f>
        <v>-120000</v>
      </c>
      <c r="BE38" s="95">
        <f>(BE21*Ввод!$M$39)*-1</f>
        <v>-122000</v>
      </c>
      <c r="BF38" s="95">
        <f>(BF21*Ввод!$M$39)*-1</f>
        <v>-124000</v>
      </c>
      <c r="BG38" s="95">
        <f>(BG21*Ввод!$M$39)*-1</f>
        <v>-126000</v>
      </c>
      <c r="BH38" s="95">
        <f>(BH21*Ввод!$M$39)*-1</f>
        <v>-128000</v>
      </c>
      <c r="BI38" s="95">
        <f>(BI21*Ввод!$M$39)*-1</f>
        <v>-130000</v>
      </c>
      <c r="BJ38" s="95">
        <f>(BJ21*Ввод!$M$39)*-1</f>
        <v>-132000</v>
      </c>
      <c r="BK38" s="95">
        <f>(BK21*Ввод!$M$39)*-1</f>
        <v>-134000</v>
      </c>
      <c r="BL38" s="95">
        <f>(BL21*Ввод!$M$39)*-1</f>
        <v>-136000</v>
      </c>
      <c r="BM38" s="95">
        <f>(BM21*Ввод!$M$39)*-1</f>
        <v>-138000</v>
      </c>
      <c r="BN38" s="95">
        <f>(BN21*Ввод!$M$39)*-1</f>
        <v>-140000</v>
      </c>
      <c r="BO38" s="95">
        <f>(BO21*Ввод!$M$39)*-1</f>
        <v>-142000</v>
      </c>
      <c r="BP38" s="95">
        <f>(BP21*Ввод!$M$39)*-1</f>
        <v>-144000</v>
      </c>
      <c r="BQ38" s="95">
        <f>(BQ21*Ввод!$M$39)*-1</f>
        <v>-146000</v>
      </c>
      <c r="BR38" s="95">
        <f>(BR21*Ввод!$M$39)*-1</f>
        <v>-148000</v>
      </c>
      <c r="BS38" s="95">
        <f>(BS21*Ввод!$M$39)*-1</f>
        <v>-150000</v>
      </c>
      <c r="BT38" s="95">
        <f>(BT21*Ввод!$M$39)*-1</f>
        <v>-152000</v>
      </c>
      <c r="BU38" s="95">
        <f>(BU21*Ввод!$M$39)*-1</f>
        <v>-154000</v>
      </c>
      <c r="BV38" s="95">
        <f>(BV21*Ввод!$M$39)*-1</f>
        <v>-156000</v>
      </c>
      <c r="BW38" s="95">
        <f>(BW21*Ввод!$M$39)*-1</f>
        <v>-158000</v>
      </c>
      <c r="BX38" s="95">
        <f>(BX21*Ввод!$M$39)*-1</f>
        <v>-160000</v>
      </c>
      <c r="BY38" s="95">
        <f>(BY21*Ввод!$M$39)*-1</f>
        <v>-162000</v>
      </c>
      <c r="BZ38" s="95">
        <f>(BZ21*Ввод!$M$39)*-1</f>
        <v>-164000</v>
      </c>
      <c r="CA38" s="95">
        <f>(CA21*Ввод!$M$39)*-1</f>
        <v>-166000</v>
      </c>
      <c r="CB38" s="95">
        <f>(CB21*Ввод!$M$39)*-1</f>
        <v>-168000</v>
      </c>
      <c r="CC38" s="95">
        <f>(CC21*Ввод!$M$39)*-1</f>
        <v>-170000</v>
      </c>
      <c r="CE38" s="44"/>
    </row>
    <row r="39" spans="1:83" s="30" customFormat="1" ht="15" customHeight="1" outlineLevel="1" x14ac:dyDescent="0.3">
      <c r="A39" s="44"/>
      <c r="D39" s="140"/>
      <c r="E39" s="39"/>
      <c r="F39" s="39"/>
      <c r="G39" s="39"/>
      <c r="H39" s="39"/>
      <c r="I39" s="31"/>
      <c r="J39" s="31"/>
      <c r="K39" s="31"/>
      <c r="L39" s="31"/>
      <c r="M39" s="68"/>
      <c r="N39" s="29"/>
      <c r="O39" s="97"/>
      <c r="P39" s="29"/>
      <c r="Q39" s="29"/>
      <c r="R39" s="29"/>
      <c r="S39" s="29"/>
      <c r="T39" s="29"/>
      <c r="U39" s="97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6"/>
      <c r="BQ39" s="46"/>
      <c r="BR39" s="46"/>
      <c r="BS39" s="46"/>
      <c r="BT39" s="46"/>
      <c r="BU39" s="46"/>
      <c r="BV39" s="46"/>
      <c r="BW39" s="46"/>
      <c r="BX39" s="46"/>
      <c r="BY39" s="46"/>
      <c r="BZ39" s="46"/>
      <c r="CA39" s="46"/>
      <c r="CB39" s="46"/>
      <c r="CC39" s="46"/>
      <c r="CE39" s="44"/>
    </row>
    <row r="40" spans="1:83" s="22" customFormat="1" ht="15" customHeight="1" outlineLevel="1" x14ac:dyDescent="0.3">
      <c r="A40" s="51"/>
      <c r="D40" s="220" t="s">
        <v>65</v>
      </c>
      <c r="E40" s="221"/>
      <c r="F40" s="221"/>
      <c r="G40" s="221"/>
      <c r="H40" s="221"/>
      <c r="I40" s="209" t="str">
        <f>Ввод!$M$12</f>
        <v>руб</v>
      </c>
      <c r="J40" s="209"/>
      <c r="K40" s="209"/>
      <c r="L40" s="209"/>
      <c r="M40" s="210"/>
      <c r="N40" s="230">
        <f>SUM(P40:T40)</f>
        <v>-266700000</v>
      </c>
      <c r="O40" s="139"/>
      <c r="P40" s="230">
        <f>SUMIF($V$4:$CC$4,P$4,$V40:$CC40)</f>
        <v>-18732000</v>
      </c>
      <c r="Q40" s="230">
        <f>SUMIF($V$4:$CC$4,Q$4,$V40:$CC40)</f>
        <v>-43848000</v>
      </c>
      <c r="R40" s="230">
        <f>SUMIF($V$4:$CC$4,R$4,$V40:$CC40)</f>
        <v>-55944000</v>
      </c>
      <c r="S40" s="230">
        <f>SUMIF($V$4:$CC$4,S$4,$V40:$CC40)</f>
        <v>-68040000</v>
      </c>
      <c r="T40" s="230">
        <f>SUMIF($V$4:$CC$4,T$4,$V40:$CC40)</f>
        <v>-80136000</v>
      </c>
      <c r="U40" s="139"/>
      <c r="V40" s="230">
        <f t="shared" ref="V40:BA40" si="70">SUM(V34:V38)</f>
        <v>0</v>
      </c>
      <c r="W40" s="230">
        <f t="shared" si="70"/>
        <v>0</v>
      </c>
      <c r="X40" s="230">
        <f t="shared" si="70"/>
        <v>0</v>
      </c>
      <c r="Y40" s="230">
        <f t="shared" si="70"/>
        <v>0</v>
      </c>
      <c r="Z40" s="230">
        <f t="shared" si="70"/>
        <v>0</v>
      </c>
      <c r="AA40" s="230">
        <f t="shared" si="70"/>
        <v>-2100000</v>
      </c>
      <c r="AB40" s="230">
        <f t="shared" si="70"/>
        <v>-2310000</v>
      </c>
      <c r="AC40" s="230">
        <f t="shared" si="70"/>
        <v>-2520000</v>
      </c>
      <c r="AD40" s="230">
        <f t="shared" si="70"/>
        <v>-2730000</v>
      </c>
      <c r="AE40" s="230">
        <f t="shared" si="70"/>
        <v>-2940000</v>
      </c>
      <c r="AF40" s="230">
        <f t="shared" si="70"/>
        <v>-3024000</v>
      </c>
      <c r="AG40" s="230">
        <f t="shared" si="70"/>
        <v>-3108000</v>
      </c>
      <c r="AH40" s="230">
        <f t="shared" si="70"/>
        <v>-3192000</v>
      </c>
      <c r="AI40" s="230">
        <f t="shared" si="70"/>
        <v>-3276000</v>
      </c>
      <c r="AJ40" s="230">
        <f t="shared" si="70"/>
        <v>-3360000</v>
      </c>
      <c r="AK40" s="230">
        <f t="shared" si="70"/>
        <v>-3444000</v>
      </c>
      <c r="AL40" s="230">
        <f t="shared" si="70"/>
        <v>-3528000</v>
      </c>
      <c r="AM40" s="230">
        <f t="shared" si="70"/>
        <v>-3612000</v>
      </c>
      <c r="AN40" s="230">
        <f t="shared" si="70"/>
        <v>-3696000</v>
      </c>
      <c r="AO40" s="230">
        <f t="shared" si="70"/>
        <v>-3780000</v>
      </c>
      <c r="AP40" s="230">
        <f t="shared" si="70"/>
        <v>-3864000</v>
      </c>
      <c r="AQ40" s="230">
        <f t="shared" si="70"/>
        <v>-3948000</v>
      </c>
      <c r="AR40" s="230">
        <f t="shared" si="70"/>
        <v>-4032000</v>
      </c>
      <c r="AS40" s="230">
        <f t="shared" si="70"/>
        <v>-4116000</v>
      </c>
      <c r="AT40" s="230">
        <f t="shared" si="70"/>
        <v>-4200000</v>
      </c>
      <c r="AU40" s="230">
        <f t="shared" si="70"/>
        <v>-4284000</v>
      </c>
      <c r="AV40" s="230">
        <f t="shared" si="70"/>
        <v>-4368000</v>
      </c>
      <c r="AW40" s="230">
        <f t="shared" si="70"/>
        <v>-4452000</v>
      </c>
      <c r="AX40" s="230">
        <f t="shared" si="70"/>
        <v>-4536000</v>
      </c>
      <c r="AY40" s="230">
        <f t="shared" si="70"/>
        <v>-4620000</v>
      </c>
      <c r="AZ40" s="230">
        <f t="shared" si="70"/>
        <v>-4704000</v>
      </c>
      <c r="BA40" s="230">
        <f t="shared" si="70"/>
        <v>-4788000</v>
      </c>
      <c r="BB40" s="230">
        <f t="shared" ref="BB40:CC40" si="71">SUM(BB34:BB38)</f>
        <v>-4872000</v>
      </c>
      <c r="BC40" s="230">
        <f t="shared" si="71"/>
        <v>-4956000</v>
      </c>
      <c r="BD40" s="230">
        <f t="shared" si="71"/>
        <v>-5040000</v>
      </c>
      <c r="BE40" s="230">
        <f t="shared" si="71"/>
        <v>-5124000</v>
      </c>
      <c r="BF40" s="230">
        <f t="shared" si="71"/>
        <v>-5208000</v>
      </c>
      <c r="BG40" s="230">
        <f t="shared" si="71"/>
        <v>-5292000</v>
      </c>
      <c r="BH40" s="230">
        <f t="shared" si="71"/>
        <v>-5376000</v>
      </c>
      <c r="BI40" s="230">
        <f t="shared" si="71"/>
        <v>-5460000</v>
      </c>
      <c r="BJ40" s="230">
        <f t="shared" si="71"/>
        <v>-5544000</v>
      </c>
      <c r="BK40" s="230">
        <f t="shared" si="71"/>
        <v>-5628000</v>
      </c>
      <c r="BL40" s="230">
        <f t="shared" si="71"/>
        <v>-5712000</v>
      </c>
      <c r="BM40" s="230">
        <f t="shared" si="71"/>
        <v>-5796000</v>
      </c>
      <c r="BN40" s="230">
        <f t="shared" si="71"/>
        <v>-5880000</v>
      </c>
      <c r="BO40" s="230">
        <f t="shared" si="71"/>
        <v>-5964000</v>
      </c>
      <c r="BP40" s="230">
        <f t="shared" si="71"/>
        <v>-6048000</v>
      </c>
      <c r="BQ40" s="230">
        <f t="shared" si="71"/>
        <v>-6132000</v>
      </c>
      <c r="BR40" s="230">
        <f t="shared" si="71"/>
        <v>-6216000</v>
      </c>
      <c r="BS40" s="230">
        <f t="shared" si="71"/>
        <v>-6300000</v>
      </c>
      <c r="BT40" s="230">
        <f t="shared" si="71"/>
        <v>-6384000</v>
      </c>
      <c r="BU40" s="230">
        <f t="shared" si="71"/>
        <v>-6468000</v>
      </c>
      <c r="BV40" s="230">
        <f t="shared" si="71"/>
        <v>-6552000</v>
      </c>
      <c r="BW40" s="230">
        <f t="shared" si="71"/>
        <v>-6636000</v>
      </c>
      <c r="BX40" s="230">
        <f t="shared" si="71"/>
        <v>-6720000</v>
      </c>
      <c r="BY40" s="230">
        <f t="shared" si="71"/>
        <v>-6804000</v>
      </c>
      <c r="BZ40" s="230">
        <f t="shared" si="71"/>
        <v>-6888000</v>
      </c>
      <c r="CA40" s="230">
        <f t="shared" si="71"/>
        <v>-6972000</v>
      </c>
      <c r="CB40" s="230">
        <f t="shared" si="71"/>
        <v>-7056000</v>
      </c>
      <c r="CC40" s="230">
        <f t="shared" si="71"/>
        <v>-7140000</v>
      </c>
      <c r="CE40" s="51"/>
    </row>
    <row r="41" spans="1:83" s="30" customFormat="1" ht="15" customHeight="1" x14ac:dyDescent="0.3">
      <c r="A41" s="44"/>
      <c r="D41" s="132"/>
      <c r="E41" s="27"/>
      <c r="F41" s="27"/>
      <c r="G41" s="27"/>
      <c r="H41" s="27"/>
      <c r="I41" s="31"/>
      <c r="J41" s="31"/>
      <c r="K41" s="31"/>
      <c r="L41" s="31"/>
      <c r="M41" s="2"/>
      <c r="N41" s="29"/>
      <c r="O41" s="97"/>
      <c r="P41" s="29"/>
      <c r="Q41" s="29"/>
      <c r="R41" s="29"/>
      <c r="S41" s="29"/>
      <c r="T41" s="29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7"/>
      <c r="AM41" s="97"/>
      <c r="AN41" s="97"/>
      <c r="AO41" s="97"/>
      <c r="AP41" s="97"/>
      <c r="AQ41" s="97"/>
      <c r="AR41" s="97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  <c r="BP41" s="97"/>
      <c r="BQ41" s="97"/>
      <c r="BR41" s="97"/>
      <c r="BS41" s="97"/>
      <c r="BT41" s="97"/>
      <c r="BU41" s="97"/>
      <c r="BV41" s="97"/>
      <c r="BW41" s="97"/>
      <c r="BX41" s="97"/>
      <c r="BY41" s="97"/>
      <c r="BZ41" s="97"/>
      <c r="CA41" s="97"/>
      <c r="CB41" s="97"/>
      <c r="CC41" s="97"/>
      <c r="CD41" s="50"/>
      <c r="CE41" s="44"/>
    </row>
    <row r="42" spans="1:83" s="23" customFormat="1" ht="15" customHeight="1" x14ac:dyDescent="0.3">
      <c r="A42" s="111"/>
      <c r="B42" s="110"/>
      <c r="C42" s="110"/>
      <c r="D42" s="133" t="s">
        <v>66</v>
      </c>
      <c r="E42" s="123"/>
      <c r="F42" s="123"/>
      <c r="G42" s="123"/>
      <c r="H42" s="123"/>
      <c r="I42" s="124"/>
      <c r="J42" s="124"/>
      <c r="K42" s="124"/>
      <c r="L42" s="124"/>
      <c r="M42" s="125"/>
      <c r="N42" s="126"/>
      <c r="O42" s="97"/>
      <c r="P42" s="126"/>
      <c r="Q42" s="126"/>
      <c r="R42" s="126"/>
      <c r="S42" s="126"/>
      <c r="T42" s="126"/>
      <c r="U42" s="97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  <c r="BC42" s="126"/>
      <c r="BD42" s="126"/>
      <c r="BE42" s="126"/>
      <c r="BF42" s="126"/>
      <c r="BG42" s="126"/>
      <c r="BH42" s="126"/>
      <c r="BI42" s="126"/>
      <c r="BJ42" s="126"/>
      <c r="BK42" s="126"/>
      <c r="BL42" s="126"/>
      <c r="BM42" s="126"/>
      <c r="BN42" s="126"/>
      <c r="BO42" s="126"/>
      <c r="BP42" s="126"/>
      <c r="BQ42" s="126"/>
      <c r="BR42" s="126"/>
      <c r="BS42" s="126"/>
      <c r="BT42" s="126"/>
      <c r="BU42" s="126"/>
      <c r="BV42" s="126"/>
      <c r="BW42" s="126"/>
      <c r="BX42" s="126"/>
      <c r="BY42" s="126"/>
      <c r="BZ42" s="126"/>
      <c r="CA42" s="126"/>
      <c r="CB42" s="126"/>
      <c r="CC42" s="126"/>
      <c r="CD42" s="112"/>
      <c r="CE42" s="111"/>
    </row>
    <row r="43" spans="1:83" s="30" customFormat="1" ht="15" customHeight="1" outlineLevel="1" x14ac:dyDescent="0.3">
      <c r="A43" s="44"/>
      <c r="D43" s="132"/>
      <c r="E43" s="27"/>
      <c r="F43" s="27"/>
      <c r="G43" s="27"/>
      <c r="H43" s="27"/>
      <c r="I43" s="31"/>
      <c r="J43" s="31"/>
      <c r="K43" s="31"/>
      <c r="L43" s="31"/>
      <c r="M43" s="2"/>
      <c r="N43" s="29"/>
      <c r="O43" s="97"/>
      <c r="P43" s="29"/>
      <c r="Q43" s="29"/>
      <c r="R43" s="29"/>
      <c r="S43" s="29"/>
      <c r="T43" s="29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  <c r="BP43" s="97"/>
      <c r="BQ43" s="97"/>
      <c r="BR43" s="97"/>
      <c r="BS43" s="97"/>
      <c r="BT43" s="97"/>
      <c r="BU43" s="97"/>
      <c r="BV43" s="97"/>
      <c r="BW43" s="97"/>
      <c r="BX43" s="97"/>
      <c r="BY43" s="97"/>
      <c r="BZ43" s="97"/>
      <c r="CA43" s="97"/>
      <c r="CB43" s="97"/>
      <c r="CC43" s="97"/>
      <c r="CD43" s="50"/>
      <c r="CE43" s="44"/>
    </row>
    <row r="44" spans="1:83" s="30" customFormat="1" ht="15" customHeight="1" outlineLevel="1" x14ac:dyDescent="0.3">
      <c r="A44" s="44"/>
      <c r="D44" s="105" t="s">
        <v>47</v>
      </c>
      <c r="E44" s="105"/>
      <c r="F44" s="105"/>
      <c r="G44" s="105"/>
      <c r="H44" s="105"/>
      <c r="I44" s="91"/>
      <c r="J44" s="91"/>
      <c r="K44" s="91"/>
      <c r="L44" s="91"/>
      <c r="M44" s="103"/>
      <c r="N44" s="93"/>
      <c r="O44" s="97"/>
      <c r="P44" s="104"/>
      <c r="Q44" s="104"/>
      <c r="R44" s="104"/>
      <c r="S44" s="104"/>
      <c r="T44" s="104"/>
      <c r="U44" s="97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  <c r="AJ44" s="104"/>
      <c r="AK44" s="104"/>
      <c r="AL44" s="104"/>
      <c r="AM44" s="104"/>
      <c r="AN44" s="104"/>
      <c r="AO44" s="104"/>
      <c r="AP44" s="104"/>
      <c r="AQ44" s="104"/>
      <c r="AR44" s="104"/>
      <c r="AS44" s="104"/>
      <c r="AT44" s="104"/>
      <c r="AU44" s="104"/>
      <c r="AV44" s="104"/>
      <c r="AW44" s="104"/>
      <c r="AX44" s="104"/>
      <c r="AY44" s="104"/>
      <c r="AZ44" s="104"/>
      <c r="BA44" s="104"/>
      <c r="BB44" s="104"/>
      <c r="BC44" s="104"/>
      <c r="BD44" s="104"/>
      <c r="BE44" s="104"/>
      <c r="BF44" s="104"/>
      <c r="BG44" s="104"/>
      <c r="BH44" s="104"/>
      <c r="BI44" s="104"/>
      <c r="BJ44" s="104"/>
      <c r="BK44" s="104"/>
      <c r="BL44" s="104"/>
      <c r="BM44" s="104"/>
      <c r="BN44" s="104"/>
      <c r="BO44" s="104"/>
      <c r="BP44" s="104"/>
      <c r="BQ44" s="104"/>
      <c r="BR44" s="104"/>
      <c r="BS44" s="104"/>
      <c r="BT44" s="104"/>
      <c r="BU44" s="104"/>
      <c r="BV44" s="104"/>
      <c r="BW44" s="104"/>
      <c r="BX44" s="104"/>
      <c r="BY44" s="104"/>
      <c r="BZ44" s="104"/>
      <c r="CA44" s="104"/>
      <c r="CB44" s="104"/>
      <c r="CC44" s="104"/>
      <c r="CD44" s="29"/>
      <c r="CE44" s="44"/>
    </row>
    <row r="45" spans="1:83" s="30" customFormat="1" ht="15" customHeight="1" outlineLevel="1" x14ac:dyDescent="0.3">
      <c r="A45" s="44"/>
      <c r="D45" s="141"/>
      <c r="E45" s="39"/>
      <c r="F45" s="39"/>
      <c r="G45" s="39"/>
      <c r="H45" s="39"/>
      <c r="I45" s="31"/>
      <c r="J45" s="31"/>
      <c r="K45" s="31"/>
      <c r="L45" s="31"/>
      <c r="M45" s="68"/>
      <c r="N45" s="29"/>
      <c r="O45" s="97"/>
      <c r="P45" s="29"/>
      <c r="Q45" s="29"/>
      <c r="R45" s="29"/>
      <c r="S45" s="29"/>
      <c r="T45" s="29"/>
      <c r="U45" s="97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46"/>
      <c r="BP45" s="46"/>
      <c r="BQ45" s="46"/>
      <c r="BR45" s="46"/>
      <c r="BS45" s="46"/>
      <c r="BT45" s="46"/>
      <c r="BU45" s="46"/>
      <c r="BV45" s="46"/>
      <c r="BW45" s="46"/>
      <c r="BX45" s="46"/>
      <c r="BY45" s="46"/>
      <c r="BZ45" s="46"/>
      <c r="CA45" s="46"/>
      <c r="CB45" s="46"/>
      <c r="CC45" s="46"/>
      <c r="CE45" s="44"/>
    </row>
    <row r="46" spans="1:83" s="30" customFormat="1" ht="15" customHeight="1" outlineLevel="1" x14ac:dyDescent="0.3">
      <c r="A46" s="44"/>
      <c r="D46" s="141" t="s">
        <v>60</v>
      </c>
      <c r="E46" s="39"/>
      <c r="F46" s="39"/>
      <c r="G46" s="39"/>
      <c r="H46" s="39"/>
      <c r="I46" s="31"/>
      <c r="J46" s="31"/>
      <c r="K46" s="31"/>
      <c r="L46" s="31"/>
      <c r="M46" s="68"/>
      <c r="N46" s="29"/>
      <c r="O46" s="97"/>
      <c r="P46" s="29"/>
      <c r="Q46" s="29"/>
      <c r="R46" s="29"/>
      <c r="S46" s="29"/>
      <c r="T46" s="29"/>
      <c r="U46" s="97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  <c r="BO46" s="46"/>
      <c r="BP46" s="46"/>
      <c r="BQ46" s="46"/>
      <c r="BR46" s="46"/>
      <c r="BS46" s="46"/>
      <c r="BT46" s="46"/>
      <c r="BU46" s="46"/>
      <c r="BV46" s="46"/>
      <c r="BW46" s="46"/>
      <c r="BX46" s="46"/>
      <c r="BY46" s="46"/>
      <c r="BZ46" s="46"/>
      <c r="CA46" s="46"/>
      <c r="CB46" s="46"/>
      <c r="CC46" s="46"/>
      <c r="CE46" s="44"/>
    </row>
    <row r="47" spans="1:83" s="30" customFormat="1" ht="15" customHeight="1" outlineLevel="1" x14ac:dyDescent="0.3">
      <c r="A47" s="44"/>
      <c r="D47" s="145"/>
      <c r="E47" s="56"/>
      <c r="F47" s="56"/>
      <c r="G47" s="56"/>
      <c r="H47" s="56"/>
      <c r="I47" s="52"/>
      <c r="J47" s="52"/>
      <c r="K47" s="52"/>
      <c r="L47" s="52"/>
      <c r="M47" s="47"/>
      <c r="N47" s="285"/>
      <c r="O47" s="283"/>
      <c r="P47" s="286"/>
      <c r="Q47" s="286"/>
      <c r="R47" s="286"/>
      <c r="S47" s="286"/>
      <c r="T47" s="286"/>
      <c r="U47" s="283"/>
      <c r="V47" s="287"/>
      <c r="W47" s="287"/>
      <c r="X47" s="287"/>
      <c r="Y47" s="287"/>
      <c r="Z47" s="287"/>
      <c r="AA47" s="287"/>
      <c r="AB47" s="287"/>
      <c r="AC47" s="287"/>
      <c r="AD47" s="287"/>
      <c r="AE47" s="287"/>
      <c r="AF47" s="287"/>
      <c r="AG47" s="287"/>
      <c r="AH47" s="287"/>
      <c r="AI47" s="287"/>
      <c r="AJ47" s="287"/>
      <c r="AK47" s="287"/>
      <c r="AL47" s="287"/>
      <c r="AM47" s="287"/>
      <c r="AN47" s="287"/>
      <c r="AO47" s="287"/>
      <c r="AP47" s="287"/>
      <c r="AQ47" s="287"/>
      <c r="AR47" s="287"/>
      <c r="AS47" s="287"/>
      <c r="AT47" s="287"/>
      <c r="AU47" s="287"/>
      <c r="AV47" s="287"/>
      <c r="AW47" s="287"/>
      <c r="AX47" s="287"/>
      <c r="AY47" s="287"/>
      <c r="AZ47" s="287"/>
      <c r="BA47" s="287"/>
      <c r="BB47" s="287"/>
      <c r="BC47" s="287"/>
      <c r="BD47" s="287"/>
      <c r="BE47" s="287"/>
      <c r="BF47" s="287"/>
      <c r="BG47" s="287"/>
      <c r="BH47" s="287"/>
      <c r="BI47" s="287"/>
      <c r="BJ47" s="287"/>
      <c r="BK47" s="287"/>
      <c r="BL47" s="287"/>
      <c r="BM47" s="287"/>
      <c r="BN47" s="287"/>
      <c r="BO47" s="287"/>
      <c r="BP47" s="287"/>
      <c r="BQ47" s="287"/>
      <c r="BR47" s="287"/>
      <c r="BS47" s="287"/>
      <c r="BT47" s="287"/>
      <c r="BU47" s="287"/>
      <c r="BV47" s="287"/>
      <c r="BW47" s="287"/>
      <c r="BX47" s="287"/>
      <c r="BY47" s="287"/>
      <c r="BZ47" s="287"/>
      <c r="CA47" s="287"/>
      <c r="CB47" s="287"/>
      <c r="CC47" s="287"/>
      <c r="CD47" s="29"/>
      <c r="CE47" s="44"/>
    </row>
    <row r="48" spans="1:83" s="30" customFormat="1" ht="15" customHeight="1" outlineLevel="1" x14ac:dyDescent="0.3">
      <c r="A48" s="44"/>
      <c r="D48" s="145"/>
      <c r="E48" s="56"/>
      <c r="F48" s="56"/>
      <c r="G48" s="56"/>
      <c r="H48" s="56"/>
      <c r="I48" s="52"/>
      <c r="J48" s="52"/>
      <c r="K48" s="52"/>
      <c r="L48" s="52"/>
      <c r="M48" s="47"/>
      <c r="N48" s="285"/>
      <c r="O48" s="283"/>
      <c r="P48" s="286"/>
      <c r="Q48" s="286"/>
      <c r="R48" s="286"/>
      <c r="S48" s="286"/>
      <c r="T48" s="286"/>
      <c r="U48" s="283"/>
      <c r="V48" s="287"/>
      <c r="W48" s="287"/>
      <c r="X48" s="287"/>
      <c r="Y48" s="287"/>
      <c r="Z48" s="287"/>
      <c r="AA48" s="287"/>
      <c r="AB48" s="287"/>
      <c r="AC48" s="287"/>
      <c r="AD48" s="287"/>
      <c r="AE48" s="287"/>
      <c r="AF48" s="287"/>
      <c r="AG48" s="287"/>
      <c r="AH48" s="287"/>
      <c r="AI48" s="287"/>
      <c r="AJ48" s="287"/>
      <c r="AK48" s="287"/>
      <c r="AL48" s="287"/>
      <c r="AM48" s="287"/>
      <c r="AN48" s="287"/>
      <c r="AO48" s="287"/>
      <c r="AP48" s="287"/>
      <c r="AQ48" s="287"/>
      <c r="AR48" s="287"/>
      <c r="AS48" s="287"/>
      <c r="AT48" s="287"/>
      <c r="AU48" s="287"/>
      <c r="AV48" s="287"/>
      <c r="AW48" s="287"/>
      <c r="AX48" s="287"/>
      <c r="AY48" s="287"/>
      <c r="AZ48" s="287"/>
      <c r="BA48" s="287"/>
      <c r="BB48" s="287"/>
      <c r="BC48" s="287"/>
      <c r="BD48" s="287"/>
      <c r="BE48" s="287"/>
      <c r="BF48" s="287"/>
      <c r="BG48" s="287"/>
      <c r="BH48" s="287"/>
      <c r="BI48" s="287"/>
      <c r="BJ48" s="287"/>
      <c r="BK48" s="287"/>
      <c r="BL48" s="287"/>
      <c r="BM48" s="287"/>
      <c r="BN48" s="287"/>
      <c r="BO48" s="287"/>
      <c r="BP48" s="287"/>
      <c r="BQ48" s="287"/>
      <c r="BR48" s="287"/>
      <c r="BS48" s="287"/>
      <c r="BT48" s="287"/>
      <c r="BU48" s="287"/>
      <c r="BV48" s="287"/>
      <c r="BW48" s="287"/>
      <c r="BX48" s="287"/>
      <c r="BY48" s="287"/>
      <c r="BZ48" s="287"/>
      <c r="CA48" s="287"/>
      <c r="CB48" s="287"/>
      <c r="CC48" s="287"/>
      <c r="CD48" s="29"/>
      <c r="CE48" s="44"/>
    </row>
    <row r="49" spans="1:83" s="30" customFormat="1" ht="15" customHeight="1" outlineLevel="1" x14ac:dyDescent="0.3">
      <c r="A49" s="44"/>
      <c r="D49" s="141"/>
      <c r="E49" s="39"/>
      <c r="F49" s="39"/>
      <c r="G49" s="39"/>
      <c r="H49" s="39"/>
      <c r="I49" s="31"/>
      <c r="J49" s="31"/>
      <c r="K49" s="31"/>
      <c r="L49" s="31"/>
      <c r="M49" s="68"/>
      <c r="N49" s="29"/>
      <c r="O49" s="97"/>
      <c r="P49" s="29"/>
      <c r="Q49" s="29"/>
      <c r="R49" s="29"/>
      <c r="S49" s="29"/>
      <c r="T49" s="29"/>
      <c r="U49" s="97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6"/>
      <c r="BQ49" s="46"/>
      <c r="BR49" s="46"/>
      <c r="BS49" s="46"/>
      <c r="BT49" s="46"/>
      <c r="BU49" s="46"/>
      <c r="BV49" s="46"/>
      <c r="BW49" s="46"/>
      <c r="BX49" s="46"/>
      <c r="BY49" s="46"/>
      <c r="BZ49" s="46"/>
      <c r="CA49" s="46"/>
      <c r="CB49" s="46"/>
      <c r="CC49" s="46"/>
      <c r="CE49" s="44"/>
    </row>
    <row r="50" spans="1:83" s="30" customFormat="1" ht="15" customHeight="1" outlineLevel="1" x14ac:dyDescent="0.3">
      <c r="A50" s="44"/>
      <c r="D50" s="141" t="s">
        <v>5</v>
      </c>
      <c r="E50" s="39"/>
      <c r="F50" s="39"/>
      <c r="G50" s="39"/>
      <c r="H50" s="39"/>
      <c r="I50" s="31"/>
      <c r="J50" s="31"/>
      <c r="K50" s="31"/>
      <c r="L50" s="31"/>
      <c r="M50" s="68"/>
      <c r="N50" s="29"/>
      <c r="O50" s="97"/>
      <c r="P50" s="29"/>
      <c r="Q50" s="29"/>
      <c r="R50" s="29"/>
      <c r="S50" s="29"/>
      <c r="T50" s="29"/>
      <c r="U50" s="97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E50" s="44"/>
    </row>
    <row r="51" spans="1:83" s="30" customFormat="1" ht="15" customHeight="1" outlineLevel="1" x14ac:dyDescent="0.3">
      <c r="A51" s="44"/>
      <c r="D51" s="140" t="s">
        <v>185</v>
      </c>
      <c r="E51" s="39"/>
      <c r="F51" s="39"/>
      <c r="G51" s="39"/>
      <c r="H51" s="39"/>
      <c r="I51" s="31" t="str">
        <f>Ввод!$M$12</f>
        <v>руб</v>
      </c>
      <c r="J51" s="31"/>
      <c r="K51" s="31"/>
      <c r="L51" s="31"/>
      <c r="M51" s="68"/>
      <c r="N51" s="191">
        <f>SUM(P51:T51)</f>
        <v>-6350000</v>
      </c>
      <c r="O51" s="139"/>
      <c r="P51" s="191">
        <f>SUMIF($V$4:$EK$4,P$4,$V51:$EK51)</f>
        <v>-446000</v>
      </c>
      <c r="Q51" s="191">
        <f t="shared" ref="Q51:T54" si="72">SUMIF($V$4:$EK$4,Q$4,$V51:$EK51)</f>
        <v>-1044000</v>
      </c>
      <c r="R51" s="191">
        <f t="shared" si="72"/>
        <v>-1332000</v>
      </c>
      <c r="S51" s="191">
        <f t="shared" si="72"/>
        <v>-1620000</v>
      </c>
      <c r="T51" s="191">
        <f t="shared" si="72"/>
        <v>-1908000</v>
      </c>
      <c r="U51" s="139"/>
      <c r="V51" s="95">
        <v>0</v>
      </c>
      <c r="W51" s="95">
        <v>0</v>
      </c>
      <c r="X51" s="95">
        <v>0</v>
      </c>
      <c r="Y51" s="95">
        <v>0</v>
      </c>
      <c r="Z51" s="95">
        <v>0</v>
      </c>
      <c r="AA51" s="95">
        <f>(AA21*Ввод!$M$45)*-1</f>
        <v>-50000</v>
      </c>
      <c r="AB51" s="95">
        <f>(AB21*Ввод!$M$45)*-1</f>
        <v>-55000</v>
      </c>
      <c r="AC51" s="95">
        <f>(AC21*Ввод!$M$45)*-1</f>
        <v>-60000</v>
      </c>
      <c r="AD51" s="95">
        <f>(AD21*Ввод!$M$45)*-1</f>
        <v>-65000</v>
      </c>
      <c r="AE51" s="95">
        <f>(AE21*Ввод!$M$45)*-1</f>
        <v>-70000</v>
      </c>
      <c r="AF51" s="95">
        <f>(AF21*Ввод!$M$45)*-1</f>
        <v>-72000</v>
      </c>
      <c r="AG51" s="95">
        <f>(AG21*Ввод!$M$45)*-1</f>
        <v>-74000</v>
      </c>
      <c r="AH51" s="95">
        <f>(AH21*Ввод!$M$45)*-1</f>
        <v>-76000</v>
      </c>
      <c r="AI51" s="95">
        <f>(AI21*Ввод!$M$45)*-1</f>
        <v>-78000</v>
      </c>
      <c r="AJ51" s="95">
        <f>(AJ21*Ввод!$M$45)*-1</f>
        <v>-80000</v>
      </c>
      <c r="AK51" s="95">
        <f>(AK21*Ввод!$M$45)*-1</f>
        <v>-82000</v>
      </c>
      <c r="AL51" s="95">
        <f>(AL21*Ввод!$M$45)*-1</f>
        <v>-84000</v>
      </c>
      <c r="AM51" s="95">
        <f>(AM21*Ввод!$M$45)*-1</f>
        <v>-86000</v>
      </c>
      <c r="AN51" s="95">
        <f>(AN21*Ввод!$M$45)*-1</f>
        <v>-88000</v>
      </c>
      <c r="AO51" s="95">
        <f>(AO21*Ввод!$M$45)*-1</f>
        <v>-90000</v>
      </c>
      <c r="AP51" s="95">
        <f>(AP21*Ввод!$M$45)*-1</f>
        <v>-92000</v>
      </c>
      <c r="AQ51" s="95">
        <f>(AQ21*Ввод!$M$45)*-1</f>
        <v>-94000</v>
      </c>
      <c r="AR51" s="95">
        <f>(AR21*Ввод!$M$45)*-1</f>
        <v>-96000</v>
      </c>
      <c r="AS51" s="95">
        <f>(AS21*Ввод!$M$45)*-1</f>
        <v>-98000</v>
      </c>
      <c r="AT51" s="95">
        <f>(AT21*Ввод!$M$45)*-1</f>
        <v>-100000</v>
      </c>
      <c r="AU51" s="95">
        <f>(AU21*Ввод!$M$45)*-1</f>
        <v>-102000</v>
      </c>
      <c r="AV51" s="95">
        <f>(AV21*Ввод!$M$45)*-1</f>
        <v>-104000</v>
      </c>
      <c r="AW51" s="95">
        <f>(AW21*Ввод!$M$45)*-1</f>
        <v>-106000</v>
      </c>
      <c r="AX51" s="95">
        <f>(AX21*Ввод!$M$45)*-1</f>
        <v>-108000</v>
      </c>
      <c r="AY51" s="95">
        <f>(AY21*Ввод!$M$45)*-1</f>
        <v>-110000</v>
      </c>
      <c r="AZ51" s="95">
        <f>(AZ21*Ввод!$M$45)*-1</f>
        <v>-112000</v>
      </c>
      <c r="BA51" s="95">
        <f>(BA21*Ввод!$M$45)*-1</f>
        <v>-114000</v>
      </c>
      <c r="BB51" s="95">
        <f>(BB21*Ввод!$M$45)*-1</f>
        <v>-116000</v>
      </c>
      <c r="BC51" s="95">
        <f>(BC21*Ввод!$M$45)*-1</f>
        <v>-118000</v>
      </c>
      <c r="BD51" s="95">
        <f>(BD21*Ввод!$M$45)*-1</f>
        <v>-120000</v>
      </c>
      <c r="BE51" s="95">
        <f>(BE21*Ввод!$M$45)*-1</f>
        <v>-122000</v>
      </c>
      <c r="BF51" s="95">
        <f>(BF21*Ввод!$M$45)*-1</f>
        <v>-124000</v>
      </c>
      <c r="BG51" s="95">
        <f>(BG21*Ввод!$M$45)*-1</f>
        <v>-126000</v>
      </c>
      <c r="BH51" s="95">
        <f>(BH21*Ввод!$M$45)*-1</f>
        <v>-128000</v>
      </c>
      <c r="BI51" s="95">
        <f>(BI21*Ввод!$M$45)*-1</f>
        <v>-130000</v>
      </c>
      <c r="BJ51" s="95">
        <f>(BJ21*Ввод!$M$45)*-1</f>
        <v>-132000</v>
      </c>
      <c r="BK51" s="95">
        <f>(BK21*Ввод!$M$45)*-1</f>
        <v>-134000</v>
      </c>
      <c r="BL51" s="95">
        <f>(BL21*Ввод!$M$45)*-1</f>
        <v>-136000</v>
      </c>
      <c r="BM51" s="95">
        <f>(BM21*Ввод!$M$45)*-1</f>
        <v>-138000</v>
      </c>
      <c r="BN51" s="95">
        <f>(BN21*Ввод!$M$45)*-1</f>
        <v>-140000</v>
      </c>
      <c r="BO51" s="95">
        <f>(BO21*Ввод!$M$45)*-1</f>
        <v>-142000</v>
      </c>
      <c r="BP51" s="95">
        <f>(BP21*Ввод!$M$45)*-1</f>
        <v>-144000</v>
      </c>
      <c r="BQ51" s="95">
        <f>(BQ21*Ввод!$M$45)*-1</f>
        <v>-146000</v>
      </c>
      <c r="BR51" s="95">
        <f>(BR21*Ввод!$M$45)*-1</f>
        <v>-148000</v>
      </c>
      <c r="BS51" s="95">
        <f>(BS21*Ввод!$M$45)*-1</f>
        <v>-150000</v>
      </c>
      <c r="BT51" s="95">
        <f>(BT21*Ввод!$M$45)*-1</f>
        <v>-152000</v>
      </c>
      <c r="BU51" s="95">
        <f>(BU21*Ввод!$M$45)*-1</f>
        <v>-154000</v>
      </c>
      <c r="BV51" s="95">
        <f>(BV21*Ввод!$M$45)*-1</f>
        <v>-156000</v>
      </c>
      <c r="BW51" s="95">
        <f>(BW21*Ввод!$M$45)*-1</f>
        <v>-158000</v>
      </c>
      <c r="BX51" s="95">
        <f>(BX21*Ввод!$M$45)*-1</f>
        <v>-160000</v>
      </c>
      <c r="BY51" s="95">
        <f>(BY21*Ввод!$M$45)*-1</f>
        <v>-162000</v>
      </c>
      <c r="BZ51" s="95">
        <f>(BZ21*Ввод!$M$45)*-1</f>
        <v>-164000</v>
      </c>
      <c r="CA51" s="95">
        <f>(CA21*Ввод!$M$45)*-1</f>
        <v>-166000</v>
      </c>
      <c r="CB51" s="95">
        <f>(CB21*Ввод!$M$45)*-1</f>
        <v>-168000</v>
      </c>
      <c r="CC51" s="95">
        <f>(CC21*Ввод!$M$45)*-1</f>
        <v>-170000</v>
      </c>
      <c r="CE51" s="44"/>
    </row>
    <row r="52" spans="1:83" s="30" customFormat="1" ht="15" customHeight="1" outlineLevel="1" x14ac:dyDescent="0.3">
      <c r="A52" s="44"/>
      <c r="D52" s="140" t="s">
        <v>186</v>
      </c>
      <c r="E52" s="39"/>
      <c r="F52" s="39"/>
      <c r="G52" s="39"/>
      <c r="H52" s="39"/>
      <c r="I52" s="31" t="str">
        <f>Ввод!$M$12</f>
        <v>руб</v>
      </c>
      <c r="J52" s="31"/>
      <c r="K52" s="31"/>
      <c r="L52" s="31"/>
      <c r="M52" s="68"/>
      <c r="N52" s="191">
        <f>SUM(P52:T52)</f>
        <v>-6350000</v>
      </c>
      <c r="O52" s="139"/>
      <c r="P52" s="191">
        <f>SUMIF($V$4:$EK$4,P$4,$V52:$EK52)</f>
        <v>-446000</v>
      </c>
      <c r="Q52" s="191">
        <f t="shared" si="72"/>
        <v>-1044000</v>
      </c>
      <c r="R52" s="191">
        <f t="shared" si="72"/>
        <v>-1332000</v>
      </c>
      <c r="S52" s="191">
        <f t="shared" si="72"/>
        <v>-1620000</v>
      </c>
      <c r="T52" s="191">
        <f t="shared" si="72"/>
        <v>-1908000</v>
      </c>
      <c r="U52" s="139"/>
      <c r="V52" s="95">
        <v>0</v>
      </c>
      <c r="W52" s="95">
        <v>0</v>
      </c>
      <c r="X52" s="95">
        <v>0</v>
      </c>
      <c r="Y52" s="95">
        <v>0</v>
      </c>
      <c r="Z52" s="95">
        <v>0</v>
      </c>
      <c r="AA52" s="95">
        <f>(AA21*Ввод!$M$46)*-1</f>
        <v>-50000</v>
      </c>
      <c r="AB52" s="95">
        <f>(AB21*Ввод!$M$46)*-1</f>
        <v>-55000</v>
      </c>
      <c r="AC52" s="95">
        <f>(AC21*Ввод!$M$46)*-1</f>
        <v>-60000</v>
      </c>
      <c r="AD52" s="95">
        <f>(AD21*Ввод!$M$46)*-1</f>
        <v>-65000</v>
      </c>
      <c r="AE52" s="95">
        <f>(AE21*Ввод!$M$46)*-1</f>
        <v>-70000</v>
      </c>
      <c r="AF52" s="95">
        <f>(AF21*Ввод!$M$46)*-1</f>
        <v>-72000</v>
      </c>
      <c r="AG52" s="95">
        <f>(AG21*Ввод!$M$46)*-1</f>
        <v>-74000</v>
      </c>
      <c r="AH52" s="95">
        <f>(AH21*Ввод!$M$46)*-1</f>
        <v>-76000</v>
      </c>
      <c r="AI52" s="95">
        <f>(AI21*Ввод!$M$46)*-1</f>
        <v>-78000</v>
      </c>
      <c r="AJ52" s="95">
        <f>(AJ21*Ввод!$M$46)*-1</f>
        <v>-80000</v>
      </c>
      <c r="AK52" s="95">
        <f>(AK21*Ввод!$M$46)*-1</f>
        <v>-82000</v>
      </c>
      <c r="AL52" s="95">
        <f>(AL21*Ввод!$M$46)*-1</f>
        <v>-84000</v>
      </c>
      <c r="AM52" s="95">
        <f>(AM21*Ввод!$M$46)*-1</f>
        <v>-86000</v>
      </c>
      <c r="AN52" s="95">
        <f>(AN21*Ввод!$M$46)*-1</f>
        <v>-88000</v>
      </c>
      <c r="AO52" s="95">
        <f>(AO21*Ввод!$M$46)*-1</f>
        <v>-90000</v>
      </c>
      <c r="AP52" s="95">
        <f>(AP21*Ввод!$M$46)*-1</f>
        <v>-92000</v>
      </c>
      <c r="AQ52" s="95">
        <f>(AQ21*Ввод!$M$46)*-1</f>
        <v>-94000</v>
      </c>
      <c r="AR52" s="95">
        <f>(AR21*Ввод!$M$46)*-1</f>
        <v>-96000</v>
      </c>
      <c r="AS52" s="95">
        <f>(AS21*Ввод!$M$46)*-1</f>
        <v>-98000</v>
      </c>
      <c r="AT52" s="95">
        <f>(AT21*Ввод!$M$46)*-1</f>
        <v>-100000</v>
      </c>
      <c r="AU52" s="95">
        <f>(AU21*Ввод!$M$46)*-1</f>
        <v>-102000</v>
      </c>
      <c r="AV52" s="95">
        <f>(AV21*Ввод!$M$46)*-1</f>
        <v>-104000</v>
      </c>
      <c r="AW52" s="95">
        <f>(AW21*Ввод!$M$46)*-1</f>
        <v>-106000</v>
      </c>
      <c r="AX52" s="95">
        <f>(AX21*Ввод!$M$46)*-1</f>
        <v>-108000</v>
      </c>
      <c r="AY52" s="95">
        <f>(AY21*Ввод!$M$46)*-1</f>
        <v>-110000</v>
      </c>
      <c r="AZ52" s="95">
        <f>(AZ21*Ввод!$M$46)*-1</f>
        <v>-112000</v>
      </c>
      <c r="BA52" s="95">
        <f>(BA21*Ввод!$M$46)*-1</f>
        <v>-114000</v>
      </c>
      <c r="BB52" s="95">
        <f>(BB21*Ввод!$M$46)*-1</f>
        <v>-116000</v>
      </c>
      <c r="BC52" s="95">
        <f>(BC21*Ввод!$M$46)*-1</f>
        <v>-118000</v>
      </c>
      <c r="BD52" s="95">
        <f>(BD21*Ввод!$M$46)*-1</f>
        <v>-120000</v>
      </c>
      <c r="BE52" s="95">
        <f>(BE21*Ввод!$M$46)*-1</f>
        <v>-122000</v>
      </c>
      <c r="BF52" s="95">
        <f>(BF21*Ввод!$M$46)*-1</f>
        <v>-124000</v>
      </c>
      <c r="BG52" s="95">
        <f>(BG21*Ввод!$M$46)*-1</f>
        <v>-126000</v>
      </c>
      <c r="BH52" s="95">
        <f>(BH21*Ввод!$M$46)*-1</f>
        <v>-128000</v>
      </c>
      <c r="BI52" s="95">
        <f>(BI21*Ввод!$M$46)*-1</f>
        <v>-130000</v>
      </c>
      <c r="BJ52" s="95">
        <f>(BJ21*Ввод!$M$46)*-1</f>
        <v>-132000</v>
      </c>
      <c r="BK52" s="95">
        <f>(BK21*Ввод!$M$46)*-1</f>
        <v>-134000</v>
      </c>
      <c r="BL52" s="95">
        <f>(BL21*Ввод!$M$46)*-1</f>
        <v>-136000</v>
      </c>
      <c r="BM52" s="95">
        <f>(BM21*Ввод!$M$46)*-1</f>
        <v>-138000</v>
      </c>
      <c r="BN52" s="95">
        <f>(BN21*Ввод!$M$46)*-1</f>
        <v>-140000</v>
      </c>
      <c r="BO52" s="95">
        <f>(BO21*Ввод!$M$46)*-1</f>
        <v>-142000</v>
      </c>
      <c r="BP52" s="95">
        <f>(BP21*Ввод!$M$46)*-1</f>
        <v>-144000</v>
      </c>
      <c r="BQ52" s="95">
        <f>(BQ21*Ввод!$M$46)*-1</f>
        <v>-146000</v>
      </c>
      <c r="BR52" s="95">
        <f>(BR21*Ввод!$M$46)*-1</f>
        <v>-148000</v>
      </c>
      <c r="BS52" s="95">
        <f>(BS21*Ввод!$M$46)*-1</f>
        <v>-150000</v>
      </c>
      <c r="BT52" s="95">
        <f>(BT21*Ввод!$M$46)*-1</f>
        <v>-152000</v>
      </c>
      <c r="BU52" s="95">
        <f>(BU21*Ввод!$M$46)*-1</f>
        <v>-154000</v>
      </c>
      <c r="BV52" s="95">
        <f>(BV21*Ввод!$M$46)*-1</f>
        <v>-156000</v>
      </c>
      <c r="BW52" s="95">
        <f>(BW21*Ввод!$M$46)*-1</f>
        <v>-158000</v>
      </c>
      <c r="BX52" s="95">
        <f>(BX21*Ввод!$M$46)*-1</f>
        <v>-160000</v>
      </c>
      <c r="BY52" s="95">
        <f>(BY21*Ввод!$M$46)*-1</f>
        <v>-162000</v>
      </c>
      <c r="BZ52" s="95">
        <f>(BZ21*Ввод!$M$46)*-1</f>
        <v>-164000</v>
      </c>
      <c r="CA52" s="95">
        <f>(CA21*Ввод!$M$46)*-1</f>
        <v>-166000</v>
      </c>
      <c r="CB52" s="95">
        <f>(CB21*Ввод!$M$46)*-1</f>
        <v>-168000</v>
      </c>
      <c r="CC52" s="95">
        <f>(CC21*Ввод!$M$46)*-1</f>
        <v>-170000</v>
      </c>
      <c r="CE52" s="44"/>
    </row>
    <row r="53" spans="1:83" s="30" customFormat="1" ht="15" customHeight="1" outlineLevel="1" x14ac:dyDescent="0.3">
      <c r="A53" s="44"/>
      <c r="D53" s="140" t="s">
        <v>187</v>
      </c>
      <c r="E53" s="39"/>
      <c r="F53" s="39"/>
      <c r="G53" s="39"/>
      <c r="H53" s="39"/>
      <c r="I53" s="31" t="str">
        <f>Ввод!$M$12</f>
        <v>руб</v>
      </c>
      <c r="J53" s="31"/>
      <c r="K53" s="31"/>
      <c r="L53" s="31"/>
      <c r="M53" s="68"/>
      <c r="N53" s="191">
        <f>SUM(P53:T53)</f>
        <v>-6350000</v>
      </c>
      <c r="O53" s="139"/>
      <c r="P53" s="191">
        <f>SUMIF($V$4:$EK$4,P$4,$V53:$EK53)</f>
        <v>-446000</v>
      </c>
      <c r="Q53" s="191">
        <f t="shared" si="72"/>
        <v>-1044000</v>
      </c>
      <c r="R53" s="191">
        <f t="shared" si="72"/>
        <v>-1332000</v>
      </c>
      <c r="S53" s="191">
        <f t="shared" si="72"/>
        <v>-1620000</v>
      </c>
      <c r="T53" s="191">
        <f t="shared" si="72"/>
        <v>-1908000</v>
      </c>
      <c r="U53" s="139"/>
      <c r="V53" s="95">
        <v>0</v>
      </c>
      <c r="W53" s="95">
        <v>0</v>
      </c>
      <c r="X53" s="95">
        <v>0</v>
      </c>
      <c r="Y53" s="95">
        <v>0</v>
      </c>
      <c r="Z53" s="95">
        <v>0</v>
      </c>
      <c r="AA53" s="95">
        <f>(AA21*Ввод!$M$47)*-1</f>
        <v>-50000</v>
      </c>
      <c r="AB53" s="95">
        <f>(AB21*Ввод!$M$47)*-1</f>
        <v>-55000</v>
      </c>
      <c r="AC53" s="95">
        <f>(AC21*Ввод!$M$47)*-1</f>
        <v>-60000</v>
      </c>
      <c r="AD53" s="95">
        <f>(AD21*Ввод!$M$47)*-1</f>
        <v>-65000</v>
      </c>
      <c r="AE53" s="95">
        <f>(AE21*Ввод!$M$47)*-1</f>
        <v>-70000</v>
      </c>
      <c r="AF53" s="95">
        <f>(AF21*Ввод!$M$47)*-1</f>
        <v>-72000</v>
      </c>
      <c r="AG53" s="95">
        <f>(AG21*Ввод!$M$47)*-1</f>
        <v>-74000</v>
      </c>
      <c r="AH53" s="95">
        <f>(AH21*Ввод!$M$47)*-1</f>
        <v>-76000</v>
      </c>
      <c r="AI53" s="95">
        <f>(AI21*Ввод!$M$47)*-1</f>
        <v>-78000</v>
      </c>
      <c r="AJ53" s="95">
        <f>(AJ21*Ввод!$M$47)*-1</f>
        <v>-80000</v>
      </c>
      <c r="AK53" s="95">
        <f>(AK21*Ввод!$M$47)*-1</f>
        <v>-82000</v>
      </c>
      <c r="AL53" s="95">
        <f>(AL21*Ввод!$M$47)*-1</f>
        <v>-84000</v>
      </c>
      <c r="AM53" s="95">
        <f>(AM21*Ввод!$M$47)*-1</f>
        <v>-86000</v>
      </c>
      <c r="AN53" s="95">
        <f>(AN21*Ввод!$M$47)*-1</f>
        <v>-88000</v>
      </c>
      <c r="AO53" s="95">
        <f>(AO21*Ввод!$M$47)*-1</f>
        <v>-90000</v>
      </c>
      <c r="AP53" s="95">
        <f>(AP21*Ввод!$M$47)*-1</f>
        <v>-92000</v>
      </c>
      <c r="AQ53" s="95">
        <f>(AQ21*Ввод!$M$47)*-1</f>
        <v>-94000</v>
      </c>
      <c r="AR53" s="95">
        <f>(AR21*Ввод!$M$47)*-1</f>
        <v>-96000</v>
      </c>
      <c r="AS53" s="95">
        <f>(AS21*Ввод!$M$47)*-1</f>
        <v>-98000</v>
      </c>
      <c r="AT53" s="95">
        <f>(AT21*Ввод!$M$47)*-1</f>
        <v>-100000</v>
      </c>
      <c r="AU53" s="95">
        <f>(AU21*Ввод!$M$47)*-1</f>
        <v>-102000</v>
      </c>
      <c r="AV53" s="95">
        <f>(AV21*Ввод!$M$47)*-1</f>
        <v>-104000</v>
      </c>
      <c r="AW53" s="95">
        <f>(AW21*Ввод!$M$47)*-1</f>
        <v>-106000</v>
      </c>
      <c r="AX53" s="95">
        <f>(AX21*Ввод!$M$47)*-1</f>
        <v>-108000</v>
      </c>
      <c r="AY53" s="95">
        <f>(AY21*Ввод!$M$47)*-1</f>
        <v>-110000</v>
      </c>
      <c r="AZ53" s="95">
        <f>(AZ21*Ввод!$M$47)*-1</f>
        <v>-112000</v>
      </c>
      <c r="BA53" s="95">
        <f>(BA21*Ввод!$M$47)*-1</f>
        <v>-114000</v>
      </c>
      <c r="BB53" s="95">
        <f>(BB21*Ввод!$M$47)*-1</f>
        <v>-116000</v>
      </c>
      <c r="BC53" s="95">
        <f>(BC21*Ввод!$M$47)*-1</f>
        <v>-118000</v>
      </c>
      <c r="BD53" s="95">
        <f>(BD21*Ввод!$M$47)*-1</f>
        <v>-120000</v>
      </c>
      <c r="BE53" s="95">
        <f>(BE21*Ввод!$M$47)*-1</f>
        <v>-122000</v>
      </c>
      <c r="BF53" s="95">
        <f>(BF21*Ввод!$M$47)*-1</f>
        <v>-124000</v>
      </c>
      <c r="BG53" s="95">
        <f>(BG21*Ввод!$M$47)*-1</f>
        <v>-126000</v>
      </c>
      <c r="BH53" s="95">
        <f>(BH21*Ввод!$M$47)*-1</f>
        <v>-128000</v>
      </c>
      <c r="BI53" s="95">
        <f>(BI21*Ввод!$M$47)*-1</f>
        <v>-130000</v>
      </c>
      <c r="BJ53" s="95">
        <f>(BJ21*Ввод!$M$47)*-1</f>
        <v>-132000</v>
      </c>
      <c r="BK53" s="95">
        <f>(BK21*Ввод!$M$47)*-1</f>
        <v>-134000</v>
      </c>
      <c r="BL53" s="95">
        <f>(BL21*Ввод!$M$47)*-1</f>
        <v>-136000</v>
      </c>
      <c r="BM53" s="95">
        <f>(BM21*Ввод!$M$47)*-1</f>
        <v>-138000</v>
      </c>
      <c r="BN53" s="95">
        <f>(BN21*Ввод!$M$47)*-1</f>
        <v>-140000</v>
      </c>
      <c r="BO53" s="95">
        <f>(BO21*Ввод!$M$47)*-1</f>
        <v>-142000</v>
      </c>
      <c r="BP53" s="95">
        <f>(BP21*Ввод!$M$47)*-1</f>
        <v>-144000</v>
      </c>
      <c r="BQ53" s="95">
        <f>(BQ21*Ввод!$M$47)*-1</f>
        <v>-146000</v>
      </c>
      <c r="BR53" s="95">
        <f>(BR21*Ввод!$M$47)*-1</f>
        <v>-148000</v>
      </c>
      <c r="BS53" s="95">
        <f>(BS21*Ввод!$M$47)*-1</f>
        <v>-150000</v>
      </c>
      <c r="BT53" s="95">
        <f>(BT21*Ввод!$M$47)*-1</f>
        <v>-152000</v>
      </c>
      <c r="BU53" s="95">
        <f>(BU21*Ввод!$M$47)*-1</f>
        <v>-154000</v>
      </c>
      <c r="BV53" s="95">
        <f>(BV21*Ввод!$M$47)*-1</f>
        <v>-156000</v>
      </c>
      <c r="BW53" s="95">
        <f>(BW21*Ввод!$M$47)*-1</f>
        <v>-158000</v>
      </c>
      <c r="BX53" s="95">
        <f>(BX21*Ввод!$M$47)*-1</f>
        <v>-160000</v>
      </c>
      <c r="BY53" s="95">
        <f>(BY21*Ввод!$M$47)*-1</f>
        <v>-162000</v>
      </c>
      <c r="BZ53" s="95">
        <f>(BZ21*Ввод!$M$47)*-1</f>
        <v>-164000</v>
      </c>
      <c r="CA53" s="95">
        <f>(CA21*Ввод!$M$47)*-1</f>
        <v>-166000</v>
      </c>
      <c r="CB53" s="95">
        <f>(CB21*Ввод!$M$47)*-1</f>
        <v>-168000</v>
      </c>
      <c r="CC53" s="95">
        <f>(CC21*Ввод!$M$47)*-1</f>
        <v>-170000</v>
      </c>
      <c r="CE53" s="44"/>
    </row>
    <row r="54" spans="1:83" s="30" customFormat="1" ht="15" customHeight="1" outlineLevel="1" x14ac:dyDescent="0.3">
      <c r="A54" s="44"/>
      <c r="D54" s="140" t="s">
        <v>188</v>
      </c>
      <c r="E54" s="39"/>
      <c r="F54" s="39"/>
      <c r="G54" s="39"/>
      <c r="H54" s="39"/>
      <c r="I54" s="31" t="str">
        <f>Ввод!$M$12</f>
        <v>руб</v>
      </c>
      <c r="J54" s="31"/>
      <c r="K54" s="31"/>
      <c r="L54" s="31"/>
      <c r="M54" s="68"/>
      <c r="N54" s="191">
        <f>SUM(P54:T54)</f>
        <v>-1905000</v>
      </c>
      <c r="O54" s="139"/>
      <c r="P54" s="191">
        <f>SUMIF($V$4:$EK$4,P$4,$V54:$EK54)</f>
        <v>-133800</v>
      </c>
      <c r="Q54" s="191">
        <f t="shared" si="72"/>
        <v>-313200</v>
      </c>
      <c r="R54" s="191">
        <f t="shared" si="72"/>
        <v>-399600</v>
      </c>
      <c r="S54" s="191">
        <f t="shared" si="72"/>
        <v>-486000</v>
      </c>
      <c r="T54" s="191">
        <f t="shared" si="72"/>
        <v>-572400</v>
      </c>
      <c r="U54" s="139"/>
      <c r="V54" s="95">
        <v>0</v>
      </c>
      <c r="W54" s="95">
        <v>0</v>
      </c>
      <c r="X54" s="95">
        <v>0</v>
      </c>
      <c r="Y54" s="95">
        <v>0</v>
      </c>
      <c r="Z54" s="95">
        <v>0</v>
      </c>
      <c r="AA54" s="95">
        <f>(AA21*Ввод!$M$48)*-1</f>
        <v>-15000</v>
      </c>
      <c r="AB54" s="95">
        <f>(AB21*Ввод!$M$48)*-1</f>
        <v>-16500</v>
      </c>
      <c r="AC54" s="95">
        <f>(AC21*Ввод!$M$48)*-1</f>
        <v>-18000</v>
      </c>
      <c r="AD54" s="95">
        <f>(AD21*Ввод!$M$48)*-1</f>
        <v>-19500</v>
      </c>
      <c r="AE54" s="95">
        <f>(AE21*Ввод!$M$48)*-1</f>
        <v>-21000</v>
      </c>
      <c r="AF54" s="95">
        <f>(AF21*Ввод!$M$48)*-1</f>
        <v>-21600</v>
      </c>
      <c r="AG54" s="95">
        <f>(AG21*Ввод!$M$48)*-1</f>
        <v>-22200</v>
      </c>
      <c r="AH54" s="95">
        <f>(AH21*Ввод!$M$48)*-1</f>
        <v>-22800</v>
      </c>
      <c r="AI54" s="95">
        <f>(AI21*Ввод!$M$48)*-1</f>
        <v>-23400</v>
      </c>
      <c r="AJ54" s="95">
        <f>(AJ21*Ввод!$M$48)*-1</f>
        <v>-24000</v>
      </c>
      <c r="AK54" s="95">
        <f>(AK21*Ввод!$M$48)*-1</f>
        <v>-24600</v>
      </c>
      <c r="AL54" s="95">
        <f>(AL21*Ввод!$M$48)*-1</f>
        <v>-25200</v>
      </c>
      <c r="AM54" s="95">
        <f>(AM21*Ввод!$M$48)*-1</f>
        <v>-25800</v>
      </c>
      <c r="AN54" s="95">
        <f>(AN21*Ввод!$M$48)*-1</f>
        <v>-26400</v>
      </c>
      <c r="AO54" s="95">
        <f>(AO21*Ввод!$M$48)*-1</f>
        <v>-27000</v>
      </c>
      <c r="AP54" s="95">
        <f>(AP21*Ввод!$M$48)*-1</f>
        <v>-27600</v>
      </c>
      <c r="AQ54" s="95">
        <f>(AQ21*Ввод!$M$48)*-1</f>
        <v>-28200</v>
      </c>
      <c r="AR54" s="95">
        <f>(AR21*Ввод!$M$48)*-1</f>
        <v>-28800</v>
      </c>
      <c r="AS54" s="95">
        <f>(AS21*Ввод!$M$48)*-1</f>
        <v>-29400</v>
      </c>
      <c r="AT54" s="95">
        <f>(AT21*Ввод!$M$48)*-1</f>
        <v>-30000</v>
      </c>
      <c r="AU54" s="95">
        <f>(AU21*Ввод!$M$48)*-1</f>
        <v>-30600</v>
      </c>
      <c r="AV54" s="95">
        <f>(AV21*Ввод!$M$48)*-1</f>
        <v>-31200</v>
      </c>
      <c r="AW54" s="95">
        <f>(AW21*Ввод!$M$48)*-1</f>
        <v>-31800</v>
      </c>
      <c r="AX54" s="95">
        <f>(AX21*Ввод!$M$48)*-1</f>
        <v>-32400</v>
      </c>
      <c r="AY54" s="95">
        <f>(AY21*Ввод!$M$48)*-1</f>
        <v>-33000</v>
      </c>
      <c r="AZ54" s="95">
        <f>(AZ21*Ввод!$M$48)*-1</f>
        <v>-33600</v>
      </c>
      <c r="BA54" s="95">
        <f>(BA21*Ввод!$M$48)*-1</f>
        <v>-34200</v>
      </c>
      <c r="BB54" s="95">
        <f>(BB21*Ввод!$M$48)*-1</f>
        <v>-34800</v>
      </c>
      <c r="BC54" s="95">
        <f>(BC21*Ввод!$M$48)*-1</f>
        <v>-35400</v>
      </c>
      <c r="BD54" s="95">
        <f>(BD21*Ввод!$M$48)*-1</f>
        <v>-36000</v>
      </c>
      <c r="BE54" s="95">
        <f>(BE21*Ввод!$M$48)*-1</f>
        <v>-36600</v>
      </c>
      <c r="BF54" s="95">
        <f>(BF21*Ввод!$M$48)*-1</f>
        <v>-37200</v>
      </c>
      <c r="BG54" s="95">
        <f>(BG21*Ввод!$M$48)*-1</f>
        <v>-37800</v>
      </c>
      <c r="BH54" s="95">
        <f>(BH21*Ввод!$M$48)*-1</f>
        <v>-38400</v>
      </c>
      <c r="BI54" s="95">
        <f>(BI21*Ввод!$M$48)*-1</f>
        <v>-39000</v>
      </c>
      <c r="BJ54" s="95">
        <f>(BJ21*Ввод!$M$48)*-1</f>
        <v>-39600</v>
      </c>
      <c r="BK54" s="95">
        <f>(BK21*Ввод!$M$48)*-1</f>
        <v>-40200</v>
      </c>
      <c r="BL54" s="95">
        <f>(BL21*Ввод!$M$48)*-1</f>
        <v>-40800</v>
      </c>
      <c r="BM54" s="95">
        <f>(BM21*Ввод!$M$48)*-1</f>
        <v>-41400</v>
      </c>
      <c r="BN54" s="95">
        <f>(BN21*Ввод!$M$48)*-1</f>
        <v>-42000</v>
      </c>
      <c r="BO54" s="95">
        <f>(BO21*Ввод!$M$48)*-1</f>
        <v>-42600</v>
      </c>
      <c r="BP54" s="95">
        <f>(BP21*Ввод!$M$48)*-1</f>
        <v>-43200</v>
      </c>
      <c r="BQ54" s="95">
        <f>(BQ21*Ввод!$M$48)*-1</f>
        <v>-43800</v>
      </c>
      <c r="BR54" s="95">
        <f>(BR21*Ввод!$M$48)*-1</f>
        <v>-44400</v>
      </c>
      <c r="BS54" s="95">
        <f>(BS21*Ввод!$M$48)*-1</f>
        <v>-45000</v>
      </c>
      <c r="BT54" s="95">
        <f>(BT21*Ввод!$M$48)*-1</f>
        <v>-45600</v>
      </c>
      <c r="BU54" s="95">
        <f>(BU21*Ввод!$M$48)*-1</f>
        <v>-46200</v>
      </c>
      <c r="BV54" s="95">
        <f>(BV21*Ввод!$M$48)*-1</f>
        <v>-46800</v>
      </c>
      <c r="BW54" s="95">
        <f>(BW21*Ввод!$M$48)*-1</f>
        <v>-47400</v>
      </c>
      <c r="BX54" s="95">
        <f>(BX21*Ввод!$M$48)*-1</f>
        <v>-48000</v>
      </c>
      <c r="BY54" s="95">
        <f>(BY21*Ввод!$M$48)*-1</f>
        <v>-48600</v>
      </c>
      <c r="BZ54" s="95">
        <f>(BZ21*Ввод!$M$48)*-1</f>
        <v>-49200</v>
      </c>
      <c r="CA54" s="95">
        <f>(CA21*Ввод!$M$48)*-1</f>
        <v>-49800</v>
      </c>
      <c r="CB54" s="95">
        <f>(CB21*Ввод!$M$48)*-1</f>
        <v>-50400</v>
      </c>
      <c r="CC54" s="95">
        <f>(CC21*Ввод!$M$48)*-1</f>
        <v>-51000</v>
      </c>
      <c r="CE54" s="44"/>
    </row>
    <row r="55" spans="1:83" s="73" customFormat="1" ht="15" customHeight="1" outlineLevel="1" x14ac:dyDescent="0.3">
      <c r="A55" s="87"/>
      <c r="D55" s="141" t="s">
        <v>47</v>
      </c>
      <c r="E55" s="39"/>
      <c r="F55" s="39"/>
      <c r="G55" s="39"/>
      <c r="H55" s="39"/>
      <c r="I55" s="6" t="str">
        <f>Ввод!$M$12</f>
        <v>руб</v>
      </c>
      <c r="J55" s="6"/>
      <c r="K55" s="6"/>
      <c r="L55" s="6"/>
      <c r="M55" s="89"/>
      <c r="N55" s="225">
        <f t="shared" ref="N55" si="73">SUM(P55:T55)</f>
        <v>-20955000</v>
      </c>
      <c r="O55" s="227"/>
      <c r="P55" s="225">
        <f t="shared" ref="P55:T55" si="74">SUMIF($V$4:$CC$4,P$4,$V55:$CC55)</f>
        <v>-1471800</v>
      </c>
      <c r="Q55" s="225">
        <f t="shared" si="74"/>
        <v>-3445200</v>
      </c>
      <c r="R55" s="225">
        <f t="shared" si="74"/>
        <v>-4395600</v>
      </c>
      <c r="S55" s="225">
        <f t="shared" si="74"/>
        <v>-5346000</v>
      </c>
      <c r="T55" s="225">
        <f t="shared" si="74"/>
        <v>-6296400</v>
      </c>
      <c r="U55" s="227"/>
      <c r="V55" s="226">
        <f t="shared" ref="V55:BA55" si="75">SUM(V51:V54)</f>
        <v>0</v>
      </c>
      <c r="W55" s="226">
        <f t="shared" si="75"/>
        <v>0</v>
      </c>
      <c r="X55" s="226">
        <f t="shared" si="75"/>
        <v>0</v>
      </c>
      <c r="Y55" s="226">
        <f t="shared" si="75"/>
        <v>0</v>
      </c>
      <c r="Z55" s="226">
        <f t="shared" si="75"/>
        <v>0</v>
      </c>
      <c r="AA55" s="226">
        <f t="shared" si="75"/>
        <v>-165000</v>
      </c>
      <c r="AB55" s="226">
        <f t="shared" si="75"/>
        <v>-181500</v>
      </c>
      <c r="AC55" s="226">
        <f t="shared" si="75"/>
        <v>-198000</v>
      </c>
      <c r="AD55" s="226">
        <f t="shared" si="75"/>
        <v>-214500</v>
      </c>
      <c r="AE55" s="226">
        <f t="shared" si="75"/>
        <v>-231000</v>
      </c>
      <c r="AF55" s="226">
        <f t="shared" si="75"/>
        <v>-237600</v>
      </c>
      <c r="AG55" s="226">
        <f t="shared" si="75"/>
        <v>-244200</v>
      </c>
      <c r="AH55" s="226">
        <f t="shared" si="75"/>
        <v>-250800</v>
      </c>
      <c r="AI55" s="226">
        <f t="shared" si="75"/>
        <v>-257400</v>
      </c>
      <c r="AJ55" s="226">
        <f t="shared" si="75"/>
        <v>-264000</v>
      </c>
      <c r="AK55" s="226">
        <f t="shared" si="75"/>
        <v>-270600</v>
      </c>
      <c r="AL55" s="226">
        <f t="shared" si="75"/>
        <v>-277200</v>
      </c>
      <c r="AM55" s="226">
        <f t="shared" si="75"/>
        <v>-283800</v>
      </c>
      <c r="AN55" s="226">
        <f t="shared" si="75"/>
        <v>-290400</v>
      </c>
      <c r="AO55" s="226">
        <f t="shared" si="75"/>
        <v>-297000</v>
      </c>
      <c r="AP55" s="226">
        <f t="shared" si="75"/>
        <v>-303600</v>
      </c>
      <c r="AQ55" s="226">
        <f t="shared" si="75"/>
        <v>-310200</v>
      </c>
      <c r="AR55" s="226">
        <f t="shared" si="75"/>
        <v>-316800</v>
      </c>
      <c r="AS55" s="226">
        <f t="shared" si="75"/>
        <v>-323400</v>
      </c>
      <c r="AT55" s="226">
        <f t="shared" si="75"/>
        <v>-330000</v>
      </c>
      <c r="AU55" s="226">
        <f t="shared" si="75"/>
        <v>-336600</v>
      </c>
      <c r="AV55" s="226">
        <f t="shared" si="75"/>
        <v>-343200</v>
      </c>
      <c r="AW55" s="226">
        <f t="shared" si="75"/>
        <v>-349800</v>
      </c>
      <c r="AX55" s="226">
        <f t="shared" si="75"/>
        <v>-356400</v>
      </c>
      <c r="AY55" s="226">
        <f t="shared" si="75"/>
        <v>-363000</v>
      </c>
      <c r="AZ55" s="226">
        <f t="shared" si="75"/>
        <v>-369600</v>
      </c>
      <c r="BA55" s="226">
        <f t="shared" si="75"/>
        <v>-376200</v>
      </c>
      <c r="BB55" s="226">
        <f t="shared" ref="BB55:CC55" si="76">SUM(BB51:BB54)</f>
        <v>-382800</v>
      </c>
      <c r="BC55" s="226">
        <f t="shared" si="76"/>
        <v>-389400</v>
      </c>
      <c r="BD55" s="226">
        <f t="shared" si="76"/>
        <v>-396000</v>
      </c>
      <c r="BE55" s="226">
        <f t="shared" si="76"/>
        <v>-402600</v>
      </c>
      <c r="BF55" s="226">
        <f t="shared" si="76"/>
        <v>-409200</v>
      </c>
      <c r="BG55" s="226">
        <f t="shared" si="76"/>
        <v>-415800</v>
      </c>
      <c r="BH55" s="226">
        <f t="shared" si="76"/>
        <v>-422400</v>
      </c>
      <c r="BI55" s="226">
        <f t="shared" si="76"/>
        <v>-429000</v>
      </c>
      <c r="BJ55" s="226">
        <f t="shared" si="76"/>
        <v>-435600</v>
      </c>
      <c r="BK55" s="226">
        <f t="shared" si="76"/>
        <v>-442200</v>
      </c>
      <c r="BL55" s="226">
        <f t="shared" si="76"/>
        <v>-448800</v>
      </c>
      <c r="BM55" s="226">
        <f t="shared" si="76"/>
        <v>-455400</v>
      </c>
      <c r="BN55" s="226">
        <f t="shared" si="76"/>
        <v>-462000</v>
      </c>
      <c r="BO55" s="226">
        <f t="shared" si="76"/>
        <v>-468600</v>
      </c>
      <c r="BP55" s="226">
        <f t="shared" si="76"/>
        <v>-475200</v>
      </c>
      <c r="BQ55" s="226">
        <f t="shared" si="76"/>
        <v>-481800</v>
      </c>
      <c r="BR55" s="226">
        <f t="shared" si="76"/>
        <v>-488400</v>
      </c>
      <c r="BS55" s="226">
        <f t="shared" si="76"/>
        <v>-495000</v>
      </c>
      <c r="BT55" s="226">
        <f t="shared" si="76"/>
        <v>-501600</v>
      </c>
      <c r="BU55" s="226">
        <f t="shared" si="76"/>
        <v>-508200</v>
      </c>
      <c r="BV55" s="226">
        <f t="shared" si="76"/>
        <v>-514800</v>
      </c>
      <c r="BW55" s="226">
        <f t="shared" si="76"/>
        <v>-521400</v>
      </c>
      <c r="BX55" s="226">
        <f t="shared" si="76"/>
        <v>-528000</v>
      </c>
      <c r="BY55" s="226">
        <f t="shared" si="76"/>
        <v>-534600</v>
      </c>
      <c r="BZ55" s="226">
        <f t="shared" si="76"/>
        <v>-541200</v>
      </c>
      <c r="CA55" s="226">
        <f t="shared" si="76"/>
        <v>-547800</v>
      </c>
      <c r="CB55" s="226">
        <f t="shared" si="76"/>
        <v>-554400</v>
      </c>
      <c r="CC55" s="226">
        <f t="shared" si="76"/>
        <v>-561000</v>
      </c>
      <c r="CE55" s="87"/>
    </row>
    <row r="56" spans="1:83" s="30" customFormat="1" ht="15" customHeight="1" outlineLevel="1" x14ac:dyDescent="0.3">
      <c r="A56" s="44"/>
      <c r="D56" s="140"/>
      <c r="E56" s="41"/>
      <c r="F56" s="41"/>
      <c r="G56" s="41"/>
      <c r="H56" s="41"/>
      <c r="I56" s="31"/>
      <c r="J56" s="31"/>
      <c r="K56" s="31"/>
      <c r="L56" s="31"/>
      <c r="M56" s="2"/>
      <c r="N56" s="29"/>
      <c r="O56" s="97"/>
      <c r="P56" s="29"/>
      <c r="Q56" s="29"/>
      <c r="R56" s="29"/>
      <c r="S56" s="29"/>
      <c r="T56" s="29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/>
      <c r="AK56" s="97"/>
      <c r="AL56" s="97"/>
      <c r="AM56" s="97"/>
      <c r="AN56" s="97"/>
      <c r="AO56" s="97"/>
      <c r="AP56" s="97"/>
      <c r="AQ56" s="97"/>
      <c r="AR56" s="97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  <c r="BP56" s="97"/>
      <c r="BQ56" s="97"/>
      <c r="BR56" s="97"/>
      <c r="BS56" s="97"/>
      <c r="BT56" s="97"/>
      <c r="BU56" s="97"/>
      <c r="BV56" s="97"/>
      <c r="BW56" s="97"/>
      <c r="BX56" s="97"/>
      <c r="BY56" s="97"/>
      <c r="BZ56" s="97"/>
      <c r="CA56" s="97"/>
      <c r="CB56" s="97"/>
      <c r="CC56" s="97"/>
      <c r="CE56" s="44"/>
    </row>
    <row r="57" spans="1:83" s="30" customFormat="1" ht="15" customHeight="1" outlineLevel="1" x14ac:dyDescent="0.3">
      <c r="A57" s="44"/>
      <c r="D57" s="105" t="s">
        <v>48</v>
      </c>
      <c r="E57" s="105"/>
      <c r="F57" s="105"/>
      <c r="G57" s="105"/>
      <c r="H57" s="105"/>
      <c r="I57" s="91"/>
      <c r="J57" s="91"/>
      <c r="K57" s="91"/>
      <c r="L57" s="91"/>
      <c r="M57" s="103"/>
      <c r="N57" s="93"/>
      <c r="O57" s="97"/>
      <c r="P57" s="104"/>
      <c r="Q57" s="104"/>
      <c r="R57" s="104"/>
      <c r="S57" s="104"/>
      <c r="T57" s="104"/>
      <c r="U57" s="97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04"/>
      <c r="AK57" s="104"/>
      <c r="AL57" s="104"/>
      <c r="AM57" s="104"/>
      <c r="AN57" s="104"/>
      <c r="AO57" s="104"/>
      <c r="AP57" s="104"/>
      <c r="AQ57" s="104"/>
      <c r="AR57" s="104"/>
      <c r="AS57" s="104"/>
      <c r="AT57" s="104"/>
      <c r="AU57" s="104"/>
      <c r="AV57" s="104"/>
      <c r="AW57" s="104"/>
      <c r="AX57" s="104"/>
      <c r="AY57" s="104"/>
      <c r="AZ57" s="104"/>
      <c r="BA57" s="104"/>
      <c r="BB57" s="104"/>
      <c r="BC57" s="104"/>
      <c r="BD57" s="104"/>
      <c r="BE57" s="104"/>
      <c r="BF57" s="104"/>
      <c r="BG57" s="104"/>
      <c r="BH57" s="104"/>
      <c r="BI57" s="104"/>
      <c r="BJ57" s="104"/>
      <c r="BK57" s="104"/>
      <c r="BL57" s="104"/>
      <c r="BM57" s="104"/>
      <c r="BN57" s="104"/>
      <c r="BO57" s="104"/>
      <c r="BP57" s="104"/>
      <c r="BQ57" s="104"/>
      <c r="BR57" s="104"/>
      <c r="BS57" s="104"/>
      <c r="BT57" s="104"/>
      <c r="BU57" s="104"/>
      <c r="BV57" s="104"/>
      <c r="BW57" s="104"/>
      <c r="BX57" s="104"/>
      <c r="BY57" s="104"/>
      <c r="BZ57" s="104"/>
      <c r="CA57" s="104"/>
      <c r="CB57" s="104"/>
      <c r="CC57" s="104"/>
      <c r="CD57" s="29"/>
      <c r="CE57" s="44"/>
    </row>
    <row r="58" spans="1:83" s="30" customFormat="1" ht="15" customHeight="1" outlineLevel="1" x14ac:dyDescent="0.3">
      <c r="A58" s="44"/>
      <c r="D58" s="141"/>
      <c r="E58" s="39"/>
      <c r="F58" s="39"/>
      <c r="G58" s="39"/>
      <c r="H58" s="39"/>
      <c r="I58" s="31"/>
      <c r="J58" s="31"/>
      <c r="K58" s="31"/>
      <c r="L58" s="31"/>
      <c r="M58" s="68"/>
      <c r="N58" s="29"/>
      <c r="O58" s="97"/>
      <c r="P58" s="29"/>
      <c r="Q58" s="29"/>
      <c r="R58" s="29"/>
      <c r="S58" s="29"/>
      <c r="T58" s="29"/>
      <c r="U58" s="97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E58" s="44"/>
    </row>
    <row r="59" spans="1:83" s="30" customFormat="1" ht="15" customHeight="1" outlineLevel="1" x14ac:dyDescent="0.3">
      <c r="A59" s="44"/>
      <c r="D59" s="141" t="s">
        <v>60</v>
      </c>
      <c r="E59" s="39"/>
      <c r="F59" s="39"/>
      <c r="G59" s="39"/>
      <c r="H59" s="39"/>
      <c r="I59" s="31"/>
      <c r="J59" s="31"/>
      <c r="K59" s="31"/>
      <c r="L59" s="31"/>
      <c r="M59" s="68"/>
      <c r="N59" s="29"/>
      <c r="O59" s="97"/>
      <c r="P59" s="29"/>
      <c r="Q59" s="29"/>
      <c r="R59" s="29"/>
      <c r="S59" s="29"/>
      <c r="T59" s="29"/>
      <c r="U59" s="97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E59" s="44"/>
    </row>
    <row r="60" spans="1:83" s="30" customFormat="1" ht="15" customHeight="1" outlineLevel="1" x14ac:dyDescent="0.3">
      <c r="A60" s="44"/>
      <c r="D60" s="145"/>
      <c r="E60" s="56"/>
      <c r="F60" s="56"/>
      <c r="G60" s="56"/>
      <c r="H60" s="56"/>
      <c r="I60" s="52"/>
      <c r="J60" s="52"/>
      <c r="K60" s="52"/>
      <c r="L60" s="52"/>
      <c r="M60" s="47"/>
      <c r="N60" s="285"/>
      <c r="O60" s="283"/>
      <c r="P60" s="286"/>
      <c r="Q60" s="286"/>
      <c r="R60" s="286"/>
      <c r="S60" s="286"/>
      <c r="T60" s="286"/>
      <c r="U60" s="283"/>
      <c r="V60" s="287"/>
      <c r="W60" s="287"/>
      <c r="X60" s="287"/>
      <c r="Y60" s="287"/>
      <c r="Z60" s="287"/>
      <c r="AA60" s="287"/>
      <c r="AB60" s="287"/>
      <c r="AC60" s="287"/>
      <c r="AD60" s="287"/>
      <c r="AE60" s="287"/>
      <c r="AF60" s="287"/>
      <c r="AG60" s="287"/>
      <c r="AH60" s="287"/>
      <c r="AI60" s="287"/>
      <c r="AJ60" s="287"/>
      <c r="AK60" s="287"/>
      <c r="AL60" s="287"/>
      <c r="AM60" s="287"/>
      <c r="AN60" s="287"/>
      <c r="AO60" s="287"/>
      <c r="AP60" s="287"/>
      <c r="AQ60" s="287"/>
      <c r="AR60" s="287"/>
      <c r="AS60" s="287"/>
      <c r="AT60" s="287"/>
      <c r="AU60" s="287"/>
      <c r="AV60" s="287"/>
      <c r="AW60" s="287"/>
      <c r="AX60" s="287"/>
      <c r="AY60" s="287"/>
      <c r="AZ60" s="287"/>
      <c r="BA60" s="287"/>
      <c r="BB60" s="287"/>
      <c r="BC60" s="287"/>
      <c r="BD60" s="287"/>
      <c r="BE60" s="287"/>
      <c r="BF60" s="287"/>
      <c r="BG60" s="287"/>
      <c r="BH60" s="287"/>
      <c r="BI60" s="287"/>
      <c r="BJ60" s="287"/>
      <c r="BK60" s="287"/>
      <c r="BL60" s="287"/>
      <c r="BM60" s="287"/>
      <c r="BN60" s="287"/>
      <c r="BO60" s="287"/>
      <c r="BP60" s="287"/>
      <c r="BQ60" s="287"/>
      <c r="BR60" s="287"/>
      <c r="BS60" s="287"/>
      <c r="BT60" s="287"/>
      <c r="BU60" s="287"/>
      <c r="BV60" s="287"/>
      <c r="BW60" s="287"/>
      <c r="BX60" s="287"/>
      <c r="BY60" s="287"/>
      <c r="BZ60" s="287"/>
      <c r="CA60" s="287"/>
      <c r="CB60" s="287"/>
      <c r="CC60" s="287"/>
      <c r="CD60" s="29"/>
      <c r="CE60" s="44"/>
    </row>
    <row r="61" spans="1:83" s="30" customFormat="1" ht="15" customHeight="1" outlineLevel="1" x14ac:dyDescent="0.3">
      <c r="A61" s="44"/>
      <c r="D61" s="145"/>
      <c r="E61" s="56"/>
      <c r="F61" s="56"/>
      <c r="G61" s="56"/>
      <c r="H61" s="56"/>
      <c r="I61" s="52"/>
      <c r="J61" s="52"/>
      <c r="K61" s="52"/>
      <c r="L61" s="52"/>
      <c r="M61" s="47"/>
      <c r="N61" s="285"/>
      <c r="O61" s="283"/>
      <c r="P61" s="286"/>
      <c r="Q61" s="286"/>
      <c r="R61" s="286"/>
      <c r="S61" s="286"/>
      <c r="T61" s="286"/>
      <c r="U61" s="283"/>
      <c r="V61" s="287"/>
      <c r="W61" s="287"/>
      <c r="X61" s="287"/>
      <c r="Y61" s="287"/>
      <c r="Z61" s="287"/>
      <c r="AA61" s="287"/>
      <c r="AB61" s="287"/>
      <c r="AC61" s="287"/>
      <c r="AD61" s="287"/>
      <c r="AE61" s="287"/>
      <c r="AF61" s="287"/>
      <c r="AG61" s="287"/>
      <c r="AH61" s="287"/>
      <c r="AI61" s="287"/>
      <c r="AJ61" s="287"/>
      <c r="AK61" s="287"/>
      <c r="AL61" s="287"/>
      <c r="AM61" s="287"/>
      <c r="AN61" s="287"/>
      <c r="AO61" s="287"/>
      <c r="AP61" s="287"/>
      <c r="AQ61" s="287"/>
      <c r="AR61" s="287"/>
      <c r="AS61" s="287"/>
      <c r="AT61" s="287"/>
      <c r="AU61" s="287"/>
      <c r="AV61" s="287"/>
      <c r="AW61" s="287"/>
      <c r="AX61" s="287"/>
      <c r="AY61" s="287"/>
      <c r="AZ61" s="287"/>
      <c r="BA61" s="287"/>
      <c r="BB61" s="287"/>
      <c r="BC61" s="287"/>
      <c r="BD61" s="287"/>
      <c r="BE61" s="287"/>
      <c r="BF61" s="287"/>
      <c r="BG61" s="287"/>
      <c r="BH61" s="287"/>
      <c r="BI61" s="287"/>
      <c r="BJ61" s="287"/>
      <c r="BK61" s="287"/>
      <c r="BL61" s="287"/>
      <c r="BM61" s="287"/>
      <c r="BN61" s="287"/>
      <c r="BO61" s="287"/>
      <c r="BP61" s="287"/>
      <c r="BQ61" s="287"/>
      <c r="BR61" s="287"/>
      <c r="BS61" s="287"/>
      <c r="BT61" s="287"/>
      <c r="BU61" s="287"/>
      <c r="BV61" s="287"/>
      <c r="BW61" s="287"/>
      <c r="BX61" s="287"/>
      <c r="BY61" s="287"/>
      <c r="BZ61" s="287"/>
      <c r="CA61" s="287"/>
      <c r="CB61" s="287"/>
      <c r="CC61" s="287"/>
      <c r="CD61" s="29"/>
      <c r="CE61" s="44"/>
    </row>
    <row r="62" spans="1:83" s="30" customFormat="1" ht="15" customHeight="1" outlineLevel="1" x14ac:dyDescent="0.3">
      <c r="A62" s="44"/>
      <c r="D62" s="141"/>
      <c r="E62" s="39"/>
      <c r="F62" s="39"/>
      <c r="G62" s="39"/>
      <c r="H62" s="39"/>
      <c r="I62" s="31"/>
      <c r="J62" s="31"/>
      <c r="K62" s="31"/>
      <c r="L62" s="31"/>
      <c r="M62" s="68"/>
      <c r="N62" s="29"/>
      <c r="O62" s="97"/>
      <c r="P62" s="29"/>
      <c r="Q62" s="29"/>
      <c r="R62" s="29"/>
      <c r="S62" s="29"/>
      <c r="T62" s="29"/>
      <c r="U62" s="97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6"/>
      <c r="BQ62" s="46"/>
      <c r="BR62" s="46"/>
      <c r="BS62" s="46"/>
      <c r="BT62" s="46"/>
      <c r="BU62" s="46"/>
      <c r="BV62" s="46"/>
      <c r="BW62" s="46"/>
      <c r="BX62" s="46"/>
      <c r="BY62" s="46"/>
      <c r="BZ62" s="46"/>
      <c r="CA62" s="46"/>
      <c r="CB62" s="46"/>
      <c r="CC62" s="46"/>
      <c r="CE62" s="44"/>
    </row>
    <row r="63" spans="1:83" s="30" customFormat="1" ht="15" customHeight="1" outlineLevel="1" x14ac:dyDescent="0.3">
      <c r="A63" s="44"/>
      <c r="D63" s="141"/>
      <c r="E63" s="39"/>
      <c r="F63" s="39"/>
      <c r="G63" s="39"/>
      <c r="H63" s="39"/>
      <c r="I63" s="31"/>
      <c r="J63" s="31"/>
      <c r="K63" s="31"/>
      <c r="L63" s="31"/>
      <c r="M63" s="68"/>
      <c r="N63" s="29"/>
      <c r="O63" s="97"/>
      <c r="P63" s="29"/>
      <c r="Q63" s="29"/>
      <c r="R63" s="29"/>
      <c r="S63" s="29"/>
      <c r="T63" s="29"/>
      <c r="U63" s="97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6"/>
      <c r="BN63" s="46"/>
      <c r="BO63" s="46"/>
      <c r="BP63" s="46"/>
      <c r="BQ63" s="46"/>
      <c r="BR63" s="46"/>
      <c r="BS63" s="46"/>
      <c r="BT63" s="46"/>
      <c r="BU63" s="46"/>
      <c r="BV63" s="46"/>
      <c r="BW63" s="46"/>
      <c r="BX63" s="46"/>
      <c r="BY63" s="46"/>
      <c r="BZ63" s="46"/>
      <c r="CA63" s="46"/>
      <c r="CB63" s="46"/>
      <c r="CC63" s="46"/>
      <c r="CE63" s="44"/>
    </row>
    <row r="64" spans="1:83" s="30" customFormat="1" ht="15" customHeight="1" outlineLevel="1" x14ac:dyDescent="0.3">
      <c r="A64" s="44"/>
      <c r="D64" s="141" t="s">
        <v>5</v>
      </c>
      <c r="E64" s="39"/>
      <c r="F64" s="39"/>
      <c r="G64" s="39"/>
      <c r="H64" s="39"/>
      <c r="I64" s="31"/>
      <c r="J64" s="31"/>
      <c r="K64" s="31"/>
      <c r="L64" s="31"/>
      <c r="M64" s="68"/>
      <c r="N64" s="29"/>
      <c r="O64" s="97"/>
      <c r="P64" s="29"/>
      <c r="Q64" s="29"/>
      <c r="R64" s="29"/>
      <c r="S64" s="29"/>
      <c r="T64" s="29"/>
      <c r="U64" s="97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6"/>
      <c r="BQ64" s="46"/>
      <c r="BR64" s="46"/>
      <c r="BS64" s="46"/>
      <c r="BT64" s="46"/>
      <c r="BU64" s="46"/>
      <c r="BV64" s="46"/>
      <c r="BW64" s="46"/>
      <c r="BX64" s="46"/>
      <c r="BY64" s="46"/>
      <c r="BZ64" s="46"/>
      <c r="CA64" s="46"/>
      <c r="CB64" s="46"/>
      <c r="CC64" s="46"/>
      <c r="CE64" s="44"/>
    </row>
    <row r="65" spans="1:83" s="30" customFormat="1" ht="15" customHeight="1" outlineLevel="1" x14ac:dyDescent="0.3">
      <c r="A65" s="44"/>
      <c r="D65" s="140" t="s">
        <v>189</v>
      </c>
      <c r="E65" s="39"/>
      <c r="F65" s="39"/>
      <c r="G65" s="39"/>
      <c r="H65" s="39"/>
      <c r="I65" s="31" t="str">
        <f>Ввод!$M$12</f>
        <v>руб</v>
      </c>
      <c r="J65" s="31"/>
      <c r="K65" s="31"/>
      <c r="L65" s="31"/>
      <c r="M65" s="68"/>
      <c r="N65" s="191">
        <f>SUM(P65:T65)</f>
        <v>-6000000</v>
      </c>
      <c r="O65" s="139"/>
      <c r="P65" s="191">
        <f>SUMIF($V$4:$EK$4,P$4,$V65:$EK65)</f>
        <v>-1200000</v>
      </c>
      <c r="Q65" s="191">
        <f t="shared" ref="Q65:T68" si="77">SUMIF($V$4:$EK$4,Q$4,$V65:$EK65)</f>
        <v>-1200000</v>
      </c>
      <c r="R65" s="191">
        <f t="shared" si="77"/>
        <v>-1200000</v>
      </c>
      <c r="S65" s="191">
        <f t="shared" si="77"/>
        <v>-1200000</v>
      </c>
      <c r="T65" s="191">
        <f t="shared" si="77"/>
        <v>-1200000</v>
      </c>
      <c r="U65" s="139"/>
      <c r="V65" s="46">
        <v>-100000</v>
      </c>
      <c r="W65" s="46">
        <v>-100000</v>
      </c>
      <c r="X65" s="46">
        <v>-100000</v>
      </c>
      <c r="Y65" s="46">
        <v>-100000</v>
      </c>
      <c r="Z65" s="46">
        <v>-100000</v>
      </c>
      <c r="AA65" s="46">
        <v>-100000</v>
      </c>
      <c r="AB65" s="46">
        <v>-100000</v>
      </c>
      <c r="AC65" s="46">
        <v>-100000</v>
      </c>
      <c r="AD65" s="46">
        <v>-100000</v>
      </c>
      <c r="AE65" s="46">
        <v>-100000</v>
      </c>
      <c r="AF65" s="46">
        <v>-100000</v>
      </c>
      <c r="AG65" s="46">
        <v>-100000</v>
      </c>
      <c r="AH65" s="46">
        <v>-100000</v>
      </c>
      <c r="AI65" s="46">
        <v>-100000</v>
      </c>
      <c r="AJ65" s="46">
        <v>-100000</v>
      </c>
      <c r="AK65" s="46">
        <v>-100000</v>
      </c>
      <c r="AL65" s="46">
        <v>-100000</v>
      </c>
      <c r="AM65" s="46">
        <v>-100000</v>
      </c>
      <c r="AN65" s="46">
        <v>-100000</v>
      </c>
      <c r="AO65" s="46">
        <v>-100000</v>
      </c>
      <c r="AP65" s="46">
        <v>-100000</v>
      </c>
      <c r="AQ65" s="46">
        <v>-100000</v>
      </c>
      <c r="AR65" s="46">
        <v>-100000</v>
      </c>
      <c r="AS65" s="46">
        <v>-100000</v>
      </c>
      <c r="AT65" s="46">
        <v>-100000</v>
      </c>
      <c r="AU65" s="46">
        <v>-100000</v>
      </c>
      <c r="AV65" s="46">
        <v>-100000</v>
      </c>
      <c r="AW65" s="46">
        <v>-100000</v>
      </c>
      <c r="AX65" s="46">
        <v>-100000</v>
      </c>
      <c r="AY65" s="46">
        <v>-100000</v>
      </c>
      <c r="AZ65" s="46">
        <v>-100000</v>
      </c>
      <c r="BA65" s="46">
        <v>-100000</v>
      </c>
      <c r="BB65" s="46">
        <v>-100000</v>
      </c>
      <c r="BC65" s="46">
        <v>-100000</v>
      </c>
      <c r="BD65" s="46">
        <v>-100000</v>
      </c>
      <c r="BE65" s="46">
        <v>-100000</v>
      </c>
      <c r="BF65" s="46">
        <v>-100000</v>
      </c>
      <c r="BG65" s="46">
        <v>-100000</v>
      </c>
      <c r="BH65" s="46">
        <v>-100000</v>
      </c>
      <c r="BI65" s="46">
        <v>-100000</v>
      </c>
      <c r="BJ65" s="46">
        <v>-100000</v>
      </c>
      <c r="BK65" s="46">
        <v>-100000</v>
      </c>
      <c r="BL65" s="46">
        <v>-100000</v>
      </c>
      <c r="BM65" s="46">
        <v>-100000</v>
      </c>
      <c r="BN65" s="46">
        <v>-100000</v>
      </c>
      <c r="BO65" s="46">
        <v>-100000</v>
      </c>
      <c r="BP65" s="46">
        <v>-100000</v>
      </c>
      <c r="BQ65" s="46">
        <v>-100000</v>
      </c>
      <c r="BR65" s="46">
        <v>-100000</v>
      </c>
      <c r="BS65" s="46">
        <v>-100000</v>
      </c>
      <c r="BT65" s="46">
        <v>-100000</v>
      </c>
      <c r="BU65" s="46">
        <v>-100000</v>
      </c>
      <c r="BV65" s="46">
        <v>-100000</v>
      </c>
      <c r="BW65" s="46">
        <v>-100000</v>
      </c>
      <c r="BX65" s="46">
        <v>-100000</v>
      </c>
      <c r="BY65" s="46">
        <v>-100000</v>
      </c>
      <c r="BZ65" s="46">
        <v>-100000</v>
      </c>
      <c r="CA65" s="46">
        <v>-100000</v>
      </c>
      <c r="CB65" s="46">
        <v>-100000</v>
      </c>
      <c r="CC65" s="46">
        <v>-100000</v>
      </c>
      <c r="CE65" s="44"/>
    </row>
    <row r="66" spans="1:83" s="30" customFormat="1" ht="15" customHeight="1" outlineLevel="1" x14ac:dyDescent="0.3">
      <c r="A66" s="44"/>
      <c r="D66" s="140" t="s">
        <v>190</v>
      </c>
      <c r="E66" s="39"/>
      <c r="F66" s="39"/>
      <c r="G66" s="39"/>
      <c r="H66" s="39"/>
      <c r="I66" s="31" t="str">
        <f>Ввод!$M$12</f>
        <v>руб</v>
      </c>
      <c r="J66" s="31"/>
      <c r="K66" s="31"/>
      <c r="L66" s="31"/>
      <c r="M66" s="68"/>
      <c r="N66" s="191">
        <f>SUM(P66:T66)</f>
        <v>-5550000</v>
      </c>
      <c r="O66" s="139"/>
      <c r="P66" s="191">
        <f>SUMIF($V$4:$EK$4,P$4,$V66:$EK66)</f>
        <v>-750000</v>
      </c>
      <c r="Q66" s="191">
        <f t="shared" si="77"/>
        <v>-1200000</v>
      </c>
      <c r="R66" s="191">
        <f t="shared" si="77"/>
        <v>-1200000</v>
      </c>
      <c r="S66" s="191">
        <f t="shared" si="77"/>
        <v>-1200000</v>
      </c>
      <c r="T66" s="191">
        <f t="shared" si="77"/>
        <v>-1200000</v>
      </c>
      <c r="U66" s="139"/>
      <c r="V66" s="46">
        <v>-10000</v>
      </c>
      <c r="W66" s="46">
        <v>-10000</v>
      </c>
      <c r="X66" s="46">
        <v>-10000</v>
      </c>
      <c r="Y66" s="46">
        <v>-10000</v>
      </c>
      <c r="Z66" s="46">
        <v>-10000</v>
      </c>
      <c r="AA66" s="46">
        <v>-100000</v>
      </c>
      <c r="AB66" s="46">
        <v>-100000</v>
      </c>
      <c r="AC66" s="46">
        <v>-100000</v>
      </c>
      <c r="AD66" s="46">
        <v>-100000</v>
      </c>
      <c r="AE66" s="46">
        <v>-100000</v>
      </c>
      <c r="AF66" s="46">
        <v>-100000</v>
      </c>
      <c r="AG66" s="46">
        <v>-100000</v>
      </c>
      <c r="AH66" s="46">
        <v>-100000</v>
      </c>
      <c r="AI66" s="46">
        <v>-100000</v>
      </c>
      <c r="AJ66" s="46">
        <v>-100000</v>
      </c>
      <c r="AK66" s="46">
        <v>-100000</v>
      </c>
      <c r="AL66" s="46">
        <v>-100000</v>
      </c>
      <c r="AM66" s="46">
        <v>-100000</v>
      </c>
      <c r="AN66" s="46">
        <v>-100000</v>
      </c>
      <c r="AO66" s="46">
        <v>-100000</v>
      </c>
      <c r="AP66" s="46">
        <v>-100000</v>
      </c>
      <c r="AQ66" s="46">
        <v>-100000</v>
      </c>
      <c r="AR66" s="46">
        <v>-100000</v>
      </c>
      <c r="AS66" s="46">
        <v>-100000</v>
      </c>
      <c r="AT66" s="46">
        <v>-100000</v>
      </c>
      <c r="AU66" s="46">
        <v>-100000</v>
      </c>
      <c r="AV66" s="46">
        <v>-100000</v>
      </c>
      <c r="AW66" s="46">
        <v>-100000</v>
      </c>
      <c r="AX66" s="46">
        <v>-100000</v>
      </c>
      <c r="AY66" s="46">
        <v>-100000</v>
      </c>
      <c r="AZ66" s="46">
        <v>-100000</v>
      </c>
      <c r="BA66" s="46">
        <v>-100000</v>
      </c>
      <c r="BB66" s="46">
        <v>-100000</v>
      </c>
      <c r="BC66" s="46">
        <v>-100000</v>
      </c>
      <c r="BD66" s="46">
        <v>-100000</v>
      </c>
      <c r="BE66" s="46">
        <v>-100000</v>
      </c>
      <c r="BF66" s="46">
        <v>-100000</v>
      </c>
      <c r="BG66" s="46">
        <v>-100000</v>
      </c>
      <c r="BH66" s="46">
        <v>-100000</v>
      </c>
      <c r="BI66" s="46">
        <v>-100000</v>
      </c>
      <c r="BJ66" s="46">
        <v>-100000</v>
      </c>
      <c r="BK66" s="46">
        <v>-100000</v>
      </c>
      <c r="BL66" s="46">
        <v>-100000</v>
      </c>
      <c r="BM66" s="46">
        <v>-100000</v>
      </c>
      <c r="BN66" s="46">
        <v>-100000</v>
      </c>
      <c r="BO66" s="46">
        <v>-100000</v>
      </c>
      <c r="BP66" s="46">
        <v>-100000</v>
      </c>
      <c r="BQ66" s="46">
        <v>-100000</v>
      </c>
      <c r="BR66" s="46">
        <v>-100000</v>
      </c>
      <c r="BS66" s="46">
        <v>-100000</v>
      </c>
      <c r="BT66" s="46">
        <v>-100000</v>
      </c>
      <c r="BU66" s="46">
        <v>-100000</v>
      </c>
      <c r="BV66" s="46">
        <v>-100000</v>
      </c>
      <c r="BW66" s="46">
        <v>-100000</v>
      </c>
      <c r="BX66" s="46">
        <v>-100000</v>
      </c>
      <c r="BY66" s="46">
        <v>-100000</v>
      </c>
      <c r="BZ66" s="46">
        <v>-100000</v>
      </c>
      <c r="CA66" s="46">
        <v>-100000</v>
      </c>
      <c r="CB66" s="46">
        <v>-100000</v>
      </c>
      <c r="CC66" s="46">
        <v>-100000</v>
      </c>
      <c r="CE66" s="44"/>
    </row>
    <row r="67" spans="1:83" s="30" customFormat="1" ht="15" customHeight="1" outlineLevel="1" x14ac:dyDescent="0.3">
      <c r="A67" s="44"/>
      <c r="D67" s="140" t="s">
        <v>191</v>
      </c>
      <c r="E67" s="39"/>
      <c r="F67" s="39"/>
      <c r="G67" s="39"/>
      <c r="H67" s="39"/>
      <c r="I67" s="31" t="str">
        <f>Ввод!$M$12</f>
        <v>руб</v>
      </c>
      <c r="J67" s="31"/>
      <c r="K67" s="31"/>
      <c r="L67" s="31"/>
      <c r="M67" s="68"/>
      <c r="N67" s="191">
        <f>SUM(P67:T67)</f>
        <v>-5750000</v>
      </c>
      <c r="O67" s="139"/>
      <c r="P67" s="191">
        <f>SUMIF($V$4:$EK$4,P$4,$V67:$EK67)</f>
        <v>-950000</v>
      </c>
      <c r="Q67" s="191">
        <f t="shared" si="77"/>
        <v>-1200000</v>
      </c>
      <c r="R67" s="191">
        <f t="shared" si="77"/>
        <v>-1200000</v>
      </c>
      <c r="S67" s="191">
        <f t="shared" si="77"/>
        <v>-1200000</v>
      </c>
      <c r="T67" s="191">
        <f t="shared" si="77"/>
        <v>-1200000</v>
      </c>
      <c r="U67" s="139"/>
      <c r="V67" s="46">
        <v>-50000</v>
      </c>
      <c r="W67" s="46">
        <v>-50000</v>
      </c>
      <c r="X67" s="46">
        <v>-50000</v>
      </c>
      <c r="Y67" s="46">
        <v>-50000</v>
      </c>
      <c r="Z67" s="46">
        <v>-50000</v>
      </c>
      <c r="AA67" s="46">
        <v>-100000</v>
      </c>
      <c r="AB67" s="46">
        <v>-100000</v>
      </c>
      <c r="AC67" s="46">
        <v>-100000</v>
      </c>
      <c r="AD67" s="46">
        <v>-100000</v>
      </c>
      <c r="AE67" s="46">
        <v>-100000</v>
      </c>
      <c r="AF67" s="46">
        <v>-100000</v>
      </c>
      <c r="AG67" s="46">
        <v>-100000</v>
      </c>
      <c r="AH67" s="46">
        <v>-100000</v>
      </c>
      <c r="AI67" s="46">
        <v>-100000</v>
      </c>
      <c r="AJ67" s="46">
        <v>-100000</v>
      </c>
      <c r="AK67" s="46">
        <v>-100000</v>
      </c>
      <c r="AL67" s="46">
        <v>-100000</v>
      </c>
      <c r="AM67" s="46">
        <v>-100000</v>
      </c>
      <c r="AN67" s="46">
        <v>-100000</v>
      </c>
      <c r="AO67" s="46">
        <v>-100000</v>
      </c>
      <c r="AP67" s="46">
        <v>-100000</v>
      </c>
      <c r="AQ67" s="46">
        <v>-100000</v>
      </c>
      <c r="AR67" s="46">
        <v>-100000</v>
      </c>
      <c r="AS67" s="46">
        <v>-100000</v>
      </c>
      <c r="AT67" s="46">
        <v>-100000</v>
      </c>
      <c r="AU67" s="46">
        <v>-100000</v>
      </c>
      <c r="AV67" s="46">
        <v>-100000</v>
      </c>
      <c r="AW67" s="46">
        <v>-100000</v>
      </c>
      <c r="AX67" s="46">
        <v>-100000</v>
      </c>
      <c r="AY67" s="46">
        <v>-100000</v>
      </c>
      <c r="AZ67" s="46">
        <v>-100000</v>
      </c>
      <c r="BA67" s="46">
        <v>-100000</v>
      </c>
      <c r="BB67" s="46">
        <v>-100000</v>
      </c>
      <c r="BC67" s="46">
        <v>-100000</v>
      </c>
      <c r="BD67" s="46">
        <v>-100000</v>
      </c>
      <c r="BE67" s="46">
        <v>-100000</v>
      </c>
      <c r="BF67" s="46">
        <v>-100000</v>
      </c>
      <c r="BG67" s="46">
        <v>-100000</v>
      </c>
      <c r="BH67" s="46">
        <v>-100000</v>
      </c>
      <c r="BI67" s="46">
        <v>-100000</v>
      </c>
      <c r="BJ67" s="46">
        <v>-100000</v>
      </c>
      <c r="BK67" s="46">
        <v>-100000</v>
      </c>
      <c r="BL67" s="46">
        <v>-100000</v>
      </c>
      <c r="BM67" s="46">
        <v>-100000</v>
      </c>
      <c r="BN67" s="46">
        <v>-100000</v>
      </c>
      <c r="BO67" s="46">
        <v>-100000</v>
      </c>
      <c r="BP67" s="46">
        <v>-100000</v>
      </c>
      <c r="BQ67" s="46">
        <v>-100000</v>
      </c>
      <c r="BR67" s="46">
        <v>-100000</v>
      </c>
      <c r="BS67" s="46">
        <v>-100000</v>
      </c>
      <c r="BT67" s="46">
        <v>-100000</v>
      </c>
      <c r="BU67" s="46">
        <v>-100000</v>
      </c>
      <c r="BV67" s="46">
        <v>-100000</v>
      </c>
      <c r="BW67" s="46">
        <v>-100000</v>
      </c>
      <c r="BX67" s="46">
        <v>-100000</v>
      </c>
      <c r="BY67" s="46">
        <v>-100000</v>
      </c>
      <c r="BZ67" s="46">
        <v>-100000</v>
      </c>
      <c r="CA67" s="46">
        <v>-100000</v>
      </c>
      <c r="CB67" s="46">
        <v>-100000</v>
      </c>
      <c r="CC67" s="46">
        <v>-100000</v>
      </c>
      <c r="CE67" s="44"/>
    </row>
    <row r="68" spans="1:83" s="30" customFormat="1" ht="15" customHeight="1" outlineLevel="1" x14ac:dyDescent="0.3">
      <c r="A68" s="44"/>
      <c r="D68" s="140" t="s">
        <v>192</v>
      </c>
      <c r="E68" s="39"/>
      <c r="F68" s="39"/>
      <c r="G68" s="39"/>
      <c r="H68" s="39"/>
      <c r="I68" s="31" t="str">
        <f>Ввод!$M$12</f>
        <v>руб</v>
      </c>
      <c r="J68" s="31"/>
      <c r="K68" s="31"/>
      <c r="L68" s="31"/>
      <c r="M68" s="68"/>
      <c r="N68" s="191">
        <f>SUM(P68:T68)</f>
        <v>-11500000</v>
      </c>
      <c r="O68" s="139"/>
      <c r="P68" s="191">
        <f>SUMIF($V$4:$EK$4,P$4,$V68:$EK68)</f>
        <v>-1900000</v>
      </c>
      <c r="Q68" s="191">
        <f t="shared" si="77"/>
        <v>-2400000</v>
      </c>
      <c r="R68" s="191">
        <f t="shared" si="77"/>
        <v>-2400000</v>
      </c>
      <c r="S68" s="191">
        <f t="shared" si="77"/>
        <v>-2400000</v>
      </c>
      <c r="T68" s="191">
        <f t="shared" si="77"/>
        <v>-2400000</v>
      </c>
      <c r="U68" s="139"/>
      <c r="V68" s="46">
        <v>-100000</v>
      </c>
      <c r="W68" s="46">
        <v>-100000</v>
      </c>
      <c r="X68" s="46">
        <v>-100000</v>
      </c>
      <c r="Y68" s="46">
        <v>-100000</v>
      </c>
      <c r="Z68" s="46">
        <v>-100000</v>
      </c>
      <c r="AA68" s="46">
        <v>-200000</v>
      </c>
      <c r="AB68" s="46">
        <v>-200000</v>
      </c>
      <c r="AC68" s="46">
        <v>-200000</v>
      </c>
      <c r="AD68" s="46">
        <v>-200000</v>
      </c>
      <c r="AE68" s="46">
        <v>-200000</v>
      </c>
      <c r="AF68" s="46">
        <v>-200000</v>
      </c>
      <c r="AG68" s="46">
        <v>-200000</v>
      </c>
      <c r="AH68" s="46">
        <v>-200000</v>
      </c>
      <c r="AI68" s="46">
        <v>-200000</v>
      </c>
      <c r="AJ68" s="46">
        <v>-200000</v>
      </c>
      <c r="AK68" s="46">
        <v>-200000</v>
      </c>
      <c r="AL68" s="46">
        <v>-200000</v>
      </c>
      <c r="AM68" s="46">
        <v>-200000</v>
      </c>
      <c r="AN68" s="46">
        <v>-200000</v>
      </c>
      <c r="AO68" s="46">
        <v>-200000</v>
      </c>
      <c r="AP68" s="46">
        <v>-200000</v>
      </c>
      <c r="AQ68" s="46">
        <v>-200000</v>
      </c>
      <c r="AR68" s="46">
        <v>-200000</v>
      </c>
      <c r="AS68" s="46">
        <v>-200000</v>
      </c>
      <c r="AT68" s="46">
        <v>-200000</v>
      </c>
      <c r="AU68" s="46">
        <v>-200000</v>
      </c>
      <c r="AV68" s="46">
        <v>-200000</v>
      </c>
      <c r="AW68" s="46">
        <v>-200000</v>
      </c>
      <c r="AX68" s="46">
        <v>-200000</v>
      </c>
      <c r="AY68" s="46">
        <v>-200000</v>
      </c>
      <c r="AZ68" s="46">
        <v>-200000</v>
      </c>
      <c r="BA68" s="46">
        <v>-200000</v>
      </c>
      <c r="BB68" s="46">
        <v>-200000</v>
      </c>
      <c r="BC68" s="46">
        <v>-200000</v>
      </c>
      <c r="BD68" s="46">
        <v>-200000</v>
      </c>
      <c r="BE68" s="46">
        <v>-200000</v>
      </c>
      <c r="BF68" s="46">
        <v>-200000</v>
      </c>
      <c r="BG68" s="46">
        <v>-200000</v>
      </c>
      <c r="BH68" s="46">
        <v>-200000</v>
      </c>
      <c r="BI68" s="46">
        <v>-200000</v>
      </c>
      <c r="BJ68" s="46">
        <v>-200000</v>
      </c>
      <c r="BK68" s="46">
        <v>-200000</v>
      </c>
      <c r="BL68" s="46">
        <v>-200000</v>
      </c>
      <c r="BM68" s="46">
        <v>-200000</v>
      </c>
      <c r="BN68" s="46">
        <v>-200000</v>
      </c>
      <c r="BO68" s="46">
        <v>-200000</v>
      </c>
      <c r="BP68" s="46">
        <v>-200000</v>
      </c>
      <c r="BQ68" s="46">
        <v>-200000</v>
      </c>
      <c r="BR68" s="46">
        <v>-200000</v>
      </c>
      <c r="BS68" s="46">
        <v>-200000</v>
      </c>
      <c r="BT68" s="46">
        <v>-200000</v>
      </c>
      <c r="BU68" s="46">
        <v>-200000</v>
      </c>
      <c r="BV68" s="46">
        <v>-200000</v>
      </c>
      <c r="BW68" s="46">
        <v>-200000</v>
      </c>
      <c r="BX68" s="46">
        <v>-200000</v>
      </c>
      <c r="BY68" s="46">
        <v>-200000</v>
      </c>
      <c r="BZ68" s="46">
        <v>-200000</v>
      </c>
      <c r="CA68" s="46">
        <v>-200000</v>
      </c>
      <c r="CB68" s="46">
        <v>-200000</v>
      </c>
      <c r="CC68" s="46">
        <v>-200000</v>
      </c>
      <c r="CE68" s="44"/>
    </row>
    <row r="69" spans="1:83" s="73" customFormat="1" ht="15" customHeight="1" outlineLevel="1" x14ac:dyDescent="0.3">
      <c r="A69" s="87"/>
      <c r="D69" s="141" t="s">
        <v>48</v>
      </c>
      <c r="E69" s="39"/>
      <c r="F69" s="39"/>
      <c r="G69" s="39"/>
      <c r="H69" s="39"/>
      <c r="I69" s="6" t="str">
        <f>Ввод!$M$12</f>
        <v>руб</v>
      </c>
      <c r="J69" s="6"/>
      <c r="K69" s="6"/>
      <c r="L69" s="6"/>
      <c r="M69" s="89"/>
      <c r="N69" s="225">
        <f t="shared" ref="N69" si="78">SUM(P69:T69)</f>
        <v>-28800000</v>
      </c>
      <c r="O69" s="227"/>
      <c r="P69" s="225">
        <f t="shared" ref="P69:T69" si="79">SUMIF($V$4:$CC$4,P$4,$V69:$CC69)</f>
        <v>-4800000</v>
      </c>
      <c r="Q69" s="225">
        <f t="shared" si="79"/>
        <v>-6000000</v>
      </c>
      <c r="R69" s="225">
        <f t="shared" si="79"/>
        <v>-6000000</v>
      </c>
      <c r="S69" s="225">
        <f t="shared" si="79"/>
        <v>-6000000</v>
      </c>
      <c r="T69" s="225">
        <f t="shared" si="79"/>
        <v>-6000000</v>
      </c>
      <c r="U69" s="227"/>
      <c r="V69" s="226">
        <f t="shared" ref="V69:BA69" si="80">SUM(V65:V68)</f>
        <v>-260000</v>
      </c>
      <c r="W69" s="226">
        <f t="shared" si="80"/>
        <v>-260000</v>
      </c>
      <c r="X69" s="226">
        <f t="shared" si="80"/>
        <v>-260000</v>
      </c>
      <c r="Y69" s="226">
        <f t="shared" si="80"/>
        <v>-260000</v>
      </c>
      <c r="Z69" s="226">
        <f t="shared" si="80"/>
        <v>-260000</v>
      </c>
      <c r="AA69" s="226">
        <f t="shared" si="80"/>
        <v>-500000</v>
      </c>
      <c r="AB69" s="226">
        <f t="shared" si="80"/>
        <v>-500000</v>
      </c>
      <c r="AC69" s="226">
        <f t="shared" si="80"/>
        <v>-500000</v>
      </c>
      <c r="AD69" s="226">
        <f t="shared" si="80"/>
        <v>-500000</v>
      </c>
      <c r="AE69" s="226">
        <f t="shared" si="80"/>
        <v>-500000</v>
      </c>
      <c r="AF69" s="226">
        <f t="shared" si="80"/>
        <v>-500000</v>
      </c>
      <c r="AG69" s="226">
        <f t="shared" si="80"/>
        <v>-500000</v>
      </c>
      <c r="AH69" s="226">
        <f t="shared" si="80"/>
        <v>-500000</v>
      </c>
      <c r="AI69" s="226">
        <f t="shared" si="80"/>
        <v>-500000</v>
      </c>
      <c r="AJ69" s="226">
        <f t="shared" si="80"/>
        <v>-500000</v>
      </c>
      <c r="AK69" s="226">
        <f t="shared" si="80"/>
        <v>-500000</v>
      </c>
      <c r="AL69" s="226">
        <f t="shared" si="80"/>
        <v>-500000</v>
      </c>
      <c r="AM69" s="226">
        <f t="shared" si="80"/>
        <v>-500000</v>
      </c>
      <c r="AN69" s="226">
        <f t="shared" si="80"/>
        <v>-500000</v>
      </c>
      <c r="AO69" s="226">
        <f t="shared" si="80"/>
        <v>-500000</v>
      </c>
      <c r="AP69" s="226">
        <f t="shared" si="80"/>
        <v>-500000</v>
      </c>
      <c r="AQ69" s="226">
        <f t="shared" si="80"/>
        <v>-500000</v>
      </c>
      <c r="AR69" s="226">
        <f t="shared" si="80"/>
        <v>-500000</v>
      </c>
      <c r="AS69" s="226">
        <f t="shared" si="80"/>
        <v>-500000</v>
      </c>
      <c r="AT69" s="226">
        <f t="shared" si="80"/>
        <v>-500000</v>
      </c>
      <c r="AU69" s="226">
        <f t="shared" si="80"/>
        <v>-500000</v>
      </c>
      <c r="AV69" s="226">
        <f t="shared" si="80"/>
        <v>-500000</v>
      </c>
      <c r="AW69" s="226">
        <f t="shared" si="80"/>
        <v>-500000</v>
      </c>
      <c r="AX69" s="226">
        <f t="shared" si="80"/>
        <v>-500000</v>
      </c>
      <c r="AY69" s="226">
        <f t="shared" si="80"/>
        <v>-500000</v>
      </c>
      <c r="AZ69" s="226">
        <f t="shared" si="80"/>
        <v>-500000</v>
      </c>
      <c r="BA69" s="226">
        <f t="shared" si="80"/>
        <v>-500000</v>
      </c>
      <c r="BB69" s="226">
        <f t="shared" ref="BB69:CC69" si="81">SUM(BB65:BB68)</f>
        <v>-500000</v>
      </c>
      <c r="BC69" s="226">
        <f t="shared" si="81"/>
        <v>-500000</v>
      </c>
      <c r="BD69" s="226">
        <f t="shared" si="81"/>
        <v>-500000</v>
      </c>
      <c r="BE69" s="226">
        <f t="shared" si="81"/>
        <v>-500000</v>
      </c>
      <c r="BF69" s="226">
        <f t="shared" si="81"/>
        <v>-500000</v>
      </c>
      <c r="BG69" s="226">
        <f t="shared" si="81"/>
        <v>-500000</v>
      </c>
      <c r="BH69" s="226">
        <f t="shared" si="81"/>
        <v>-500000</v>
      </c>
      <c r="BI69" s="226">
        <f t="shared" si="81"/>
        <v>-500000</v>
      </c>
      <c r="BJ69" s="226">
        <f t="shared" si="81"/>
        <v>-500000</v>
      </c>
      <c r="BK69" s="226">
        <f t="shared" si="81"/>
        <v>-500000</v>
      </c>
      <c r="BL69" s="226">
        <f t="shared" si="81"/>
        <v>-500000</v>
      </c>
      <c r="BM69" s="226">
        <f t="shared" si="81"/>
        <v>-500000</v>
      </c>
      <c r="BN69" s="226">
        <f t="shared" si="81"/>
        <v>-500000</v>
      </c>
      <c r="BO69" s="226">
        <f t="shared" si="81"/>
        <v>-500000</v>
      </c>
      <c r="BP69" s="226">
        <f t="shared" si="81"/>
        <v>-500000</v>
      </c>
      <c r="BQ69" s="226">
        <f t="shared" si="81"/>
        <v>-500000</v>
      </c>
      <c r="BR69" s="226">
        <f t="shared" si="81"/>
        <v>-500000</v>
      </c>
      <c r="BS69" s="226">
        <f t="shared" si="81"/>
        <v>-500000</v>
      </c>
      <c r="BT69" s="226">
        <f t="shared" si="81"/>
        <v>-500000</v>
      </c>
      <c r="BU69" s="226">
        <f t="shared" si="81"/>
        <v>-500000</v>
      </c>
      <c r="BV69" s="226">
        <f t="shared" si="81"/>
        <v>-500000</v>
      </c>
      <c r="BW69" s="226">
        <f t="shared" si="81"/>
        <v>-500000</v>
      </c>
      <c r="BX69" s="226">
        <f t="shared" si="81"/>
        <v>-500000</v>
      </c>
      <c r="BY69" s="226">
        <f t="shared" si="81"/>
        <v>-500000</v>
      </c>
      <c r="BZ69" s="226">
        <f t="shared" si="81"/>
        <v>-500000</v>
      </c>
      <c r="CA69" s="226">
        <f t="shared" si="81"/>
        <v>-500000</v>
      </c>
      <c r="CB69" s="226">
        <f t="shared" si="81"/>
        <v>-500000</v>
      </c>
      <c r="CC69" s="226">
        <f t="shared" si="81"/>
        <v>-500000</v>
      </c>
      <c r="CE69" s="87"/>
    </row>
    <row r="70" spans="1:83" s="30" customFormat="1" ht="15" customHeight="1" outlineLevel="1" x14ac:dyDescent="0.3">
      <c r="A70" s="44"/>
      <c r="D70" s="162"/>
      <c r="E70" s="149"/>
      <c r="F70" s="149"/>
      <c r="G70" s="149"/>
      <c r="H70" s="149"/>
      <c r="I70" s="31"/>
      <c r="J70" s="31"/>
      <c r="K70" s="31"/>
      <c r="L70" s="31"/>
      <c r="M70" s="2"/>
      <c r="N70" s="191"/>
      <c r="O70" s="139"/>
      <c r="P70" s="191"/>
      <c r="Q70" s="191"/>
      <c r="R70" s="191"/>
      <c r="S70" s="191"/>
      <c r="T70" s="191"/>
      <c r="U70" s="139"/>
      <c r="V70" s="139"/>
      <c r="W70" s="139"/>
      <c r="X70" s="139"/>
      <c r="Y70" s="139"/>
      <c r="Z70" s="139"/>
      <c r="AA70" s="139"/>
      <c r="AB70" s="139"/>
      <c r="AC70" s="139"/>
      <c r="AD70" s="139"/>
      <c r="AE70" s="139"/>
      <c r="AF70" s="139"/>
      <c r="AG70" s="139"/>
      <c r="AH70" s="139"/>
      <c r="AI70" s="139"/>
      <c r="AJ70" s="139"/>
      <c r="AK70" s="139"/>
      <c r="AL70" s="139"/>
      <c r="AM70" s="139"/>
      <c r="AN70" s="139"/>
      <c r="AO70" s="139"/>
      <c r="AP70" s="139"/>
      <c r="AQ70" s="139"/>
      <c r="AR70" s="139"/>
      <c r="AS70" s="139"/>
      <c r="AT70" s="139"/>
      <c r="AU70" s="139"/>
      <c r="AV70" s="139"/>
      <c r="AW70" s="139"/>
      <c r="AX70" s="139"/>
      <c r="AY70" s="139"/>
      <c r="AZ70" s="139"/>
      <c r="BA70" s="139"/>
      <c r="BB70" s="139"/>
      <c r="BC70" s="139"/>
      <c r="BD70" s="139"/>
      <c r="BE70" s="139"/>
      <c r="BF70" s="139"/>
      <c r="BG70" s="139"/>
      <c r="BH70" s="139"/>
      <c r="BI70" s="139"/>
      <c r="BJ70" s="139"/>
      <c r="BK70" s="139"/>
      <c r="BL70" s="139"/>
      <c r="BM70" s="139"/>
      <c r="BN70" s="139"/>
      <c r="BO70" s="139"/>
      <c r="BP70" s="139"/>
      <c r="BQ70" s="139"/>
      <c r="BR70" s="139"/>
      <c r="BS70" s="139"/>
      <c r="BT70" s="139"/>
      <c r="BU70" s="139"/>
      <c r="BV70" s="139"/>
      <c r="BW70" s="139"/>
      <c r="BX70" s="139"/>
      <c r="BY70" s="139"/>
      <c r="BZ70" s="139"/>
      <c r="CA70" s="139"/>
      <c r="CB70" s="139"/>
      <c r="CC70" s="139"/>
      <c r="CE70" s="44"/>
    </row>
    <row r="71" spans="1:83" s="22" customFormat="1" ht="15" customHeight="1" outlineLevel="1" x14ac:dyDescent="0.3">
      <c r="A71" s="51"/>
      <c r="D71" s="207" t="s">
        <v>8</v>
      </c>
      <c r="E71" s="208"/>
      <c r="F71" s="208"/>
      <c r="G71" s="208"/>
      <c r="H71" s="208"/>
      <c r="I71" s="209" t="str">
        <f>Ввод!$M$12</f>
        <v>руб</v>
      </c>
      <c r="J71" s="209"/>
      <c r="K71" s="209"/>
      <c r="L71" s="209"/>
      <c r="M71" s="210"/>
      <c r="N71" s="230">
        <f>SUM(P71:T71)</f>
        <v>-49755000</v>
      </c>
      <c r="O71" s="139"/>
      <c r="P71" s="230">
        <f t="shared" ref="P71:T71" si="82">SUMIF($V$4:$CC$4,P$4,$V71:$CC71)</f>
        <v>-6271800</v>
      </c>
      <c r="Q71" s="230">
        <f t="shared" si="82"/>
        <v>-9445200</v>
      </c>
      <c r="R71" s="230">
        <f t="shared" si="82"/>
        <v>-10395600</v>
      </c>
      <c r="S71" s="230">
        <f t="shared" si="82"/>
        <v>-11346000</v>
      </c>
      <c r="T71" s="230">
        <f t="shared" si="82"/>
        <v>-12296400</v>
      </c>
      <c r="U71" s="139"/>
      <c r="V71" s="230">
        <f t="shared" ref="V71:BA71" si="83">V55+V69</f>
        <v>-260000</v>
      </c>
      <c r="W71" s="230">
        <f t="shared" si="83"/>
        <v>-260000</v>
      </c>
      <c r="X71" s="230">
        <f t="shared" si="83"/>
        <v>-260000</v>
      </c>
      <c r="Y71" s="230">
        <f t="shared" si="83"/>
        <v>-260000</v>
      </c>
      <c r="Z71" s="230">
        <f t="shared" si="83"/>
        <v>-260000</v>
      </c>
      <c r="AA71" s="230">
        <f t="shared" si="83"/>
        <v>-665000</v>
      </c>
      <c r="AB71" s="230">
        <f t="shared" si="83"/>
        <v>-681500</v>
      </c>
      <c r="AC71" s="230">
        <f t="shared" si="83"/>
        <v>-698000</v>
      </c>
      <c r="AD71" s="230">
        <f t="shared" si="83"/>
        <v>-714500</v>
      </c>
      <c r="AE71" s="230">
        <f t="shared" si="83"/>
        <v>-731000</v>
      </c>
      <c r="AF71" s="230">
        <f t="shared" si="83"/>
        <v>-737600</v>
      </c>
      <c r="AG71" s="230">
        <f t="shared" si="83"/>
        <v>-744200</v>
      </c>
      <c r="AH71" s="230">
        <f t="shared" si="83"/>
        <v>-750800</v>
      </c>
      <c r="AI71" s="230">
        <f t="shared" si="83"/>
        <v>-757400</v>
      </c>
      <c r="AJ71" s="230">
        <f t="shared" si="83"/>
        <v>-764000</v>
      </c>
      <c r="AK71" s="230">
        <f t="shared" si="83"/>
        <v>-770600</v>
      </c>
      <c r="AL71" s="230">
        <f t="shared" si="83"/>
        <v>-777200</v>
      </c>
      <c r="AM71" s="230">
        <f t="shared" si="83"/>
        <v>-783800</v>
      </c>
      <c r="AN71" s="230">
        <f t="shared" si="83"/>
        <v>-790400</v>
      </c>
      <c r="AO71" s="230">
        <f t="shared" si="83"/>
        <v>-797000</v>
      </c>
      <c r="AP71" s="230">
        <f t="shared" si="83"/>
        <v>-803600</v>
      </c>
      <c r="AQ71" s="230">
        <f t="shared" si="83"/>
        <v>-810200</v>
      </c>
      <c r="AR71" s="230">
        <f t="shared" si="83"/>
        <v>-816800</v>
      </c>
      <c r="AS71" s="230">
        <f t="shared" si="83"/>
        <v>-823400</v>
      </c>
      <c r="AT71" s="230">
        <f t="shared" si="83"/>
        <v>-830000</v>
      </c>
      <c r="AU71" s="230">
        <f t="shared" si="83"/>
        <v>-836600</v>
      </c>
      <c r="AV71" s="230">
        <f t="shared" si="83"/>
        <v>-843200</v>
      </c>
      <c r="AW71" s="230">
        <f t="shared" si="83"/>
        <v>-849800</v>
      </c>
      <c r="AX71" s="230">
        <f t="shared" si="83"/>
        <v>-856400</v>
      </c>
      <c r="AY71" s="230">
        <f t="shared" si="83"/>
        <v>-863000</v>
      </c>
      <c r="AZ71" s="230">
        <f t="shared" si="83"/>
        <v>-869600</v>
      </c>
      <c r="BA71" s="230">
        <f t="shared" si="83"/>
        <v>-876200</v>
      </c>
      <c r="BB71" s="230">
        <f t="shared" ref="BB71:CC71" si="84">BB55+BB69</f>
        <v>-882800</v>
      </c>
      <c r="BC71" s="230">
        <f t="shared" si="84"/>
        <v>-889400</v>
      </c>
      <c r="BD71" s="230">
        <f t="shared" si="84"/>
        <v>-896000</v>
      </c>
      <c r="BE71" s="230">
        <f t="shared" si="84"/>
        <v>-902600</v>
      </c>
      <c r="BF71" s="230">
        <f t="shared" si="84"/>
        <v>-909200</v>
      </c>
      <c r="BG71" s="230">
        <f t="shared" si="84"/>
        <v>-915800</v>
      </c>
      <c r="BH71" s="230">
        <f t="shared" si="84"/>
        <v>-922400</v>
      </c>
      <c r="BI71" s="230">
        <f t="shared" si="84"/>
        <v>-929000</v>
      </c>
      <c r="BJ71" s="230">
        <f t="shared" si="84"/>
        <v>-935600</v>
      </c>
      <c r="BK71" s="230">
        <f t="shared" si="84"/>
        <v>-942200</v>
      </c>
      <c r="BL71" s="230">
        <f t="shared" si="84"/>
        <v>-948800</v>
      </c>
      <c r="BM71" s="230">
        <f t="shared" si="84"/>
        <v>-955400</v>
      </c>
      <c r="BN71" s="230">
        <f t="shared" si="84"/>
        <v>-962000</v>
      </c>
      <c r="BO71" s="230">
        <f t="shared" si="84"/>
        <v>-968600</v>
      </c>
      <c r="BP71" s="230">
        <f t="shared" si="84"/>
        <v>-975200</v>
      </c>
      <c r="BQ71" s="230">
        <f t="shared" si="84"/>
        <v>-981800</v>
      </c>
      <c r="BR71" s="230">
        <f t="shared" si="84"/>
        <v>-988400</v>
      </c>
      <c r="BS71" s="230">
        <f t="shared" si="84"/>
        <v>-995000</v>
      </c>
      <c r="BT71" s="230">
        <f t="shared" si="84"/>
        <v>-1001600</v>
      </c>
      <c r="BU71" s="230">
        <f t="shared" si="84"/>
        <v>-1008200</v>
      </c>
      <c r="BV71" s="230">
        <f t="shared" si="84"/>
        <v>-1014800</v>
      </c>
      <c r="BW71" s="230">
        <f t="shared" si="84"/>
        <v>-1021400</v>
      </c>
      <c r="BX71" s="230">
        <f t="shared" si="84"/>
        <v>-1028000</v>
      </c>
      <c r="BY71" s="230">
        <f t="shared" si="84"/>
        <v>-1034600</v>
      </c>
      <c r="BZ71" s="230">
        <f t="shared" si="84"/>
        <v>-1041200</v>
      </c>
      <c r="CA71" s="230">
        <f t="shared" si="84"/>
        <v>-1047800</v>
      </c>
      <c r="CB71" s="230">
        <f t="shared" si="84"/>
        <v>-1054400</v>
      </c>
      <c r="CC71" s="230">
        <f t="shared" si="84"/>
        <v>-1061000</v>
      </c>
      <c r="CE71" s="51"/>
    </row>
    <row r="72" spans="1:83" s="30" customFormat="1" ht="15" customHeight="1" x14ac:dyDescent="0.3">
      <c r="A72" s="44"/>
      <c r="D72" s="132"/>
      <c r="E72" s="27"/>
      <c r="F72" s="27"/>
      <c r="G72" s="27"/>
      <c r="H72" s="27"/>
      <c r="I72" s="31"/>
      <c r="J72" s="31"/>
      <c r="K72" s="31"/>
      <c r="L72" s="31"/>
      <c r="M72" s="2"/>
      <c r="N72" s="29"/>
      <c r="O72" s="97"/>
      <c r="P72" s="29"/>
      <c r="Q72" s="29"/>
      <c r="R72" s="29"/>
      <c r="S72" s="29"/>
      <c r="T72" s="29"/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  <c r="AF72" s="97"/>
      <c r="AG72" s="97"/>
      <c r="AH72" s="97"/>
      <c r="AI72" s="97"/>
      <c r="AJ72" s="97"/>
      <c r="AK72" s="97"/>
      <c r="AL72" s="97"/>
      <c r="AM72" s="97"/>
      <c r="AN72" s="97"/>
      <c r="AO72" s="97"/>
      <c r="AP72" s="97"/>
      <c r="AQ72" s="97"/>
      <c r="AR72" s="97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  <c r="BP72" s="97"/>
      <c r="BQ72" s="97"/>
      <c r="BR72" s="97"/>
      <c r="BS72" s="97"/>
      <c r="BT72" s="97"/>
      <c r="BU72" s="97"/>
      <c r="BV72" s="97"/>
      <c r="BW72" s="97"/>
      <c r="BX72" s="97"/>
      <c r="BY72" s="97"/>
      <c r="BZ72" s="97"/>
      <c r="CA72" s="97"/>
      <c r="CB72" s="97"/>
      <c r="CC72" s="97"/>
      <c r="CD72" s="50"/>
      <c r="CE72" s="44"/>
    </row>
    <row r="73" spans="1:83" s="23" customFormat="1" ht="15" customHeight="1" x14ac:dyDescent="0.3">
      <c r="A73" s="111"/>
      <c r="B73" s="110"/>
      <c r="C73" s="110"/>
      <c r="D73" s="133" t="s">
        <v>9</v>
      </c>
      <c r="E73" s="123"/>
      <c r="F73" s="123"/>
      <c r="G73" s="123"/>
      <c r="H73" s="123"/>
      <c r="I73" s="124"/>
      <c r="J73" s="124"/>
      <c r="K73" s="124"/>
      <c r="L73" s="124"/>
      <c r="M73" s="125"/>
      <c r="N73" s="126"/>
      <c r="O73" s="97"/>
      <c r="P73" s="126"/>
      <c r="Q73" s="126"/>
      <c r="R73" s="126"/>
      <c r="S73" s="126"/>
      <c r="T73" s="126"/>
      <c r="U73" s="97"/>
      <c r="V73" s="126"/>
      <c r="W73" s="126"/>
      <c r="X73" s="126"/>
      <c r="Y73" s="126"/>
      <c r="Z73" s="126"/>
      <c r="AA73" s="126"/>
      <c r="AB73" s="126"/>
      <c r="AC73" s="126"/>
      <c r="AD73" s="126"/>
      <c r="AE73" s="126"/>
      <c r="AF73" s="126"/>
      <c r="AG73" s="126"/>
      <c r="AH73" s="126"/>
      <c r="AI73" s="126"/>
      <c r="AJ73" s="126"/>
      <c r="AK73" s="126"/>
      <c r="AL73" s="126"/>
      <c r="AM73" s="126"/>
      <c r="AN73" s="126"/>
      <c r="AO73" s="126"/>
      <c r="AP73" s="126"/>
      <c r="AQ73" s="126"/>
      <c r="AR73" s="126"/>
      <c r="AS73" s="126"/>
      <c r="AT73" s="126"/>
      <c r="AU73" s="126"/>
      <c r="AV73" s="126"/>
      <c r="AW73" s="126"/>
      <c r="AX73" s="126"/>
      <c r="AY73" s="126"/>
      <c r="AZ73" s="126"/>
      <c r="BA73" s="126"/>
      <c r="BB73" s="126"/>
      <c r="BC73" s="126"/>
      <c r="BD73" s="126"/>
      <c r="BE73" s="126"/>
      <c r="BF73" s="126"/>
      <c r="BG73" s="126"/>
      <c r="BH73" s="126"/>
      <c r="BI73" s="126"/>
      <c r="BJ73" s="126"/>
      <c r="BK73" s="126"/>
      <c r="BL73" s="126"/>
      <c r="BM73" s="126"/>
      <c r="BN73" s="126"/>
      <c r="BO73" s="126"/>
      <c r="BP73" s="126"/>
      <c r="BQ73" s="126"/>
      <c r="BR73" s="126"/>
      <c r="BS73" s="126"/>
      <c r="BT73" s="126"/>
      <c r="BU73" s="126"/>
      <c r="BV73" s="126"/>
      <c r="BW73" s="126"/>
      <c r="BX73" s="126"/>
      <c r="BY73" s="126"/>
      <c r="BZ73" s="126"/>
      <c r="CA73" s="126"/>
      <c r="CB73" s="126"/>
      <c r="CC73" s="126"/>
      <c r="CD73" s="110"/>
      <c r="CE73" s="111"/>
    </row>
    <row r="74" spans="1:83" s="30" customFormat="1" ht="15" customHeight="1" outlineLevel="1" x14ac:dyDescent="0.3">
      <c r="A74" s="44"/>
      <c r="D74" s="132"/>
      <c r="E74" s="27"/>
      <c r="F74" s="27"/>
      <c r="G74" s="27"/>
      <c r="H74" s="27"/>
      <c r="I74" s="31"/>
      <c r="J74" s="31"/>
      <c r="K74" s="31"/>
      <c r="L74" s="31"/>
      <c r="N74" s="2"/>
      <c r="O74" s="97"/>
      <c r="P74" s="29"/>
      <c r="Q74" s="29"/>
      <c r="R74" s="29"/>
      <c r="S74" s="29"/>
      <c r="T74" s="29"/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  <c r="AF74" s="97"/>
      <c r="AG74" s="97"/>
      <c r="AH74" s="97"/>
      <c r="AI74" s="97"/>
      <c r="AJ74" s="97"/>
      <c r="AK74" s="97"/>
      <c r="AL74" s="97"/>
      <c r="AM74" s="97"/>
      <c r="AN74" s="97"/>
      <c r="AO74" s="97"/>
      <c r="AP74" s="97"/>
      <c r="AQ74" s="97"/>
      <c r="AR74" s="97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  <c r="BP74" s="97"/>
      <c r="BQ74" s="97"/>
      <c r="BR74" s="97"/>
      <c r="BS74" s="97"/>
      <c r="BT74" s="97"/>
      <c r="BU74" s="97"/>
      <c r="BV74" s="97"/>
      <c r="BW74" s="97"/>
      <c r="BX74" s="97"/>
      <c r="BY74" s="97"/>
      <c r="BZ74" s="97"/>
      <c r="CA74" s="97"/>
      <c r="CB74" s="97"/>
      <c r="CC74" s="97"/>
      <c r="CE74" s="44"/>
    </row>
    <row r="75" spans="1:83" s="30" customFormat="1" ht="15" customHeight="1" outlineLevel="1" x14ac:dyDescent="0.3">
      <c r="A75" s="44"/>
      <c r="D75" s="141" t="s">
        <v>60</v>
      </c>
      <c r="E75" s="39"/>
      <c r="F75" s="39"/>
      <c r="G75" s="39"/>
      <c r="H75" s="39"/>
      <c r="I75" s="31"/>
      <c r="J75" s="31"/>
      <c r="K75" s="31"/>
      <c r="L75" s="31"/>
      <c r="M75" s="68"/>
      <c r="N75" s="29"/>
      <c r="O75" s="97"/>
      <c r="P75" s="29"/>
      <c r="Q75" s="29"/>
      <c r="R75" s="29"/>
      <c r="S75" s="29"/>
      <c r="T75" s="29"/>
      <c r="U75" s="97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  <c r="BN75" s="46"/>
      <c r="BO75" s="46"/>
      <c r="BP75" s="46"/>
      <c r="BQ75" s="46"/>
      <c r="BR75" s="46"/>
      <c r="BS75" s="46"/>
      <c r="BT75" s="46"/>
      <c r="BU75" s="46"/>
      <c r="BV75" s="46"/>
      <c r="BW75" s="46"/>
      <c r="BX75" s="46"/>
      <c r="BY75" s="46"/>
      <c r="BZ75" s="46"/>
      <c r="CA75" s="46"/>
      <c r="CB75" s="46"/>
      <c r="CC75" s="46"/>
      <c r="CE75" s="44"/>
    </row>
    <row r="76" spans="1:83" s="30" customFormat="1" ht="15" customHeight="1" outlineLevel="1" x14ac:dyDescent="0.3">
      <c r="A76" s="44"/>
      <c r="D76" s="145"/>
      <c r="E76" s="56"/>
      <c r="F76" s="56"/>
      <c r="G76" s="56"/>
      <c r="H76" s="56"/>
      <c r="I76" s="52"/>
      <c r="J76" s="52"/>
      <c r="K76" s="52"/>
      <c r="L76" s="52"/>
      <c r="M76" s="47"/>
      <c r="N76" s="285"/>
      <c r="O76" s="283"/>
      <c r="P76" s="286"/>
      <c r="Q76" s="286"/>
      <c r="R76" s="286"/>
      <c r="S76" s="286"/>
      <c r="T76" s="286"/>
      <c r="U76" s="283"/>
      <c r="V76" s="287"/>
      <c r="W76" s="287"/>
      <c r="X76" s="287"/>
      <c r="Y76" s="287"/>
      <c r="Z76" s="287"/>
      <c r="AA76" s="287"/>
      <c r="AB76" s="287"/>
      <c r="AC76" s="287"/>
      <c r="AD76" s="287"/>
      <c r="AE76" s="287"/>
      <c r="AF76" s="287"/>
      <c r="AG76" s="287"/>
      <c r="AH76" s="287"/>
      <c r="AI76" s="287"/>
      <c r="AJ76" s="287"/>
      <c r="AK76" s="287"/>
      <c r="AL76" s="287"/>
      <c r="AM76" s="287"/>
      <c r="AN76" s="287"/>
      <c r="AO76" s="287"/>
      <c r="AP76" s="287"/>
      <c r="AQ76" s="287"/>
      <c r="AR76" s="287"/>
      <c r="AS76" s="287"/>
      <c r="AT76" s="287"/>
      <c r="AU76" s="287"/>
      <c r="AV76" s="287"/>
      <c r="AW76" s="287"/>
      <c r="AX76" s="287"/>
      <c r="AY76" s="287"/>
      <c r="AZ76" s="287"/>
      <c r="BA76" s="287"/>
      <c r="BB76" s="287"/>
      <c r="BC76" s="287"/>
      <c r="BD76" s="287"/>
      <c r="BE76" s="287"/>
      <c r="BF76" s="287"/>
      <c r="BG76" s="287"/>
      <c r="BH76" s="287"/>
      <c r="BI76" s="287"/>
      <c r="BJ76" s="287"/>
      <c r="BK76" s="287"/>
      <c r="BL76" s="287"/>
      <c r="BM76" s="287"/>
      <c r="BN76" s="287"/>
      <c r="BO76" s="287"/>
      <c r="BP76" s="287"/>
      <c r="BQ76" s="287"/>
      <c r="BR76" s="287"/>
      <c r="BS76" s="287"/>
      <c r="BT76" s="287"/>
      <c r="BU76" s="287"/>
      <c r="BV76" s="287"/>
      <c r="BW76" s="287"/>
      <c r="BX76" s="287"/>
      <c r="BY76" s="287"/>
      <c r="BZ76" s="287"/>
      <c r="CA76" s="287"/>
      <c r="CB76" s="287"/>
      <c r="CC76" s="287"/>
      <c r="CD76" s="29"/>
      <c r="CE76" s="44"/>
    </row>
    <row r="77" spans="1:83" s="30" customFormat="1" ht="15" customHeight="1" outlineLevel="1" x14ac:dyDescent="0.3">
      <c r="A77" s="44"/>
      <c r="D77" s="145"/>
      <c r="E77" s="56"/>
      <c r="F77" s="56"/>
      <c r="G77" s="56"/>
      <c r="H77" s="56"/>
      <c r="I77" s="52"/>
      <c r="J77" s="52"/>
      <c r="K77" s="52"/>
      <c r="L77" s="52"/>
      <c r="M77" s="47"/>
      <c r="N77" s="285"/>
      <c r="O77" s="283"/>
      <c r="P77" s="286"/>
      <c r="Q77" s="286"/>
      <c r="R77" s="286"/>
      <c r="S77" s="286"/>
      <c r="T77" s="286"/>
      <c r="U77" s="283"/>
      <c r="V77" s="287"/>
      <c r="W77" s="287"/>
      <c r="X77" s="287"/>
      <c r="Y77" s="287"/>
      <c r="Z77" s="287"/>
      <c r="AA77" s="287"/>
      <c r="AB77" s="287"/>
      <c r="AC77" s="287"/>
      <c r="AD77" s="287"/>
      <c r="AE77" s="287"/>
      <c r="AF77" s="287"/>
      <c r="AG77" s="287"/>
      <c r="AH77" s="287"/>
      <c r="AI77" s="287"/>
      <c r="AJ77" s="287"/>
      <c r="AK77" s="287"/>
      <c r="AL77" s="287"/>
      <c r="AM77" s="287"/>
      <c r="AN77" s="287"/>
      <c r="AO77" s="287"/>
      <c r="AP77" s="287"/>
      <c r="AQ77" s="287"/>
      <c r="AR77" s="287"/>
      <c r="AS77" s="287"/>
      <c r="AT77" s="287"/>
      <c r="AU77" s="287"/>
      <c r="AV77" s="287"/>
      <c r="AW77" s="287"/>
      <c r="AX77" s="287"/>
      <c r="AY77" s="287"/>
      <c r="AZ77" s="287"/>
      <c r="BA77" s="287"/>
      <c r="BB77" s="287"/>
      <c r="BC77" s="287"/>
      <c r="BD77" s="287"/>
      <c r="BE77" s="287"/>
      <c r="BF77" s="287"/>
      <c r="BG77" s="287"/>
      <c r="BH77" s="287"/>
      <c r="BI77" s="287"/>
      <c r="BJ77" s="287"/>
      <c r="BK77" s="287"/>
      <c r="BL77" s="287"/>
      <c r="BM77" s="287"/>
      <c r="BN77" s="287"/>
      <c r="BO77" s="287"/>
      <c r="BP77" s="287"/>
      <c r="BQ77" s="287"/>
      <c r="BR77" s="287"/>
      <c r="BS77" s="287"/>
      <c r="BT77" s="287"/>
      <c r="BU77" s="287"/>
      <c r="BV77" s="287"/>
      <c r="BW77" s="287"/>
      <c r="BX77" s="287"/>
      <c r="BY77" s="287"/>
      <c r="BZ77" s="287"/>
      <c r="CA77" s="287"/>
      <c r="CB77" s="287"/>
      <c r="CC77" s="287"/>
      <c r="CD77" s="29"/>
      <c r="CE77" s="44"/>
    </row>
    <row r="78" spans="1:83" s="30" customFormat="1" ht="15" customHeight="1" outlineLevel="1" x14ac:dyDescent="0.3">
      <c r="A78" s="44"/>
      <c r="D78" s="132"/>
      <c r="E78" s="27"/>
      <c r="F78" s="27"/>
      <c r="G78" s="27"/>
      <c r="H78" s="27"/>
      <c r="I78" s="31"/>
      <c r="J78" s="31"/>
      <c r="K78" s="31"/>
      <c r="L78" s="31"/>
      <c r="N78" s="2"/>
      <c r="O78" s="97"/>
      <c r="P78" s="29"/>
      <c r="Q78" s="29"/>
      <c r="R78" s="29"/>
      <c r="S78" s="29"/>
      <c r="T78" s="29"/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  <c r="AF78" s="97"/>
      <c r="AG78" s="97"/>
      <c r="AH78" s="97"/>
      <c r="AI78" s="97"/>
      <c r="AJ78" s="97"/>
      <c r="AK78" s="97"/>
      <c r="AL78" s="97"/>
      <c r="AM78" s="97"/>
      <c r="AN78" s="97"/>
      <c r="AO78" s="97"/>
      <c r="AP78" s="97"/>
      <c r="AQ78" s="97"/>
      <c r="AR78" s="97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  <c r="BP78" s="97"/>
      <c r="BQ78" s="97"/>
      <c r="BR78" s="97"/>
      <c r="BS78" s="97"/>
      <c r="BT78" s="97"/>
      <c r="BU78" s="97"/>
      <c r="BV78" s="97"/>
      <c r="BW78" s="97"/>
      <c r="BX78" s="97"/>
      <c r="BY78" s="97"/>
      <c r="BZ78" s="97"/>
      <c r="CA78" s="97"/>
      <c r="CB78" s="97"/>
      <c r="CC78" s="97"/>
      <c r="CE78" s="44"/>
    </row>
    <row r="79" spans="1:83" s="30" customFormat="1" ht="15" customHeight="1" outlineLevel="1" x14ac:dyDescent="0.3">
      <c r="A79" s="44"/>
      <c r="D79" s="142" t="s">
        <v>50</v>
      </c>
      <c r="E79" s="90"/>
      <c r="F79" s="90"/>
      <c r="G79" s="90"/>
      <c r="H79" s="90"/>
      <c r="I79" s="91"/>
      <c r="J79" s="91"/>
      <c r="K79" s="91"/>
      <c r="L79" s="91"/>
      <c r="M79" s="92"/>
      <c r="N79" s="93"/>
      <c r="O79" s="29"/>
      <c r="P79" s="93"/>
      <c r="Q79" s="93"/>
      <c r="R79" s="93"/>
      <c r="S79" s="93"/>
      <c r="T79" s="116"/>
      <c r="U79" s="29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3"/>
      <c r="AO79" s="93"/>
      <c r="AP79" s="93"/>
      <c r="AQ79" s="93"/>
      <c r="AR79" s="93"/>
      <c r="AS79" s="93"/>
      <c r="AT79" s="93"/>
      <c r="AU79" s="93"/>
      <c r="AV79" s="93"/>
      <c r="AW79" s="93"/>
      <c r="AX79" s="93"/>
      <c r="AY79" s="93"/>
      <c r="AZ79" s="93"/>
      <c r="BA79" s="93"/>
      <c r="BB79" s="93"/>
      <c r="BC79" s="93"/>
      <c r="BD79" s="93"/>
      <c r="BE79" s="93"/>
      <c r="BF79" s="93"/>
      <c r="BG79" s="93"/>
      <c r="BH79" s="93"/>
      <c r="BI79" s="93"/>
      <c r="BJ79" s="93"/>
      <c r="BK79" s="93"/>
      <c r="BL79" s="93"/>
      <c r="BM79" s="93"/>
      <c r="BN79" s="93"/>
      <c r="BO79" s="93"/>
      <c r="BP79" s="93"/>
      <c r="BQ79" s="93"/>
      <c r="BR79" s="93"/>
      <c r="BS79" s="93"/>
      <c r="BT79" s="93"/>
      <c r="BU79" s="93"/>
      <c r="BV79" s="93"/>
      <c r="BW79" s="93"/>
      <c r="BX79" s="93"/>
      <c r="BY79" s="93"/>
      <c r="BZ79" s="93"/>
      <c r="CA79" s="93"/>
      <c r="CB79" s="93"/>
      <c r="CC79" s="92"/>
      <c r="CE79" s="44"/>
    </row>
    <row r="80" spans="1:83" s="45" customFormat="1" ht="15" customHeight="1" outlineLevel="1" x14ac:dyDescent="0.3">
      <c r="A80" s="111"/>
      <c r="B80" s="30"/>
      <c r="C80" s="110"/>
      <c r="D80" s="143"/>
      <c r="E80" s="72"/>
      <c r="F80" s="72"/>
      <c r="G80" s="72"/>
      <c r="H80" s="72"/>
      <c r="I80" s="6"/>
      <c r="J80" s="6"/>
      <c r="K80" s="6"/>
      <c r="L80" s="6"/>
      <c r="M80" s="110"/>
      <c r="N80" s="5"/>
      <c r="O80" s="5"/>
      <c r="P80" s="5"/>
      <c r="Q80" s="5"/>
      <c r="R80" s="5"/>
      <c r="S80" s="5"/>
      <c r="T80" s="97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30"/>
      <c r="CD80" s="110"/>
      <c r="CE80" s="111"/>
    </row>
    <row r="81" spans="1:83" s="46" customFormat="1" ht="15" customHeight="1" outlineLevel="1" x14ac:dyDescent="0.3">
      <c r="A81" s="47"/>
      <c r="B81" s="30"/>
      <c r="C81" s="110"/>
      <c r="D81" s="136" t="s">
        <v>152</v>
      </c>
      <c r="E81" s="36"/>
      <c r="F81" s="36"/>
      <c r="G81" s="36"/>
      <c r="H81" s="36"/>
      <c r="I81" s="31"/>
      <c r="J81" s="31"/>
      <c r="K81" s="31"/>
      <c r="L81" s="31"/>
      <c r="M81" s="225"/>
      <c r="N81" s="29"/>
      <c r="O81" s="29"/>
      <c r="P81" s="117"/>
      <c r="Q81" s="117"/>
      <c r="R81" s="117"/>
      <c r="S81" s="117"/>
      <c r="T81" s="97"/>
      <c r="CE81" s="47"/>
    </row>
    <row r="82" spans="1:83" s="46" customFormat="1" ht="15" customHeight="1" outlineLevel="1" x14ac:dyDescent="0.3">
      <c r="A82" s="47"/>
      <c r="B82" s="30"/>
      <c r="C82" s="110"/>
      <c r="D82" s="356" t="s">
        <v>155</v>
      </c>
      <c r="E82" s="14"/>
      <c r="F82" s="14"/>
      <c r="G82" s="14"/>
      <c r="H82" s="14"/>
      <c r="I82" s="31" t="s">
        <v>52</v>
      </c>
      <c r="J82" s="31"/>
      <c r="K82" s="31"/>
      <c r="L82" s="31"/>
      <c r="M82" s="225"/>
      <c r="N82" s="225"/>
      <c r="O82" s="228"/>
      <c r="P82" s="248">
        <f>SUMIFS($V82:$CC82,Расчет!$V$4:$CC$4,Расчет!P$4,Расчет!$V$6:$CC$6,12)</f>
        <v>1</v>
      </c>
      <c r="Q82" s="248">
        <f>SUMIFS($V82:$CC82,Расчет!$V$4:$CC$4,Расчет!Q$4,Расчет!$V$6:$CC$6,12)</f>
        <v>1</v>
      </c>
      <c r="R82" s="248">
        <f>SUMIFS($V82:$CC82,Расчет!$V$4:$CC$4,Расчет!R$4,Расчет!$V$6:$CC$6,12)</f>
        <v>1</v>
      </c>
      <c r="S82" s="248">
        <f>SUMIFS($V82:$CC82,Расчет!$V$4:$CC$4,Расчет!S$4,Расчет!$V$6:$CC$6,12)</f>
        <v>1</v>
      </c>
      <c r="T82" s="248">
        <f>SUMIFS($V82:$CC82,Расчет!$V$4:$CC$4,Расчет!T$4,Расчет!$V$6:$CC$6,12)</f>
        <v>1</v>
      </c>
      <c r="U82" s="139"/>
      <c r="V82" s="95">
        <v>0</v>
      </c>
      <c r="W82" s="95">
        <f t="shared" ref="W82:W87" si="85">V82</f>
        <v>0</v>
      </c>
      <c r="X82" s="95">
        <f t="shared" ref="X82:CC86" si="86">W82</f>
        <v>0</v>
      </c>
      <c r="Y82" s="95">
        <v>0</v>
      </c>
      <c r="Z82" s="95">
        <v>1</v>
      </c>
      <c r="AA82" s="95">
        <f t="shared" si="86"/>
        <v>1</v>
      </c>
      <c r="AB82" s="95">
        <f t="shared" si="86"/>
        <v>1</v>
      </c>
      <c r="AC82" s="95">
        <f t="shared" si="86"/>
        <v>1</v>
      </c>
      <c r="AD82" s="95">
        <f t="shared" si="86"/>
        <v>1</v>
      </c>
      <c r="AE82" s="95">
        <f t="shared" si="86"/>
        <v>1</v>
      </c>
      <c r="AF82" s="95">
        <f t="shared" si="86"/>
        <v>1</v>
      </c>
      <c r="AG82" s="95">
        <f t="shared" si="86"/>
        <v>1</v>
      </c>
      <c r="AH82" s="95">
        <f t="shared" si="86"/>
        <v>1</v>
      </c>
      <c r="AI82" s="95">
        <f t="shared" si="86"/>
        <v>1</v>
      </c>
      <c r="AJ82" s="95">
        <f t="shared" si="86"/>
        <v>1</v>
      </c>
      <c r="AK82" s="95">
        <f t="shared" si="86"/>
        <v>1</v>
      </c>
      <c r="AL82" s="95">
        <f t="shared" si="86"/>
        <v>1</v>
      </c>
      <c r="AM82" s="95">
        <f t="shared" si="86"/>
        <v>1</v>
      </c>
      <c r="AN82" s="95">
        <f t="shared" si="86"/>
        <v>1</v>
      </c>
      <c r="AO82" s="95">
        <f t="shared" si="86"/>
        <v>1</v>
      </c>
      <c r="AP82" s="95">
        <f t="shared" si="86"/>
        <v>1</v>
      </c>
      <c r="AQ82" s="95">
        <f t="shared" si="86"/>
        <v>1</v>
      </c>
      <c r="AR82" s="95">
        <f t="shared" si="86"/>
        <v>1</v>
      </c>
      <c r="AS82" s="95">
        <f t="shared" si="86"/>
        <v>1</v>
      </c>
      <c r="AT82" s="95">
        <f t="shared" si="86"/>
        <v>1</v>
      </c>
      <c r="AU82" s="95">
        <f t="shared" si="86"/>
        <v>1</v>
      </c>
      <c r="AV82" s="95">
        <f t="shared" si="86"/>
        <v>1</v>
      </c>
      <c r="AW82" s="95">
        <f t="shared" si="86"/>
        <v>1</v>
      </c>
      <c r="AX82" s="95">
        <f t="shared" si="86"/>
        <v>1</v>
      </c>
      <c r="AY82" s="95">
        <f t="shared" si="86"/>
        <v>1</v>
      </c>
      <c r="AZ82" s="95">
        <f t="shared" si="86"/>
        <v>1</v>
      </c>
      <c r="BA82" s="95">
        <f t="shared" si="86"/>
        <v>1</v>
      </c>
      <c r="BB82" s="95">
        <f t="shared" si="86"/>
        <v>1</v>
      </c>
      <c r="BC82" s="95">
        <f t="shared" si="86"/>
        <v>1</v>
      </c>
      <c r="BD82" s="95">
        <f t="shared" si="86"/>
        <v>1</v>
      </c>
      <c r="BE82" s="95">
        <f t="shared" si="86"/>
        <v>1</v>
      </c>
      <c r="BF82" s="95">
        <f t="shared" si="86"/>
        <v>1</v>
      </c>
      <c r="BG82" s="95">
        <f t="shared" si="86"/>
        <v>1</v>
      </c>
      <c r="BH82" s="95">
        <f t="shared" si="86"/>
        <v>1</v>
      </c>
      <c r="BI82" s="95">
        <f t="shared" si="86"/>
        <v>1</v>
      </c>
      <c r="BJ82" s="95">
        <f t="shared" si="86"/>
        <v>1</v>
      </c>
      <c r="BK82" s="95">
        <f t="shared" si="86"/>
        <v>1</v>
      </c>
      <c r="BL82" s="95">
        <f t="shared" si="86"/>
        <v>1</v>
      </c>
      <c r="BM82" s="95">
        <f t="shared" si="86"/>
        <v>1</v>
      </c>
      <c r="BN82" s="95">
        <f t="shared" si="86"/>
        <v>1</v>
      </c>
      <c r="BO82" s="95">
        <f t="shared" si="86"/>
        <v>1</v>
      </c>
      <c r="BP82" s="95">
        <f t="shared" si="86"/>
        <v>1</v>
      </c>
      <c r="BQ82" s="95">
        <f t="shared" si="86"/>
        <v>1</v>
      </c>
      <c r="BR82" s="95">
        <f t="shared" si="86"/>
        <v>1</v>
      </c>
      <c r="BS82" s="95">
        <f t="shared" si="86"/>
        <v>1</v>
      </c>
      <c r="BT82" s="95">
        <f t="shared" si="86"/>
        <v>1</v>
      </c>
      <c r="BU82" s="95">
        <f t="shared" si="86"/>
        <v>1</v>
      </c>
      <c r="BV82" s="95">
        <f t="shared" si="86"/>
        <v>1</v>
      </c>
      <c r="BW82" s="95">
        <f t="shared" si="86"/>
        <v>1</v>
      </c>
      <c r="BX82" s="95">
        <f t="shared" si="86"/>
        <v>1</v>
      </c>
      <c r="BY82" s="95">
        <f t="shared" si="86"/>
        <v>1</v>
      </c>
      <c r="BZ82" s="95">
        <f t="shared" si="86"/>
        <v>1</v>
      </c>
      <c r="CA82" s="95">
        <f t="shared" si="86"/>
        <v>1</v>
      </c>
      <c r="CB82" s="95">
        <f t="shared" si="86"/>
        <v>1</v>
      </c>
      <c r="CC82" s="95">
        <f t="shared" si="86"/>
        <v>1</v>
      </c>
      <c r="CE82" s="47"/>
    </row>
    <row r="83" spans="1:83" s="46" customFormat="1" ht="15" customHeight="1" outlineLevel="1" x14ac:dyDescent="0.3">
      <c r="A83" s="47"/>
      <c r="B83" s="30"/>
      <c r="C83" s="110"/>
      <c r="D83" s="356" t="s">
        <v>156</v>
      </c>
      <c r="E83" s="14"/>
      <c r="F83" s="14"/>
      <c r="G83" s="14"/>
      <c r="H83" s="14"/>
      <c r="I83" s="31" t="s">
        <v>52</v>
      </c>
      <c r="J83" s="31"/>
      <c r="K83" s="31"/>
      <c r="L83" s="31"/>
      <c r="M83" s="225"/>
      <c r="N83" s="191"/>
      <c r="O83" s="228"/>
      <c r="P83" s="248">
        <f>SUMIFS($V83:$CC83,Расчет!$V$4:$CC$4,Расчет!P$4,Расчет!$V$6:$CC$6,12)</f>
        <v>4</v>
      </c>
      <c r="Q83" s="248">
        <f>SUMIFS($V83:$CC83,Расчет!$V$4:$CC$4,Расчет!Q$4,Расчет!$V$6:$CC$6,12)</f>
        <v>4</v>
      </c>
      <c r="R83" s="248">
        <f>SUMIFS($V83:$CC83,Расчет!$V$4:$CC$4,Расчет!R$4,Расчет!$V$6:$CC$6,12)</f>
        <v>4</v>
      </c>
      <c r="S83" s="248">
        <f>SUMIFS($V83:$CC83,Расчет!$V$4:$CC$4,Расчет!S$4,Расчет!$V$6:$CC$6,12)</f>
        <v>4</v>
      </c>
      <c r="T83" s="248">
        <f>SUMIFS($V83:$CC83,Расчет!$V$4:$CC$4,Расчет!T$4,Расчет!$V$6:$CC$6,12)</f>
        <v>4</v>
      </c>
      <c r="U83" s="139"/>
      <c r="V83" s="95">
        <v>0</v>
      </c>
      <c r="W83" s="95">
        <f t="shared" si="85"/>
        <v>0</v>
      </c>
      <c r="X83" s="95">
        <f t="shared" si="86"/>
        <v>0</v>
      </c>
      <c r="Y83" s="95">
        <v>0</v>
      </c>
      <c r="Z83" s="95">
        <v>2</v>
      </c>
      <c r="AA83" s="95">
        <f t="shared" si="86"/>
        <v>2</v>
      </c>
      <c r="AB83" s="95">
        <f t="shared" si="86"/>
        <v>2</v>
      </c>
      <c r="AC83" s="95">
        <v>4</v>
      </c>
      <c r="AD83" s="95">
        <f t="shared" si="86"/>
        <v>4</v>
      </c>
      <c r="AE83" s="95">
        <f t="shared" si="86"/>
        <v>4</v>
      </c>
      <c r="AF83" s="95">
        <f t="shared" si="86"/>
        <v>4</v>
      </c>
      <c r="AG83" s="95">
        <f t="shared" si="86"/>
        <v>4</v>
      </c>
      <c r="AH83" s="95">
        <f t="shared" si="86"/>
        <v>4</v>
      </c>
      <c r="AI83" s="95">
        <f t="shared" si="86"/>
        <v>4</v>
      </c>
      <c r="AJ83" s="95">
        <f t="shared" si="86"/>
        <v>4</v>
      </c>
      <c r="AK83" s="95">
        <f t="shared" si="86"/>
        <v>4</v>
      </c>
      <c r="AL83" s="95">
        <f t="shared" si="86"/>
        <v>4</v>
      </c>
      <c r="AM83" s="95">
        <f t="shared" si="86"/>
        <v>4</v>
      </c>
      <c r="AN83" s="95">
        <f t="shared" si="86"/>
        <v>4</v>
      </c>
      <c r="AO83" s="95">
        <f t="shared" si="86"/>
        <v>4</v>
      </c>
      <c r="AP83" s="95">
        <f t="shared" si="86"/>
        <v>4</v>
      </c>
      <c r="AQ83" s="95">
        <f t="shared" si="86"/>
        <v>4</v>
      </c>
      <c r="AR83" s="95">
        <f t="shared" si="86"/>
        <v>4</v>
      </c>
      <c r="AS83" s="95">
        <f t="shared" si="86"/>
        <v>4</v>
      </c>
      <c r="AT83" s="95">
        <f t="shared" si="86"/>
        <v>4</v>
      </c>
      <c r="AU83" s="95">
        <f t="shared" si="86"/>
        <v>4</v>
      </c>
      <c r="AV83" s="95">
        <f t="shared" si="86"/>
        <v>4</v>
      </c>
      <c r="AW83" s="95">
        <f t="shared" si="86"/>
        <v>4</v>
      </c>
      <c r="AX83" s="95">
        <f t="shared" si="86"/>
        <v>4</v>
      </c>
      <c r="AY83" s="95">
        <f t="shared" si="86"/>
        <v>4</v>
      </c>
      <c r="AZ83" s="95">
        <f t="shared" si="86"/>
        <v>4</v>
      </c>
      <c r="BA83" s="95">
        <f t="shared" si="86"/>
        <v>4</v>
      </c>
      <c r="BB83" s="95">
        <f t="shared" si="86"/>
        <v>4</v>
      </c>
      <c r="BC83" s="95">
        <f t="shared" si="86"/>
        <v>4</v>
      </c>
      <c r="BD83" s="95">
        <f t="shared" si="86"/>
        <v>4</v>
      </c>
      <c r="BE83" s="95">
        <f t="shared" si="86"/>
        <v>4</v>
      </c>
      <c r="BF83" s="95">
        <f t="shared" si="86"/>
        <v>4</v>
      </c>
      <c r="BG83" s="95">
        <f t="shared" si="86"/>
        <v>4</v>
      </c>
      <c r="BH83" s="95">
        <f t="shared" si="86"/>
        <v>4</v>
      </c>
      <c r="BI83" s="95">
        <f t="shared" si="86"/>
        <v>4</v>
      </c>
      <c r="BJ83" s="95">
        <f t="shared" si="86"/>
        <v>4</v>
      </c>
      <c r="BK83" s="95">
        <f t="shared" si="86"/>
        <v>4</v>
      </c>
      <c r="BL83" s="95">
        <f t="shared" si="86"/>
        <v>4</v>
      </c>
      <c r="BM83" s="95">
        <f t="shared" si="86"/>
        <v>4</v>
      </c>
      <c r="BN83" s="95">
        <f t="shared" si="86"/>
        <v>4</v>
      </c>
      <c r="BO83" s="95">
        <f t="shared" si="86"/>
        <v>4</v>
      </c>
      <c r="BP83" s="95">
        <f t="shared" si="86"/>
        <v>4</v>
      </c>
      <c r="BQ83" s="95">
        <f t="shared" si="86"/>
        <v>4</v>
      </c>
      <c r="BR83" s="95">
        <f t="shared" si="86"/>
        <v>4</v>
      </c>
      <c r="BS83" s="95">
        <f t="shared" si="86"/>
        <v>4</v>
      </c>
      <c r="BT83" s="95">
        <f t="shared" si="86"/>
        <v>4</v>
      </c>
      <c r="BU83" s="95">
        <f t="shared" si="86"/>
        <v>4</v>
      </c>
      <c r="BV83" s="95">
        <f t="shared" si="86"/>
        <v>4</v>
      </c>
      <c r="BW83" s="95">
        <f t="shared" si="86"/>
        <v>4</v>
      </c>
      <c r="BX83" s="95">
        <f t="shared" si="86"/>
        <v>4</v>
      </c>
      <c r="BY83" s="95">
        <f t="shared" si="86"/>
        <v>4</v>
      </c>
      <c r="BZ83" s="95">
        <f t="shared" si="86"/>
        <v>4</v>
      </c>
      <c r="CA83" s="95">
        <f t="shared" si="86"/>
        <v>4</v>
      </c>
      <c r="CB83" s="95">
        <f t="shared" si="86"/>
        <v>4</v>
      </c>
      <c r="CC83" s="95">
        <f t="shared" si="86"/>
        <v>4</v>
      </c>
      <c r="CE83" s="47"/>
    </row>
    <row r="84" spans="1:83" s="46" customFormat="1" ht="15" customHeight="1" outlineLevel="1" x14ac:dyDescent="0.3">
      <c r="A84" s="47"/>
      <c r="B84" s="30"/>
      <c r="C84" s="110"/>
      <c r="D84" s="356" t="s">
        <v>157</v>
      </c>
      <c r="E84" s="14"/>
      <c r="F84" s="14"/>
      <c r="G84" s="14"/>
      <c r="H84" s="14"/>
      <c r="I84" s="31" t="s">
        <v>52</v>
      </c>
      <c r="J84" s="31"/>
      <c r="K84" s="31"/>
      <c r="L84" s="31"/>
      <c r="M84" s="225"/>
      <c r="N84" s="191"/>
      <c r="O84" s="228"/>
      <c r="P84" s="248">
        <f>SUMIFS($V84:$CC84,Расчет!$V$4:$CC$4,Расчет!P$4,Расчет!$V$6:$CC$6,12)</f>
        <v>2</v>
      </c>
      <c r="Q84" s="248">
        <f>SUMIFS($V84:$CC84,Расчет!$V$4:$CC$4,Расчет!Q$4,Расчет!$V$6:$CC$6,12)</f>
        <v>2</v>
      </c>
      <c r="R84" s="248">
        <f>SUMIFS($V84:$CC84,Расчет!$V$4:$CC$4,Расчет!R$4,Расчет!$V$6:$CC$6,12)</f>
        <v>2</v>
      </c>
      <c r="S84" s="248">
        <f>SUMIFS($V84:$CC84,Расчет!$V$4:$CC$4,Расчет!S$4,Расчет!$V$6:$CC$6,12)</f>
        <v>2</v>
      </c>
      <c r="T84" s="248">
        <f>SUMIFS($V84:$CC84,Расчет!$V$4:$CC$4,Расчет!T$4,Расчет!$V$6:$CC$6,12)</f>
        <v>2</v>
      </c>
      <c r="U84" s="139"/>
      <c r="V84" s="95">
        <v>0</v>
      </c>
      <c r="W84" s="95">
        <f t="shared" si="85"/>
        <v>0</v>
      </c>
      <c r="X84" s="95">
        <f t="shared" si="86"/>
        <v>0</v>
      </c>
      <c r="Y84" s="95">
        <v>0</v>
      </c>
      <c r="Z84" s="95">
        <v>1</v>
      </c>
      <c r="AA84" s="95">
        <f t="shared" si="86"/>
        <v>1</v>
      </c>
      <c r="AB84" s="95">
        <f t="shared" si="86"/>
        <v>1</v>
      </c>
      <c r="AC84" s="95">
        <v>2</v>
      </c>
      <c r="AD84" s="95">
        <f t="shared" si="86"/>
        <v>2</v>
      </c>
      <c r="AE84" s="95">
        <f t="shared" si="86"/>
        <v>2</v>
      </c>
      <c r="AF84" s="95">
        <f t="shared" si="86"/>
        <v>2</v>
      </c>
      <c r="AG84" s="95">
        <f t="shared" si="86"/>
        <v>2</v>
      </c>
      <c r="AH84" s="95">
        <f t="shared" si="86"/>
        <v>2</v>
      </c>
      <c r="AI84" s="95">
        <f t="shared" si="86"/>
        <v>2</v>
      </c>
      <c r="AJ84" s="95">
        <f t="shared" si="86"/>
        <v>2</v>
      </c>
      <c r="AK84" s="95">
        <f t="shared" si="86"/>
        <v>2</v>
      </c>
      <c r="AL84" s="95">
        <f t="shared" si="86"/>
        <v>2</v>
      </c>
      <c r="AM84" s="95">
        <f t="shared" si="86"/>
        <v>2</v>
      </c>
      <c r="AN84" s="95">
        <f t="shared" si="86"/>
        <v>2</v>
      </c>
      <c r="AO84" s="95">
        <f t="shared" si="86"/>
        <v>2</v>
      </c>
      <c r="AP84" s="95">
        <f t="shared" si="86"/>
        <v>2</v>
      </c>
      <c r="AQ84" s="95">
        <f t="shared" si="86"/>
        <v>2</v>
      </c>
      <c r="AR84" s="95">
        <f t="shared" si="86"/>
        <v>2</v>
      </c>
      <c r="AS84" s="95">
        <f t="shared" si="86"/>
        <v>2</v>
      </c>
      <c r="AT84" s="95">
        <f t="shared" si="86"/>
        <v>2</v>
      </c>
      <c r="AU84" s="95">
        <f t="shared" si="86"/>
        <v>2</v>
      </c>
      <c r="AV84" s="95">
        <f t="shared" si="86"/>
        <v>2</v>
      </c>
      <c r="AW84" s="95">
        <f t="shared" si="86"/>
        <v>2</v>
      </c>
      <c r="AX84" s="95">
        <f t="shared" si="86"/>
        <v>2</v>
      </c>
      <c r="AY84" s="95">
        <f t="shared" si="86"/>
        <v>2</v>
      </c>
      <c r="AZ84" s="95">
        <f t="shared" si="86"/>
        <v>2</v>
      </c>
      <c r="BA84" s="95">
        <f t="shared" si="86"/>
        <v>2</v>
      </c>
      <c r="BB84" s="95">
        <f t="shared" si="86"/>
        <v>2</v>
      </c>
      <c r="BC84" s="95">
        <f t="shared" si="86"/>
        <v>2</v>
      </c>
      <c r="BD84" s="95">
        <f t="shared" si="86"/>
        <v>2</v>
      </c>
      <c r="BE84" s="95">
        <f t="shared" si="86"/>
        <v>2</v>
      </c>
      <c r="BF84" s="95">
        <f t="shared" si="86"/>
        <v>2</v>
      </c>
      <c r="BG84" s="95">
        <f t="shared" si="86"/>
        <v>2</v>
      </c>
      <c r="BH84" s="95">
        <f t="shared" si="86"/>
        <v>2</v>
      </c>
      <c r="BI84" s="95">
        <f t="shared" si="86"/>
        <v>2</v>
      </c>
      <c r="BJ84" s="95">
        <f t="shared" si="86"/>
        <v>2</v>
      </c>
      <c r="BK84" s="95">
        <f t="shared" si="86"/>
        <v>2</v>
      </c>
      <c r="BL84" s="95">
        <f t="shared" si="86"/>
        <v>2</v>
      </c>
      <c r="BM84" s="95">
        <f t="shared" si="86"/>
        <v>2</v>
      </c>
      <c r="BN84" s="95">
        <f t="shared" si="86"/>
        <v>2</v>
      </c>
      <c r="BO84" s="95">
        <f t="shared" si="86"/>
        <v>2</v>
      </c>
      <c r="BP84" s="95">
        <f t="shared" si="86"/>
        <v>2</v>
      </c>
      <c r="BQ84" s="95">
        <f t="shared" si="86"/>
        <v>2</v>
      </c>
      <c r="BR84" s="95">
        <f t="shared" si="86"/>
        <v>2</v>
      </c>
      <c r="BS84" s="95">
        <f t="shared" si="86"/>
        <v>2</v>
      </c>
      <c r="BT84" s="95">
        <f t="shared" si="86"/>
        <v>2</v>
      </c>
      <c r="BU84" s="95">
        <f t="shared" si="86"/>
        <v>2</v>
      </c>
      <c r="BV84" s="95">
        <f t="shared" si="86"/>
        <v>2</v>
      </c>
      <c r="BW84" s="95">
        <f t="shared" si="86"/>
        <v>2</v>
      </c>
      <c r="BX84" s="95">
        <f t="shared" si="86"/>
        <v>2</v>
      </c>
      <c r="BY84" s="95">
        <f t="shared" si="86"/>
        <v>2</v>
      </c>
      <c r="BZ84" s="95">
        <f t="shared" si="86"/>
        <v>2</v>
      </c>
      <c r="CA84" s="95">
        <f t="shared" si="86"/>
        <v>2</v>
      </c>
      <c r="CB84" s="95">
        <f t="shared" si="86"/>
        <v>2</v>
      </c>
      <c r="CC84" s="95">
        <f t="shared" si="86"/>
        <v>2</v>
      </c>
      <c r="CE84" s="47"/>
    </row>
    <row r="85" spans="1:83" s="46" customFormat="1" ht="15" customHeight="1" outlineLevel="1" x14ac:dyDescent="0.3">
      <c r="A85" s="47"/>
      <c r="B85" s="30"/>
      <c r="C85" s="110"/>
      <c r="D85" s="356" t="s">
        <v>158</v>
      </c>
      <c r="E85" s="14"/>
      <c r="F85" s="14"/>
      <c r="G85" s="14"/>
      <c r="H85" s="14"/>
      <c r="I85" s="31" t="s">
        <v>52</v>
      </c>
      <c r="J85" s="31"/>
      <c r="K85" s="31"/>
      <c r="L85" s="31"/>
      <c r="M85" s="225"/>
      <c r="N85" s="191"/>
      <c r="O85" s="228"/>
      <c r="P85" s="248">
        <f>SUMIFS($V85:$CC85,Расчет!$V$4:$CC$4,Расчет!P$4,Расчет!$V$6:$CC$6,12)</f>
        <v>2</v>
      </c>
      <c r="Q85" s="248">
        <f>SUMIFS($V85:$CC85,Расчет!$V$4:$CC$4,Расчет!Q$4,Расчет!$V$6:$CC$6,12)</f>
        <v>2</v>
      </c>
      <c r="R85" s="248">
        <f>SUMIFS($V85:$CC85,Расчет!$V$4:$CC$4,Расчет!R$4,Расчет!$V$6:$CC$6,12)</f>
        <v>2</v>
      </c>
      <c r="S85" s="248">
        <f>SUMIFS($V85:$CC85,Расчет!$V$4:$CC$4,Расчет!S$4,Расчет!$V$6:$CC$6,12)</f>
        <v>2</v>
      </c>
      <c r="T85" s="248">
        <f>SUMIFS($V85:$CC85,Расчет!$V$4:$CC$4,Расчет!T$4,Расчет!$V$6:$CC$6,12)</f>
        <v>2</v>
      </c>
      <c r="U85" s="139"/>
      <c r="V85" s="95">
        <v>0</v>
      </c>
      <c r="W85" s="95">
        <f t="shared" si="85"/>
        <v>0</v>
      </c>
      <c r="X85" s="95">
        <f t="shared" si="86"/>
        <v>0</v>
      </c>
      <c r="Y85" s="95">
        <v>0</v>
      </c>
      <c r="Z85" s="95">
        <v>1</v>
      </c>
      <c r="AA85" s="95">
        <f t="shared" si="86"/>
        <v>1</v>
      </c>
      <c r="AB85" s="95">
        <f t="shared" si="86"/>
        <v>1</v>
      </c>
      <c r="AC85" s="95">
        <v>2</v>
      </c>
      <c r="AD85" s="95">
        <f t="shared" si="86"/>
        <v>2</v>
      </c>
      <c r="AE85" s="95">
        <f t="shared" si="86"/>
        <v>2</v>
      </c>
      <c r="AF85" s="95">
        <f t="shared" si="86"/>
        <v>2</v>
      </c>
      <c r="AG85" s="95">
        <f t="shared" si="86"/>
        <v>2</v>
      </c>
      <c r="AH85" s="95">
        <f t="shared" si="86"/>
        <v>2</v>
      </c>
      <c r="AI85" s="95">
        <f t="shared" si="86"/>
        <v>2</v>
      </c>
      <c r="AJ85" s="95">
        <f t="shared" si="86"/>
        <v>2</v>
      </c>
      <c r="AK85" s="95">
        <f t="shared" si="86"/>
        <v>2</v>
      </c>
      <c r="AL85" s="95">
        <f t="shared" si="86"/>
        <v>2</v>
      </c>
      <c r="AM85" s="95">
        <f t="shared" si="86"/>
        <v>2</v>
      </c>
      <c r="AN85" s="95">
        <f t="shared" si="86"/>
        <v>2</v>
      </c>
      <c r="AO85" s="95">
        <f t="shared" si="86"/>
        <v>2</v>
      </c>
      <c r="AP85" s="95">
        <f t="shared" si="86"/>
        <v>2</v>
      </c>
      <c r="AQ85" s="95">
        <f t="shared" si="86"/>
        <v>2</v>
      </c>
      <c r="AR85" s="95">
        <f t="shared" si="86"/>
        <v>2</v>
      </c>
      <c r="AS85" s="95">
        <f t="shared" si="86"/>
        <v>2</v>
      </c>
      <c r="AT85" s="95">
        <f t="shared" si="86"/>
        <v>2</v>
      </c>
      <c r="AU85" s="95">
        <f t="shared" si="86"/>
        <v>2</v>
      </c>
      <c r="AV85" s="95">
        <f t="shared" si="86"/>
        <v>2</v>
      </c>
      <c r="AW85" s="95">
        <f t="shared" si="86"/>
        <v>2</v>
      </c>
      <c r="AX85" s="95">
        <f t="shared" si="86"/>
        <v>2</v>
      </c>
      <c r="AY85" s="95">
        <f t="shared" si="86"/>
        <v>2</v>
      </c>
      <c r="AZ85" s="95">
        <f t="shared" si="86"/>
        <v>2</v>
      </c>
      <c r="BA85" s="95">
        <f t="shared" si="86"/>
        <v>2</v>
      </c>
      <c r="BB85" s="95">
        <f t="shared" si="86"/>
        <v>2</v>
      </c>
      <c r="BC85" s="95">
        <f t="shared" si="86"/>
        <v>2</v>
      </c>
      <c r="BD85" s="95">
        <f t="shared" si="86"/>
        <v>2</v>
      </c>
      <c r="BE85" s="95">
        <f t="shared" si="86"/>
        <v>2</v>
      </c>
      <c r="BF85" s="95">
        <f t="shared" si="86"/>
        <v>2</v>
      </c>
      <c r="BG85" s="95">
        <f t="shared" si="86"/>
        <v>2</v>
      </c>
      <c r="BH85" s="95">
        <f t="shared" si="86"/>
        <v>2</v>
      </c>
      <c r="BI85" s="95">
        <f t="shared" si="86"/>
        <v>2</v>
      </c>
      <c r="BJ85" s="95">
        <f t="shared" si="86"/>
        <v>2</v>
      </c>
      <c r="BK85" s="95">
        <f t="shared" si="86"/>
        <v>2</v>
      </c>
      <c r="BL85" s="95">
        <f t="shared" si="86"/>
        <v>2</v>
      </c>
      <c r="BM85" s="95">
        <f t="shared" si="86"/>
        <v>2</v>
      </c>
      <c r="BN85" s="95">
        <f t="shared" si="86"/>
        <v>2</v>
      </c>
      <c r="BO85" s="95">
        <f t="shared" si="86"/>
        <v>2</v>
      </c>
      <c r="BP85" s="95">
        <f t="shared" si="86"/>
        <v>2</v>
      </c>
      <c r="BQ85" s="95">
        <f t="shared" si="86"/>
        <v>2</v>
      </c>
      <c r="BR85" s="95">
        <f t="shared" si="86"/>
        <v>2</v>
      </c>
      <c r="BS85" s="95">
        <f t="shared" si="86"/>
        <v>2</v>
      </c>
      <c r="BT85" s="95">
        <f t="shared" si="86"/>
        <v>2</v>
      </c>
      <c r="BU85" s="95">
        <f t="shared" si="86"/>
        <v>2</v>
      </c>
      <c r="BV85" s="95">
        <f t="shared" si="86"/>
        <v>2</v>
      </c>
      <c r="BW85" s="95">
        <f t="shared" si="86"/>
        <v>2</v>
      </c>
      <c r="BX85" s="95">
        <f t="shared" si="86"/>
        <v>2</v>
      </c>
      <c r="BY85" s="95">
        <f t="shared" si="86"/>
        <v>2</v>
      </c>
      <c r="BZ85" s="95">
        <f t="shared" si="86"/>
        <v>2</v>
      </c>
      <c r="CA85" s="95">
        <f t="shared" si="86"/>
        <v>2</v>
      </c>
      <c r="CB85" s="95">
        <f t="shared" si="86"/>
        <v>2</v>
      </c>
      <c r="CC85" s="95">
        <f t="shared" si="86"/>
        <v>2</v>
      </c>
      <c r="CE85" s="47"/>
    </row>
    <row r="86" spans="1:83" s="46" customFormat="1" ht="15" customHeight="1" outlineLevel="1" x14ac:dyDescent="0.3">
      <c r="A86" s="47"/>
      <c r="B86" s="30"/>
      <c r="C86" s="110"/>
      <c r="D86" s="356" t="s">
        <v>159</v>
      </c>
      <c r="E86" s="14"/>
      <c r="F86" s="14"/>
      <c r="G86" s="14"/>
      <c r="H86" s="14"/>
      <c r="I86" s="31" t="s">
        <v>52</v>
      </c>
      <c r="J86" s="31"/>
      <c r="K86" s="31"/>
      <c r="L86" s="31"/>
      <c r="M86" s="225"/>
      <c r="N86" s="191"/>
      <c r="O86" s="228"/>
      <c r="P86" s="248">
        <f>SUMIFS($V86:$CC86,Расчет!$V$4:$CC$4,Расчет!P$4,Расчет!$V$6:$CC$6,12)</f>
        <v>4</v>
      </c>
      <c r="Q86" s="248">
        <f>SUMIFS($V86:$CC86,Расчет!$V$4:$CC$4,Расчет!Q$4,Расчет!$V$6:$CC$6,12)</f>
        <v>4</v>
      </c>
      <c r="R86" s="248">
        <f>SUMIFS($V86:$CC86,Расчет!$V$4:$CC$4,Расчет!R$4,Расчет!$V$6:$CC$6,12)</f>
        <v>4</v>
      </c>
      <c r="S86" s="248">
        <f>SUMIFS($V86:$CC86,Расчет!$V$4:$CC$4,Расчет!S$4,Расчет!$V$6:$CC$6,12)</f>
        <v>4</v>
      </c>
      <c r="T86" s="248">
        <f>SUMIFS($V86:$CC86,Расчет!$V$4:$CC$4,Расчет!T$4,Расчет!$V$6:$CC$6,12)</f>
        <v>4</v>
      </c>
      <c r="U86" s="139"/>
      <c r="V86" s="95">
        <v>0</v>
      </c>
      <c r="W86" s="95">
        <f t="shared" si="85"/>
        <v>0</v>
      </c>
      <c r="X86" s="95">
        <f t="shared" si="86"/>
        <v>0</v>
      </c>
      <c r="Y86" s="95">
        <v>0</v>
      </c>
      <c r="Z86" s="95">
        <v>2</v>
      </c>
      <c r="AA86" s="95">
        <f t="shared" si="86"/>
        <v>2</v>
      </c>
      <c r="AB86" s="95">
        <f t="shared" si="86"/>
        <v>2</v>
      </c>
      <c r="AC86" s="95">
        <v>4</v>
      </c>
      <c r="AD86" s="95">
        <f t="shared" si="86"/>
        <v>4</v>
      </c>
      <c r="AE86" s="95">
        <f t="shared" si="86"/>
        <v>4</v>
      </c>
      <c r="AF86" s="95">
        <f t="shared" si="86"/>
        <v>4</v>
      </c>
      <c r="AG86" s="95">
        <f t="shared" si="86"/>
        <v>4</v>
      </c>
      <c r="AH86" s="95">
        <f t="shared" si="86"/>
        <v>4</v>
      </c>
      <c r="AI86" s="95">
        <f t="shared" si="86"/>
        <v>4</v>
      </c>
      <c r="AJ86" s="95">
        <f t="shared" si="86"/>
        <v>4</v>
      </c>
      <c r="AK86" s="95">
        <f t="shared" si="86"/>
        <v>4</v>
      </c>
      <c r="AL86" s="95">
        <f t="shared" si="86"/>
        <v>4</v>
      </c>
      <c r="AM86" s="95">
        <f t="shared" si="86"/>
        <v>4</v>
      </c>
      <c r="AN86" s="95">
        <f t="shared" si="86"/>
        <v>4</v>
      </c>
      <c r="AO86" s="95">
        <f t="shared" si="86"/>
        <v>4</v>
      </c>
      <c r="AP86" s="95">
        <f t="shared" si="86"/>
        <v>4</v>
      </c>
      <c r="AQ86" s="95">
        <f t="shared" si="86"/>
        <v>4</v>
      </c>
      <c r="AR86" s="95">
        <f t="shared" si="86"/>
        <v>4</v>
      </c>
      <c r="AS86" s="95">
        <f t="shared" si="86"/>
        <v>4</v>
      </c>
      <c r="AT86" s="95">
        <f t="shared" si="86"/>
        <v>4</v>
      </c>
      <c r="AU86" s="95">
        <f t="shared" ref="AU86:CC87" si="87">AT86</f>
        <v>4</v>
      </c>
      <c r="AV86" s="95">
        <f t="shared" si="87"/>
        <v>4</v>
      </c>
      <c r="AW86" s="95">
        <f t="shared" si="87"/>
        <v>4</v>
      </c>
      <c r="AX86" s="95">
        <f t="shared" si="87"/>
        <v>4</v>
      </c>
      <c r="AY86" s="95">
        <f t="shared" si="87"/>
        <v>4</v>
      </c>
      <c r="AZ86" s="95">
        <f t="shared" si="87"/>
        <v>4</v>
      </c>
      <c r="BA86" s="95">
        <f t="shared" si="87"/>
        <v>4</v>
      </c>
      <c r="BB86" s="95">
        <f t="shared" si="87"/>
        <v>4</v>
      </c>
      <c r="BC86" s="95">
        <f t="shared" si="87"/>
        <v>4</v>
      </c>
      <c r="BD86" s="95">
        <f t="shared" si="87"/>
        <v>4</v>
      </c>
      <c r="BE86" s="95">
        <f t="shared" si="87"/>
        <v>4</v>
      </c>
      <c r="BF86" s="95">
        <f t="shared" si="87"/>
        <v>4</v>
      </c>
      <c r="BG86" s="95">
        <f t="shared" si="87"/>
        <v>4</v>
      </c>
      <c r="BH86" s="95">
        <f t="shared" si="87"/>
        <v>4</v>
      </c>
      <c r="BI86" s="95">
        <f t="shared" si="87"/>
        <v>4</v>
      </c>
      <c r="BJ86" s="95">
        <f t="shared" si="87"/>
        <v>4</v>
      </c>
      <c r="BK86" s="95">
        <f t="shared" si="87"/>
        <v>4</v>
      </c>
      <c r="BL86" s="95">
        <f t="shared" si="87"/>
        <v>4</v>
      </c>
      <c r="BM86" s="95">
        <f t="shared" si="87"/>
        <v>4</v>
      </c>
      <c r="BN86" s="95">
        <f t="shared" si="87"/>
        <v>4</v>
      </c>
      <c r="BO86" s="95">
        <f t="shared" si="87"/>
        <v>4</v>
      </c>
      <c r="BP86" s="95">
        <f t="shared" si="87"/>
        <v>4</v>
      </c>
      <c r="BQ86" s="95">
        <f t="shared" si="87"/>
        <v>4</v>
      </c>
      <c r="BR86" s="95">
        <f t="shared" si="87"/>
        <v>4</v>
      </c>
      <c r="BS86" s="95">
        <f t="shared" si="87"/>
        <v>4</v>
      </c>
      <c r="BT86" s="95">
        <f t="shared" si="87"/>
        <v>4</v>
      </c>
      <c r="BU86" s="95">
        <f t="shared" si="87"/>
        <v>4</v>
      </c>
      <c r="BV86" s="95">
        <f t="shared" si="87"/>
        <v>4</v>
      </c>
      <c r="BW86" s="95">
        <f t="shared" si="87"/>
        <v>4</v>
      </c>
      <c r="BX86" s="95">
        <f t="shared" si="87"/>
        <v>4</v>
      </c>
      <c r="BY86" s="95">
        <f t="shared" si="87"/>
        <v>4</v>
      </c>
      <c r="BZ86" s="95">
        <f t="shared" si="87"/>
        <v>4</v>
      </c>
      <c r="CA86" s="95">
        <f t="shared" si="87"/>
        <v>4</v>
      </c>
      <c r="CB86" s="95">
        <f t="shared" si="87"/>
        <v>4</v>
      </c>
      <c r="CC86" s="95">
        <f t="shared" si="87"/>
        <v>4</v>
      </c>
      <c r="CE86" s="47"/>
    </row>
    <row r="87" spans="1:83" s="46" customFormat="1" ht="15" customHeight="1" outlineLevel="1" x14ac:dyDescent="0.3">
      <c r="A87" s="47"/>
      <c r="B87" s="30"/>
      <c r="C87" s="110"/>
      <c r="D87" s="358" t="s">
        <v>174</v>
      </c>
      <c r="E87" s="14"/>
      <c r="F87" s="14"/>
      <c r="G87" s="14"/>
      <c r="H87" s="14"/>
      <c r="I87" s="31" t="s">
        <v>52</v>
      </c>
      <c r="J87" s="31"/>
      <c r="K87" s="31"/>
      <c r="L87" s="31"/>
      <c r="M87" s="225"/>
      <c r="N87" s="191"/>
      <c r="O87" s="228"/>
      <c r="P87" s="248">
        <f>SUMIFS($V87:$CC87,Расчет!$V$4:$CC$4,Расчет!P$4,Расчет!$V$6:$CC$6,12)</f>
        <v>2</v>
      </c>
      <c r="Q87" s="248">
        <f>SUMIFS($V87:$CC87,Расчет!$V$4:$CC$4,Расчет!Q$4,Расчет!$V$6:$CC$6,12)</f>
        <v>2</v>
      </c>
      <c r="R87" s="248">
        <f>SUMIFS($V87:$CC87,Расчет!$V$4:$CC$4,Расчет!R$4,Расчет!$V$6:$CC$6,12)</f>
        <v>2</v>
      </c>
      <c r="S87" s="248">
        <f>SUMIFS($V87:$CC87,Расчет!$V$4:$CC$4,Расчет!S$4,Расчет!$V$6:$CC$6,12)</f>
        <v>2</v>
      </c>
      <c r="T87" s="248">
        <f>SUMIFS($V87:$CC87,Расчет!$V$4:$CC$4,Расчет!T$4,Расчет!$V$6:$CC$6,12)</f>
        <v>2</v>
      </c>
      <c r="U87" s="139"/>
      <c r="V87" s="95">
        <v>0</v>
      </c>
      <c r="W87" s="95">
        <f t="shared" si="85"/>
        <v>0</v>
      </c>
      <c r="X87" s="95">
        <f t="shared" ref="X87:AT87" si="88">W87</f>
        <v>0</v>
      </c>
      <c r="Y87" s="95">
        <v>0</v>
      </c>
      <c r="Z87" s="95">
        <v>1</v>
      </c>
      <c r="AA87" s="95">
        <f t="shared" si="88"/>
        <v>1</v>
      </c>
      <c r="AB87" s="95">
        <f t="shared" si="88"/>
        <v>1</v>
      </c>
      <c r="AC87" s="95">
        <v>2</v>
      </c>
      <c r="AD87" s="95">
        <f t="shared" si="88"/>
        <v>2</v>
      </c>
      <c r="AE87" s="95">
        <f t="shared" si="88"/>
        <v>2</v>
      </c>
      <c r="AF87" s="95">
        <f t="shared" si="88"/>
        <v>2</v>
      </c>
      <c r="AG87" s="95">
        <f t="shared" si="88"/>
        <v>2</v>
      </c>
      <c r="AH87" s="95">
        <f t="shared" si="88"/>
        <v>2</v>
      </c>
      <c r="AI87" s="95">
        <f t="shared" si="88"/>
        <v>2</v>
      </c>
      <c r="AJ87" s="95">
        <f t="shared" si="88"/>
        <v>2</v>
      </c>
      <c r="AK87" s="95">
        <f t="shared" si="88"/>
        <v>2</v>
      </c>
      <c r="AL87" s="95">
        <f t="shared" si="88"/>
        <v>2</v>
      </c>
      <c r="AM87" s="95">
        <f t="shared" si="88"/>
        <v>2</v>
      </c>
      <c r="AN87" s="95">
        <f t="shared" si="88"/>
        <v>2</v>
      </c>
      <c r="AO87" s="95">
        <f t="shared" si="88"/>
        <v>2</v>
      </c>
      <c r="AP87" s="95">
        <f t="shared" si="88"/>
        <v>2</v>
      </c>
      <c r="AQ87" s="95">
        <f t="shared" si="88"/>
        <v>2</v>
      </c>
      <c r="AR87" s="95">
        <f t="shared" si="88"/>
        <v>2</v>
      </c>
      <c r="AS87" s="95">
        <f t="shared" si="88"/>
        <v>2</v>
      </c>
      <c r="AT87" s="95">
        <f t="shared" si="88"/>
        <v>2</v>
      </c>
      <c r="AU87" s="95">
        <f t="shared" si="87"/>
        <v>2</v>
      </c>
      <c r="AV87" s="95">
        <f t="shared" si="87"/>
        <v>2</v>
      </c>
      <c r="AW87" s="95">
        <f t="shared" si="87"/>
        <v>2</v>
      </c>
      <c r="AX87" s="95">
        <f t="shared" si="87"/>
        <v>2</v>
      </c>
      <c r="AY87" s="95">
        <f t="shared" si="87"/>
        <v>2</v>
      </c>
      <c r="AZ87" s="95">
        <f t="shared" si="87"/>
        <v>2</v>
      </c>
      <c r="BA87" s="95">
        <f t="shared" si="87"/>
        <v>2</v>
      </c>
      <c r="BB87" s="95">
        <f t="shared" si="87"/>
        <v>2</v>
      </c>
      <c r="BC87" s="95">
        <f t="shared" si="87"/>
        <v>2</v>
      </c>
      <c r="BD87" s="95">
        <f t="shared" si="87"/>
        <v>2</v>
      </c>
      <c r="BE87" s="95">
        <f t="shared" si="87"/>
        <v>2</v>
      </c>
      <c r="BF87" s="95">
        <f t="shared" si="87"/>
        <v>2</v>
      </c>
      <c r="BG87" s="95">
        <f t="shared" si="87"/>
        <v>2</v>
      </c>
      <c r="BH87" s="95">
        <f t="shared" si="87"/>
        <v>2</v>
      </c>
      <c r="BI87" s="95">
        <f t="shared" si="87"/>
        <v>2</v>
      </c>
      <c r="BJ87" s="95">
        <f t="shared" si="87"/>
        <v>2</v>
      </c>
      <c r="BK87" s="95">
        <f t="shared" si="87"/>
        <v>2</v>
      </c>
      <c r="BL87" s="95">
        <f t="shared" si="87"/>
        <v>2</v>
      </c>
      <c r="BM87" s="95">
        <f t="shared" si="87"/>
        <v>2</v>
      </c>
      <c r="BN87" s="95">
        <f t="shared" si="87"/>
        <v>2</v>
      </c>
      <c r="BO87" s="95">
        <f t="shared" si="87"/>
        <v>2</v>
      </c>
      <c r="BP87" s="95">
        <f t="shared" si="87"/>
        <v>2</v>
      </c>
      <c r="BQ87" s="95">
        <f t="shared" si="87"/>
        <v>2</v>
      </c>
      <c r="BR87" s="95">
        <f t="shared" si="87"/>
        <v>2</v>
      </c>
      <c r="BS87" s="95">
        <f t="shared" si="87"/>
        <v>2</v>
      </c>
      <c r="BT87" s="95">
        <f t="shared" si="87"/>
        <v>2</v>
      </c>
      <c r="BU87" s="95">
        <f t="shared" si="87"/>
        <v>2</v>
      </c>
      <c r="BV87" s="95">
        <f t="shared" si="87"/>
        <v>2</v>
      </c>
      <c r="BW87" s="95">
        <f t="shared" si="87"/>
        <v>2</v>
      </c>
      <c r="BX87" s="95">
        <f t="shared" si="87"/>
        <v>2</v>
      </c>
      <c r="BY87" s="95">
        <f t="shared" si="87"/>
        <v>2</v>
      </c>
      <c r="BZ87" s="95">
        <f t="shared" si="87"/>
        <v>2</v>
      </c>
      <c r="CA87" s="95">
        <f t="shared" si="87"/>
        <v>2</v>
      </c>
      <c r="CB87" s="95">
        <f t="shared" si="87"/>
        <v>2</v>
      </c>
      <c r="CC87" s="95">
        <f t="shared" si="87"/>
        <v>2</v>
      </c>
      <c r="CE87" s="47"/>
    </row>
    <row r="88" spans="1:83" s="46" customFormat="1" ht="15" customHeight="1" outlineLevel="1" x14ac:dyDescent="0.3">
      <c r="A88" s="47"/>
      <c r="B88" s="30"/>
      <c r="C88" s="110"/>
      <c r="D88" s="136" t="s">
        <v>26</v>
      </c>
      <c r="E88" s="36"/>
      <c r="F88" s="36"/>
      <c r="G88" s="36"/>
      <c r="H88" s="36"/>
      <c r="I88" s="6" t="s">
        <v>52</v>
      </c>
      <c r="J88" s="6"/>
      <c r="K88" s="6"/>
      <c r="L88" s="6"/>
      <c r="M88" s="225"/>
      <c r="N88" s="225"/>
      <c r="O88" s="228"/>
      <c r="P88" s="225">
        <f>SUMIFS($V88:$CC88,Расчет!$V$4:$CC$4,Расчет!P$4,Расчет!$V$6:$CC$6,12)</f>
        <v>15</v>
      </c>
      <c r="Q88" s="225">
        <f>SUMIFS($V88:$CC88,Расчет!$V$4:$CC$4,Расчет!Q$4,Расчет!$V$6:$CC$6,12)</f>
        <v>15</v>
      </c>
      <c r="R88" s="225">
        <f>SUMIFS($V88:$CC88,Расчет!$V$4:$CC$4,Расчет!R$4,Расчет!$V$6:$CC$6,12)</f>
        <v>15</v>
      </c>
      <c r="S88" s="225">
        <f>SUMIFS($V88:$CC88,Расчет!$V$4:$CC$4,Расчет!S$4,Расчет!$V$6:$CC$6,12)</f>
        <v>15</v>
      </c>
      <c r="T88" s="225">
        <f>SUMIFS($V88:$CC88,Расчет!$V$4:$CC$4,Расчет!T$4,Расчет!$V$6:$CC$6,12)</f>
        <v>15</v>
      </c>
      <c r="U88" s="139"/>
      <c r="V88" s="226">
        <f t="shared" ref="V88:BA88" si="89">SUM(V82:V87)</f>
        <v>0</v>
      </c>
      <c r="W88" s="226">
        <f t="shared" si="89"/>
        <v>0</v>
      </c>
      <c r="X88" s="226">
        <f t="shared" si="89"/>
        <v>0</v>
      </c>
      <c r="Y88" s="226">
        <f t="shared" si="89"/>
        <v>0</v>
      </c>
      <c r="Z88" s="226">
        <f t="shared" si="89"/>
        <v>8</v>
      </c>
      <c r="AA88" s="226">
        <f t="shared" si="89"/>
        <v>8</v>
      </c>
      <c r="AB88" s="226">
        <f t="shared" si="89"/>
        <v>8</v>
      </c>
      <c r="AC88" s="226">
        <f t="shared" si="89"/>
        <v>15</v>
      </c>
      <c r="AD88" s="226">
        <f t="shared" si="89"/>
        <v>15</v>
      </c>
      <c r="AE88" s="226">
        <f t="shared" si="89"/>
        <v>15</v>
      </c>
      <c r="AF88" s="226">
        <f t="shared" si="89"/>
        <v>15</v>
      </c>
      <c r="AG88" s="226">
        <f t="shared" si="89"/>
        <v>15</v>
      </c>
      <c r="AH88" s="226">
        <f t="shared" si="89"/>
        <v>15</v>
      </c>
      <c r="AI88" s="226">
        <f t="shared" si="89"/>
        <v>15</v>
      </c>
      <c r="AJ88" s="226">
        <f t="shared" si="89"/>
        <v>15</v>
      </c>
      <c r="AK88" s="226">
        <f t="shared" si="89"/>
        <v>15</v>
      </c>
      <c r="AL88" s="226">
        <f t="shared" si="89"/>
        <v>15</v>
      </c>
      <c r="AM88" s="226">
        <f t="shared" si="89"/>
        <v>15</v>
      </c>
      <c r="AN88" s="226">
        <f t="shared" si="89"/>
        <v>15</v>
      </c>
      <c r="AO88" s="226">
        <f t="shared" si="89"/>
        <v>15</v>
      </c>
      <c r="AP88" s="226">
        <f t="shared" si="89"/>
        <v>15</v>
      </c>
      <c r="AQ88" s="226">
        <f t="shared" si="89"/>
        <v>15</v>
      </c>
      <c r="AR88" s="226">
        <f t="shared" si="89"/>
        <v>15</v>
      </c>
      <c r="AS88" s="226">
        <f t="shared" si="89"/>
        <v>15</v>
      </c>
      <c r="AT88" s="226">
        <f t="shared" si="89"/>
        <v>15</v>
      </c>
      <c r="AU88" s="226">
        <f t="shared" si="89"/>
        <v>15</v>
      </c>
      <c r="AV88" s="226">
        <f t="shared" si="89"/>
        <v>15</v>
      </c>
      <c r="AW88" s="226">
        <f t="shared" si="89"/>
        <v>15</v>
      </c>
      <c r="AX88" s="226">
        <f t="shared" si="89"/>
        <v>15</v>
      </c>
      <c r="AY88" s="226">
        <f t="shared" si="89"/>
        <v>15</v>
      </c>
      <c r="AZ88" s="226">
        <f t="shared" si="89"/>
        <v>15</v>
      </c>
      <c r="BA88" s="226">
        <f t="shared" si="89"/>
        <v>15</v>
      </c>
      <c r="BB88" s="226">
        <f t="shared" ref="BB88:CC88" si="90">SUM(BB82:BB87)</f>
        <v>15</v>
      </c>
      <c r="BC88" s="226">
        <f t="shared" si="90"/>
        <v>15</v>
      </c>
      <c r="BD88" s="226">
        <f t="shared" si="90"/>
        <v>15</v>
      </c>
      <c r="BE88" s="226">
        <f t="shared" si="90"/>
        <v>15</v>
      </c>
      <c r="BF88" s="226">
        <f t="shared" si="90"/>
        <v>15</v>
      </c>
      <c r="BG88" s="226">
        <f t="shared" si="90"/>
        <v>15</v>
      </c>
      <c r="BH88" s="226">
        <f t="shared" si="90"/>
        <v>15</v>
      </c>
      <c r="BI88" s="226">
        <f t="shared" si="90"/>
        <v>15</v>
      </c>
      <c r="BJ88" s="226">
        <f t="shared" si="90"/>
        <v>15</v>
      </c>
      <c r="BK88" s="226">
        <f t="shared" si="90"/>
        <v>15</v>
      </c>
      <c r="BL88" s="226">
        <f t="shared" si="90"/>
        <v>15</v>
      </c>
      <c r="BM88" s="226">
        <f t="shared" si="90"/>
        <v>15</v>
      </c>
      <c r="BN88" s="226">
        <f t="shared" si="90"/>
        <v>15</v>
      </c>
      <c r="BO88" s="226">
        <f t="shared" si="90"/>
        <v>15</v>
      </c>
      <c r="BP88" s="226">
        <f t="shared" si="90"/>
        <v>15</v>
      </c>
      <c r="BQ88" s="226">
        <f t="shared" si="90"/>
        <v>15</v>
      </c>
      <c r="BR88" s="226">
        <f t="shared" si="90"/>
        <v>15</v>
      </c>
      <c r="BS88" s="226">
        <f t="shared" si="90"/>
        <v>15</v>
      </c>
      <c r="BT88" s="226">
        <f t="shared" si="90"/>
        <v>15</v>
      </c>
      <c r="BU88" s="226">
        <f t="shared" si="90"/>
        <v>15</v>
      </c>
      <c r="BV88" s="226">
        <f t="shared" si="90"/>
        <v>15</v>
      </c>
      <c r="BW88" s="226">
        <f t="shared" si="90"/>
        <v>15</v>
      </c>
      <c r="BX88" s="226">
        <f t="shared" si="90"/>
        <v>15</v>
      </c>
      <c r="BY88" s="226">
        <f t="shared" si="90"/>
        <v>15</v>
      </c>
      <c r="BZ88" s="226">
        <f t="shared" si="90"/>
        <v>15</v>
      </c>
      <c r="CA88" s="226">
        <f t="shared" si="90"/>
        <v>15</v>
      </c>
      <c r="CB88" s="226">
        <f t="shared" si="90"/>
        <v>15</v>
      </c>
      <c r="CC88" s="226">
        <f t="shared" si="90"/>
        <v>15</v>
      </c>
      <c r="CE88" s="47"/>
    </row>
    <row r="89" spans="1:83" s="46" customFormat="1" ht="15" customHeight="1" outlineLevel="1" x14ac:dyDescent="0.3">
      <c r="A89" s="47"/>
      <c r="B89" s="30"/>
      <c r="C89" s="110"/>
      <c r="D89" s="131"/>
      <c r="E89" s="114"/>
      <c r="F89" s="114"/>
      <c r="G89" s="114"/>
      <c r="H89" s="114"/>
      <c r="I89" s="31"/>
      <c r="J89" s="31"/>
      <c r="K89" s="31"/>
      <c r="L89" s="31"/>
      <c r="N89" s="5"/>
      <c r="P89" s="159"/>
      <c r="Q89" s="159"/>
      <c r="R89" s="159"/>
      <c r="S89" s="159"/>
      <c r="T89" s="159"/>
      <c r="U89" s="158"/>
      <c r="V89" s="173"/>
      <c r="W89" s="173"/>
      <c r="X89" s="173"/>
      <c r="Y89" s="173"/>
      <c r="Z89" s="173"/>
      <c r="AA89" s="173"/>
      <c r="AB89" s="173"/>
      <c r="AC89" s="173"/>
      <c r="AD89" s="173"/>
      <c r="AE89" s="173"/>
      <c r="AF89" s="173"/>
      <c r="AG89" s="173"/>
      <c r="AH89" s="173"/>
      <c r="AI89" s="173"/>
      <c r="AJ89" s="173"/>
      <c r="AK89" s="173"/>
      <c r="AL89" s="173"/>
      <c r="AM89" s="173"/>
      <c r="AN89" s="173"/>
      <c r="AO89" s="173"/>
      <c r="AP89" s="173"/>
      <c r="AQ89" s="173"/>
      <c r="AR89" s="173"/>
      <c r="AS89" s="173"/>
      <c r="AT89" s="173"/>
      <c r="AU89" s="173"/>
      <c r="AV89" s="173"/>
      <c r="AW89" s="173"/>
      <c r="AX89" s="173"/>
      <c r="AY89" s="173"/>
      <c r="AZ89" s="173"/>
      <c r="BA89" s="173"/>
      <c r="BB89" s="173"/>
      <c r="BC89" s="173"/>
      <c r="BD89" s="173"/>
      <c r="BE89" s="173"/>
      <c r="BF89" s="173"/>
      <c r="BG89" s="173"/>
      <c r="BH89" s="173"/>
      <c r="BI89" s="173"/>
      <c r="BJ89" s="173"/>
      <c r="BK89" s="173"/>
      <c r="BL89" s="173"/>
      <c r="BM89" s="173"/>
      <c r="BN89" s="173"/>
      <c r="BO89" s="173"/>
      <c r="BP89" s="173"/>
      <c r="BQ89" s="173"/>
      <c r="BR89" s="173"/>
      <c r="BS89" s="173"/>
      <c r="BT89" s="173"/>
      <c r="BU89" s="173"/>
      <c r="BV89" s="173"/>
      <c r="BW89" s="173"/>
      <c r="BX89" s="173"/>
      <c r="BY89" s="173"/>
      <c r="BZ89" s="173"/>
      <c r="CA89" s="173"/>
      <c r="CB89" s="173"/>
      <c r="CC89" s="173"/>
      <c r="CE89" s="47"/>
    </row>
    <row r="90" spans="1:83" s="46" customFormat="1" ht="15" customHeight="1" outlineLevel="1" x14ac:dyDescent="0.3">
      <c r="A90" s="47"/>
      <c r="B90" s="30"/>
      <c r="C90" s="110"/>
      <c r="D90" s="136" t="s">
        <v>153</v>
      </c>
      <c r="E90" s="36"/>
      <c r="F90" s="36"/>
      <c r="G90" s="36"/>
      <c r="H90" s="36"/>
      <c r="I90" s="31"/>
      <c r="J90" s="31"/>
      <c r="K90" s="31"/>
      <c r="L90" s="31"/>
      <c r="M90" s="31"/>
      <c r="N90" s="5"/>
      <c r="P90" s="159"/>
      <c r="Q90" s="159"/>
      <c r="R90" s="159"/>
      <c r="S90" s="159"/>
      <c r="T90" s="159"/>
      <c r="U90" s="158"/>
      <c r="V90" s="173"/>
      <c r="W90" s="173"/>
      <c r="X90" s="173"/>
      <c r="Y90" s="173"/>
      <c r="Z90" s="173"/>
      <c r="AA90" s="173"/>
      <c r="AB90" s="173"/>
      <c r="AC90" s="173"/>
      <c r="AD90" s="173"/>
      <c r="AE90" s="173"/>
      <c r="AF90" s="173"/>
      <c r="AG90" s="173"/>
      <c r="AH90" s="173"/>
      <c r="AI90" s="173"/>
      <c r="AJ90" s="173"/>
      <c r="AK90" s="173"/>
      <c r="AL90" s="173"/>
      <c r="AM90" s="173"/>
      <c r="AN90" s="173"/>
      <c r="AO90" s="173"/>
      <c r="AP90" s="173"/>
      <c r="AQ90" s="173"/>
      <c r="AR90" s="173"/>
      <c r="AS90" s="173"/>
      <c r="AT90" s="173"/>
      <c r="AU90" s="173"/>
      <c r="AV90" s="173"/>
      <c r="AW90" s="173"/>
      <c r="AX90" s="173"/>
      <c r="AY90" s="173"/>
      <c r="AZ90" s="173"/>
      <c r="BA90" s="173"/>
      <c r="BB90" s="173"/>
      <c r="BC90" s="173"/>
      <c r="BD90" s="173"/>
      <c r="BE90" s="173"/>
      <c r="BF90" s="173"/>
      <c r="BG90" s="173"/>
      <c r="BH90" s="173"/>
      <c r="BI90" s="173"/>
      <c r="BJ90" s="173"/>
      <c r="BK90" s="173"/>
      <c r="BL90" s="173"/>
      <c r="BM90" s="173"/>
      <c r="BN90" s="173"/>
      <c r="BO90" s="173"/>
      <c r="BP90" s="173"/>
      <c r="BQ90" s="173"/>
      <c r="BR90" s="173"/>
      <c r="BS90" s="173"/>
      <c r="BT90" s="173"/>
      <c r="BU90" s="173"/>
      <c r="BV90" s="173"/>
      <c r="BW90" s="173"/>
      <c r="BX90" s="173"/>
      <c r="BY90" s="173"/>
      <c r="BZ90" s="173"/>
      <c r="CA90" s="173"/>
      <c r="CB90" s="173"/>
      <c r="CC90" s="173"/>
      <c r="CE90" s="47"/>
    </row>
    <row r="91" spans="1:83" s="46" customFormat="1" ht="15" customHeight="1" outlineLevel="1" x14ac:dyDescent="0.3">
      <c r="A91" s="47"/>
      <c r="B91" s="30"/>
      <c r="C91" s="110"/>
      <c r="D91" s="356" t="s">
        <v>161</v>
      </c>
      <c r="E91" s="14"/>
      <c r="F91" s="14"/>
      <c r="G91" s="14"/>
      <c r="H91" s="14"/>
      <c r="I91" s="31" t="s">
        <v>52</v>
      </c>
      <c r="J91" s="31"/>
      <c r="K91" s="31"/>
      <c r="L91" s="31"/>
      <c r="M91" s="31"/>
      <c r="N91" s="225"/>
      <c r="O91" s="228"/>
      <c r="P91" s="248">
        <f>SUMIFS($V91:$CC91,Расчет!$V$4:$CC$4,Расчет!P$4,Расчет!$V$6:$CC$6,12)</f>
        <v>1</v>
      </c>
      <c r="Q91" s="248">
        <f>SUMIFS($V91:$CC91,Расчет!$V$4:$CC$4,Расчет!Q$4,Расчет!$V$6:$CC$6,12)</f>
        <v>1</v>
      </c>
      <c r="R91" s="248">
        <f>SUMIFS($V91:$CC91,Расчет!$V$4:$CC$4,Расчет!R$4,Расчет!$V$6:$CC$6,12)</f>
        <v>1</v>
      </c>
      <c r="S91" s="248">
        <f>SUMIFS($V91:$CC91,Расчет!$V$4:$CC$4,Расчет!S$4,Расчет!$V$6:$CC$6,12)</f>
        <v>1</v>
      </c>
      <c r="T91" s="248">
        <f>SUMIFS($V91:$CC91,Расчет!$V$4:$CC$4,Расчет!T$4,Расчет!$V$6:$CC$6,12)</f>
        <v>1</v>
      </c>
      <c r="U91" s="139"/>
      <c r="V91" s="95">
        <v>0</v>
      </c>
      <c r="W91" s="95">
        <f>V91</f>
        <v>0</v>
      </c>
      <c r="X91" s="95">
        <f t="shared" ref="X91:CC91" si="91">W91</f>
        <v>0</v>
      </c>
      <c r="Y91" s="95">
        <f t="shared" si="91"/>
        <v>0</v>
      </c>
      <c r="Z91" s="95">
        <v>1</v>
      </c>
      <c r="AA91" s="95">
        <f t="shared" si="91"/>
        <v>1</v>
      </c>
      <c r="AB91" s="95">
        <f t="shared" si="91"/>
        <v>1</v>
      </c>
      <c r="AC91" s="95">
        <f t="shared" si="91"/>
        <v>1</v>
      </c>
      <c r="AD91" s="95">
        <f t="shared" si="91"/>
        <v>1</v>
      </c>
      <c r="AE91" s="95">
        <f t="shared" si="91"/>
        <v>1</v>
      </c>
      <c r="AF91" s="95">
        <f t="shared" si="91"/>
        <v>1</v>
      </c>
      <c r="AG91" s="95">
        <f t="shared" si="91"/>
        <v>1</v>
      </c>
      <c r="AH91" s="95">
        <f t="shared" si="91"/>
        <v>1</v>
      </c>
      <c r="AI91" s="95">
        <f t="shared" si="91"/>
        <v>1</v>
      </c>
      <c r="AJ91" s="95">
        <f t="shared" si="91"/>
        <v>1</v>
      </c>
      <c r="AK91" s="95">
        <f t="shared" si="91"/>
        <v>1</v>
      </c>
      <c r="AL91" s="95">
        <f t="shared" si="91"/>
        <v>1</v>
      </c>
      <c r="AM91" s="95">
        <f t="shared" si="91"/>
        <v>1</v>
      </c>
      <c r="AN91" s="95">
        <f t="shared" si="91"/>
        <v>1</v>
      </c>
      <c r="AO91" s="95">
        <f t="shared" si="91"/>
        <v>1</v>
      </c>
      <c r="AP91" s="95">
        <f t="shared" si="91"/>
        <v>1</v>
      </c>
      <c r="AQ91" s="95">
        <f t="shared" si="91"/>
        <v>1</v>
      </c>
      <c r="AR91" s="95">
        <f t="shared" si="91"/>
        <v>1</v>
      </c>
      <c r="AS91" s="95">
        <f t="shared" si="91"/>
        <v>1</v>
      </c>
      <c r="AT91" s="95">
        <f t="shared" si="91"/>
        <v>1</v>
      </c>
      <c r="AU91" s="95">
        <f t="shared" si="91"/>
        <v>1</v>
      </c>
      <c r="AV91" s="95">
        <f t="shared" si="91"/>
        <v>1</v>
      </c>
      <c r="AW91" s="95">
        <f t="shared" si="91"/>
        <v>1</v>
      </c>
      <c r="AX91" s="95">
        <f t="shared" si="91"/>
        <v>1</v>
      </c>
      <c r="AY91" s="95">
        <f t="shared" si="91"/>
        <v>1</v>
      </c>
      <c r="AZ91" s="95">
        <f t="shared" si="91"/>
        <v>1</v>
      </c>
      <c r="BA91" s="95">
        <f t="shared" si="91"/>
        <v>1</v>
      </c>
      <c r="BB91" s="95">
        <f t="shared" si="91"/>
        <v>1</v>
      </c>
      <c r="BC91" s="95">
        <f t="shared" si="91"/>
        <v>1</v>
      </c>
      <c r="BD91" s="95">
        <f t="shared" si="91"/>
        <v>1</v>
      </c>
      <c r="BE91" s="95">
        <f t="shared" si="91"/>
        <v>1</v>
      </c>
      <c r="BF91" s="95">
        <f t="shared" si="91"/>
        <v>1</v>
      </c>
      <c r="BG91" s="95">
        <f t="shared" si="91"/>
        <v>1</v>
      </c>
      <c r="BH91" s="95">
        <f t="shared" si="91"/>
        <v>1</v>
      </c>
      <c r="BI91" s="95">
        <f t="shared" si="91"/>
        <v>1</v>
      </c>
      <c r="BJ91" s="95">
        <f t="shared" si="91"/>
        <v>1</v>
      </c>
      <c r="BK91" s="95">
        <f t="shared" si="91"/>
        <v>1</v>
      </c>
      <c r="BL91" s="95">
        <f t="shared" si="91"/>
        <v>1</v>
      </c>
      <c r="BM91" s="95">
        <f t="shared" si="91"/>
        <v>1</v>
      </c>
      <c r="BN91" s="95">
        <f t="shared" si="91"/>
        <v>1</v>
      </c>
      <c r="BO91" s="95">
        <f t="shared" si="91"/>
        <v>1</v>
      </c>
      <c r="BP91" s="95">
        <f t="shared" si="91"/>
        <v>1</v>
      </c>
      <c r="BQ91" s="95">
        <f t="shared" si="91"/>
        <v>1</v>
      </c>
      <c r="BR91" s="95">
        <f t="shared" si="91"/>
        <v>1</v>
      </c>
      <c r="BS91" s="95">
        <f t="shared" si="91"/>
        <v>1</v>
      </c>
      <c r="BT91" s="95">
        <f t="shared" si="91"/>
        <v>1</v>
      </c>
      <c r="BU91" s="95">
        <f t="shared" si="91"/>
        <v>1</v>
      </c>
      <c r="BV91" s="95">
        <f t="shared" si="91"/>
        <v>1</v>
      </c>
      <c r="BW91" s="95">
        <f t="shared" si="91"/>
        <v>1</v>
      </c>
      <c r="BX91" s="95">
        <f t="shared" si="91"/>
        <v>1</v>
      </c>
      <c r="BY91" s="95">
        <f t="shared" si="91"/>
        <v>1</v>
      </c>
      <c r="BZ91" s="95">
        <f t="shared" si="91"/>
        <v>1</v>
      </c>
      <c r="CA91" s="95">
        <f t="shared" si="91"/>
        <v>1</v>
      </c>
      <c r="CB91" s="95">
        <f t="shared" si="91"/>
        <v>1</v>
      </c>
      <c r="CC91" s="95">
        <f t="shared" si="91"/>
        <v>1</v>
      </c>
      <c r="CE91" s="47"/>
    </row>
    <row r="92" spans="1:83" s="46" customFormat="1" ht="15" customHeight="1" outlineLevel="1" x14ac:dyDescent="0.3">
      <c r="A92" s="47"/>
      <c r="B92" s="30"/>
      <c r="C92" s="110"/>
      <c r="D92" s="356" t="s">
        <v>162</v>
      </c>
      <c r="E92" s="14"/>
      <c r="F92" s="14"/>
      <c r="G92" s="14"/>
      <c r="H92" s="14"/>
      <c r="I92" s="31" t="s">
        <v>52</v>
      </c>
      <c r="J92" s="31"/>
      <c r="K92" s="31"/>
      <c r="L92" s="31"/>
      <c r="M92" s="31"/>
      <c r="N92" s="225"/>
      <c r="O92" s="228"/>
      <c r="P92" s="248">
        <f>SUMIFS($V92:$CC92,Расчет!$V$4:$CC$4,Расчет!P$4,Расчет!$V$6:$CC$6,12)</f>
        <v>2</v>
      </c>
      <c r="Q92" s="248">
        <f>SUMIFS($V92:$CC92,Расчет!$V$4:$CC$4,Расчет!Q$4,Расчет!$V$6:$CC$6,12)</f>
        <v>2</v>
      </c>
      <c r="R92" s="248">
        <f>SUMIFS($V92:$CC92,Расчет!$V$4:$CC$4,Расчет!R$4,Расчет!$V$6:$CC$6,12)</f>
        <v>2</v>
      </c>
      <c r="S92" s="248">
        <f>SUMIFS($V92:$CC92,Расчет!$V$4:$CC$4,Расчет!S$4,Расчет!$V$6:$CC$6,12)</f>
        <v>2</v>
      </c>
      <c r="T92" s="248">
        <f>SUMIFS($V92:$CC92,Расчет!$V$4:$CC$4,Расчет!T$4,Расчет!$V$6:$CC$6,12)</f>
        <v>2</v>
      </c>
      <c r="U92" s="139"/>
      <c r="V92" s="95">
        <v>0</v>
      </c>
      <c r="W92" s="95">
        <f>V92</f>
        <v>0</v>
      </c>
      <c r="X92" s="95">
        <f t="shared" ref="X92:CC92" si="92">W92</f>
        <v>0</v>
      </c>
      <c r="Y92" s="95">
        <f t="shared" si="92"/>
        <v>0</v>
      </c>
      <c r="Z92" s="95">
        <v>1</v>
      </c>
      <c r="AA92" s="95">
        <f t="shared" si="92"/>
        <v>1</v>
      </c>
      <c r="AB92" s="95">
        <f t="shared" si="92"/>
        <v>1</v>
      </c>
      <c r="AC92" s="95">
        <f t="shared" si="92"/>
        <v>1</v>
      </c>
      <c r="AD92" s="95">
        <v>2</v>
      </c>
      <c r="AE92" s="95">
        <f t="shared" si="92"/>
        <v>2</v>
      </c>
      <c r="AF92" s="95">
        <f t="shared" si="92"/>
        <v>2</v>
      </c>
      <c r="AG92" s="95">
        <f t="shared" si="92"/>
        <v>2</v>
      </c>
      <c r="AH92" s="95">
        <f t="shared" si="92"/>
        <v>2</v>
      </c>
      <c r="AI92" s="95">
        <f t="shared" si="92"/>
        <v>2</v>
      </c>
      <c r="AJ92" s="95">
        <f t="shared" si="92"/>
        <v>2</v>
      </c>
      <c r="AK92" s="95">
        <f t="shared" si="92"/>
        <v>2</v>
      </c>
      <c r="AL92" s="95">
        <f t="shared" si="92"/>
        <v>2</v>
      </c>
      <c r="AM92" s="95">
        <f t="shared" si="92"/>
        <v>2</v>
      </c>
      <c r="AN92" s="95">
        <f t="shared" si="92"/>
        <v>2</v>
      </c>
      <c r="AO92" s="95">
        <f t="shared" si="92"/>
        <v>2</v>
      </c>
      <c r="AP92" s="95">
        <f t="shared" si="92"/>
        <v>2</v>
      </c>
      <c r="AQ92" s="95">
        <f t="shared" si="92"/>
        <v>2</v>
      </c>
      <c r="AR92" s="95">
        <f t="shared" si="92"/>
        <v>2</v>
      </c>
      <c r="AS92" s="95">
        <f t="shared" si="92"/>
        <v>2</v>
      </c>
      <c r="AT92" s="95">
        <f t="shared" si="92"/>
        <v>2</v>
      </c>
      <c r="AU92" s="95">
        <f t="shared" si="92"/>
        <v>2</v>
      </c>
      <c r="AV92" s="95">
        <f t="shared" si="92"/>
        <v>2</v>
      </c>
      <c r="AW92" s="95">
        <f t="shared" si="92"/>
        <v>2</v>
      </c>
      <c r="AX92" s="95">
        <f t="shared" si="92"/>
        <v>2</v>
      </c>
      <c r="AY92" s="95">
        <f t="shared" si="92"/>
        <v>2</v>
      </c>
      <c r="AZ92" s="95">
        <f t="shared" si="92"/>
        <v>2</v>
      </c>
      <c r="BA92" s="95">
        <f t="shared" si="92"/>
        <v>2</v>
      </c>
      <c r="BB92" s="95">
        <f t="shared" si="92"/>
        <v>2</v>
      </c>
      <c r="BC92" s="95">
        <f t="shared" si="92"/>
        <v>2</v>
      </c>
      <c r="BD92" s="95">
        <f t="shared" si="92"/>
        <v>2</v>
      </c>
      <c r="BE92" s="95">
        <f t="shared" si="92"/>
        <v>2</v>
      </c>
      <c r="BF92" s="95">
        <f t="shared" si="92"/>
        <v>2</v>
      </c>
      <c r="BG92" s="95">
        <f t="shared" si="92"/>
        <v>2</v>
      </c>
      <c r="BH92" s="95">
        <f t="shared" si="92"/>
        <v>2</v>
      </c>
      <c r="BI92" s="95">
        <f t="shared" si="92"/>
        <v>2</v>
      </c>
      <c r="BJ92" s="95">
        <f t="shared" si="92"/>
        <v>2</v>
      </c>
      <c r="BK92" s="95">
        <f t="shared" si="92"/>
        <v>2</v>
      </c>
      <c r="BL92" s="95">
        <f t="shared" si="92"/>
        <v>2</v>
      </c>
      <c r="BM92" s="95">
        <f t="shared" si="92"/>
        <v>2</v>
      </c>
      <c r="BN92" s="95">
        <f t="shared" si="92"/>
        <v>2</v>
      </c>
      <c r="BO92" s="95">
        <f t="shared" si="92"/>
        <v>2</v>
      </c>
      <c r="BP92" s="95">
        <f t="shared" si="92"/>
        <v>2</v>
      </c>
      <c r="BQ92" s="95">
        <f t="shared" si="92"/>
        <v>2</v>
      </c>
      <c r="BR92" s="95">
        <f t="shared" si="92"/>
        <v>2</v>
      </c>
      <c r="BS92" s="95">
        <f t="shared" si="92"/>
        <v>2</v>
      </c>
      <c r="BT92" s="95">
        <f t="shared" si="92"/>
        <v>2</v>
      </c>
      <c r="BU92" s="95">
        <f t="shared" si="92"/>
        <v>2</v>
      </c>
      <c r="BV92" s="95">
        <f t="shared" si="92"/>
        <v>2</v>
      </c>
      <c r="BW92" s="95">
        <f t="shared" si="92"/>
        <v>2</v>
      </c>
      <c r="BX92" s="95">
        <f t="shared" si="92"/>
        <v>2</v>
      </c>
      <c r="BY92" s="95">
        <f t="shared" si="92"/>
        <v>2</v>
      </c>
      <c r="BZ92" s="95">
        <f t="shared" si="92"/>
        <v>2</v>
      </c>
      <c r="CA92" s="95">
        <f t="shared" si="92"/>
        <v>2</v>
      </c>
      <c r="CB92" s="95">
        <f t="shared" si="92"/>
        <v>2</v>
      </c>
      <c r="CC92" s="95">
        <f t="shared" si="92"/>
        <v>2</v>
      </c>
      <c r="CE92" s="47"/>
    </row>
    <row r="93" spans="1:83" s="46" customFormat="1" ht="15" customHeight="1" outlineLevel="1" x14ac:dyDescent="0.3">
      <c r="A93" s="47"/>
      <c r="B93" s="30"/>
      <c r="C93" s="110"/>
      <c r="D93" s="356" t="s">
        <v>160</v>
      </c>
      <c r="E93" s="14"/>
      <c r="F93" s="14"/>
      <c r="G93" s="14"/>
      <c r="H93" s="14"/>
      <c r="I93" s="31" t="s">
        <v>52</v>
      </c>
      <c r="J93" s="31"/>
      <c r="K93" s="31"/>
      <c r="L93" s="6"/>
      <c r="M93" s="6"/>
      <c r="N93" s="225"/>
      <c r="O93" s="228"/>
      <c r="P93" s="248">
        <f>SUMIFS($V93:$CC93,Расчет!$V$4:$CC$4,Расчет!P$4,Расчет!$V$6:$CC$6,12)</f>
        <v>4</v>
      </c>
      <c r="Q93" s="248">
        <f>SUMIFS($V93:$CC93,Расчет!$V$4:$CC$4,Расчет!Q$4,Расчет!$V$6:$CC$6,12)</f>
        <v>4</v>
      </c>
      <c r="R93" s="248">
        <f>SUMIFS($V93:$CC93,Расчет!$V$4:$CC$4,Расчет!R$4,Расчет!$V$6:$CC$6,12)</f>
        <v>4</v>
      </c>
      <c r="S93" s="248">
        <f>SUMIFS($V93:$CC93,Расчет!$V$4:$CC$4,Расчет!S$4,Расчет!$V$6:$CC$6,12)</f>
        <v>4</v>
      </c>
      <c r="T93" s="248">
        <f>SUMIFS($V93:$CC93,Расчет!$V$4:$CC$4,Расчет!T$4,Расчет!$V$6:$CC$6,12)</f>
        <v>4</v>
      </c>
      <c r="U93" s="139"/>
      <c r="V93" s="95">
        <v>0</v>
      </c>
      <c r="W93" s="95">
        <f>V93</f>
        <v>0</v>
      </c>
      <c r="X93" s="95">
        <f t="shared" ref="X93:CC93" si="93">W93</f>
        <v>0</v>
      </c>
      <c r="Y93" s="95">
        <f t="shared" si="93"/>
        <v>0</v>
      </c>
      <c r="Z93" s="95">
        <v>2</v>
      </c>
      <c r="AA93" s="95">
        <f t="shared" si="93"/>
        <v>2</v>
      </c>
      <c r="AB93" s="95">
        <f t="shared" si="93"/>
        <v>2</v>
      </c>
      <c r="AC93" s="95">
        <f t="shared" si="93"/>
        <v>2</v>
      </c>
      <c r="AD93" s="95">
        <v>4</v>
      </c>
      <c r="AE93" s="95">
        <f t="shared" si="93"/>
        <v>4</v>
      </c>
      <c r="AF93" s="95">
        <f t="shared" si="93"/>
        <v>4</v>
      </c>
      <c r="AG93" s="95">
        <f t="shared" si="93"/>
        <v>4</v>
      </c>
      <c r="AH93" s="95">
        <f t="shared" si="93"/>
        <v>4</v>
      </c>
      <c r="AI93" s="95">
        <f t="shared" si="93"/>
        <v>4</v>
      </c>
      <c r="AJ93" s="95">
        <f t="shared" si="93"/>
        <v>4</v>
      </c>
      <c r="AK93" s="95">
        <f t="shared" si="93"/>
        <v>4</v>
      </c>
      <c r="AL93" s="95">
        <f t="shared" si="93"/>
        <v>4</v>
      </c>
      <c r="AM93" s="95">
        <f t="shared" si="93"/>
        <v>4</v>
      </c>
      <c r="AN93" s="95">
        <f t="shared" si="93"/>
        <v>4</v>
      </c>
      <c r="AO93" s="95">
        <f t="shared" si="93"/>
        <v>4</v>
      </c>
      <c r="AP93" s="95">
        <f t="shared" si="93"/>
        <v>4</v>
      </c>
      <c r="AQ93" s="95">
        <f t="shared" si="93"/>
        <v>4</v>
      </c>
      <c r="AR93" s="95">
        <f t="shared" si="93"/>
        <v>4</v>
      </c>
      <c r="AS93" s="95">
        <f t="shared" si="93"/>
        <v>4</v>
      </c>
      <c r="AT93" s="95">
        <f t="shared" si="93"/>
        <v>4</v>
      </c>
      <c r="AU93" s="95">
        <f t="shared" si="93"/>
        <v>4</v>
      </c>
      <c r="AV93" s="95">
        <f t="shared" si="93"/>
        <v>4</v>
      </c>
      <c r="AW93" s="95">
        <f t="shared" si="93"/>
        <v>4</v>
      </c>
      <c r="AX93" s="95">
        <f t="shared" si="93"/>
        <v>4</v>
      </c>
      <c r="AY93" s="95">
        <f t="shared" si="93"/>
        <v>4</v>
      </c>
      <c r="AZ93" s="95">
        <f t="shared" si="93"/>
        <v>4</v>
      </c>
      <c r="BA93" s="95">
        <f t="shared" si="93"/>
        <v>4</v>
      </c>
      <c r="BB93" s="95">
        <f t="shared" si="93"/>
        <v>4</v>
      </c>
      <c r="BC93" s="95">
        <f t="shared" si="93"/>
        <v>4</v>
      </c>
      <c r="BD93" s="95">
        <f t="shared" si="93"/>
        <v>4</v>
      </c>
      <c r="BE93" s="95">
        <f t="shared" si="93"/>
        <v>4</v>
      </c>
      <c r="BF93" s="95">
        <f t="shared" si="93"/>
        <v>4</v>
      </c>
      <c r="BG93" s="95">
        <f t="shared" si="93"/>
        <v>4</v>
      </c>
      <c r="BH93" s="95">
        <f t="shared" si="93"/>
        <v>4</v>
      </c>
      <c r="BI93" s="95">
        <f t="shared" si="93"/>
        <v>4</v>
      </c>
      <c r="BJ93" s="95">
        <f t="shared" si="93"/>
        <v>4</v>
      </c>
      <c r="BK93" s="95">
        <f t="shared" si="93"/>
        <v>4</v>
      </c>
      <c r="BL93" s="95">
        <f t="shared" si="93"/>
        <v>4</v>
      </c>
      <c r="BM93" s="95">
        <f t="shared" si="93"/>
        <v>4</v>
      </c>
      <c r="BN93" s="95">
        <f t="shared" si="93"/>
        <v>4</v>
      </c>
      <c r="BO93" s="95">
        <f t="shared" si="93"/>
        <v>4</v>
      </c>
      <c r="BP93" s="95">
        <f t="shared" si="93"/>
        <v>4</v>
      </c>
      <c r="BQ93" s="95">
        <f t="shared" si="93"/>
        <v>4</v>
      </c>
      <c r="BR93" s="95">
        <f t="shared" si="93"/>
        <v>4</v>
      </c>
      <c r="BS93" s="95">
        <f t="shared" si="93"/>
        <v>4</v>
      </c>
      <c r="BT93" s="95">
        <f t="shared" si="93"/>
        <v>4</v>
      </c>
      <c r="BU93" s="95">
        <f t="shared" si="93"/>
        <v>4</v>
      </c>
      <c r="BV93" s="95">
        <f t="shared" si="93"/>
        <v>4</v>
      </c>
      <c r="BW93" s="95">
        <f t="shared" si="93"/>
        <v>4</v>
      </c>
      <c r="BX93" s="95">
        <f t="shared" si="93"/>
        <v>4</v>
      </c>
      <c r="BY93" s="95">
        <f t="shared" si="93"/>
        <v>4</v>
      </c>
      <c r="BZ93" s="95">
        <f t="shared" si="93"/>
        <v>4</v>
      </c>
      <c r="CA93" s="95">
        <f t="shared" si="93"/>
        <v>4</v>
      </c>
      <c r="CB93" s="95">
        <f t="shared" si="93"/>
        <v>4</v>
      </c>
      <c r="CC93" s="95">
        <f t="shared" si="93"/>
        <v>4</v>
      </c>
      <c r="CE93" s="47"/>
    </row>
    <row r="94" spans="1:83" s="46" customFormat="1" ht="15" customHeight="1" outlineLevel="1" x14ac:dyDescent="0.3">
      <c r="A94" s="47"/>
      <c r="B94" s="30"/>
      <c r="C94" s="110"/>
      <c r="D94" s="356" t="s">
        <v>163</v>
      </c>
      <c r="E94" s="14"/>
      <c r="F94" s="14"/>
      <c r="G94" s="14"/>
      <c r="H94" s="14"/>
      <c r="I94" s="31" t="s">
        <v>52</v>
      </c>
      <c r="J94" s="31"/>
      <c r="K94" s="31"/>
      <c r="L94" s="6"/>
      <c r="M94" s="6"/>
      <c r="N94" s="225"/>
      <c r="O94" s="228"/>
      <c r="P94" s="248">
        <f>SUMIFS($V94:$CC94,Расчет!$V$4:$CC$4,Расчет!P$4,Расчет!$V$6:$CC$6,12)</f>
        <v>1</v>
      </c>
      <c r="Q94" s="248">
        <f>SUMIFS($V94:$CC94,Расчет!$V$4:$CC$4,Расчет!Q$4,Расчет!$V$6:$CC$6,12)</f>
        <v>1</v>
      </c>
      <c r="R94" s="248">
        <f>SUMIFS($V94:$CC94,Расчет!$V$4:$CC$4,Расчет!R$4,Расчет!$V$6:$CC$6,12)</f>
        <v>1</v>
      </c>
      <c r="S94" s="248">
        <f>SUMIFS($V94:$CC94,Расчет!$V$4:$CC$4,Расчет!S$4,Расчет!$V$6:$CC$6,12)</f>
        <v>1</v>
      </c>
      <c r="T94" s="248">
        <f>SUMIFS($V94:$CC94,Расчет!$V$4:$CC$4,Расчет!T$4,Расчет!$V$6:$CC$6,12)</f>
        <v>1</v>
      </c>
      <c r="U94" s="139"/>
      <c r="V94" s="95">
        <v>0</v>
      </c>
      <c r="W94" s="95">
        <f>V94</f>
        <v>0</v>
      </c>
      <c r="X94" s="95">
        <f t="shared" ref="X94:CC94" si="94">W94</f>
        <v>0</v>
      </c>
      <c r="Y94" s="95">
        <f t="shared" si="94"/>
        <v>0</v>
      </c>
      <c r="Z94" s="95">
        <v>1</v>
      </c>
      <c r="AA94" s="95">
        <f t="shared" si="94"/>
        <v>1</v>
      </c>
      <c r="AB94" s="95">
        <f t="shared" si="94"/>
        <v>1</v>
      </c>
      <c r="AC94" s="95">
        <f t="shared" si="94"/>
        <v>1</v>
      </c>
      <c r="AD94" s="95">
        <v>1</v>
      </c>
      <c r="AE94" s="95">
        <f t="shared" si="94"/>
        <v>1</v>
      </c>
      <c r="AF94" s="95">
        <f t="shared" si="94"/>
        <v>1</v>
      </c>
      <c r="AG94" s="95">
        <f t="shared" si="94"/>
        <v>1</v>
      </c>
      <c r="AH94" s="95">
        <f t="shared" si="94"/>
        <v>1</v>
      </c>
      <c r="AI94" s="95">
        <f t="shared" si="94"/>
        <v>1</v>
      </c>
      <c r="AJ94" s="95">
        <f t="shared" si="94"/>
        <v>1</v>
      </c>
      <c r="AK94" s="95">
        <f t="shared" si="94"/>
        <v>1</v>
      </c>
      <c r="AL94" s="95">
        <f t="shared" si="94"/>
        <v>1</v>
      </c>
      <c r="AM94" s="95">
        <f t="shared" si="94"/>
        <v>1</v>
      </c>
      <c r="AN94" s="95">
        <f t="shared" si="94"/>
        <v>1</v>
      </c>
      <c r="AO94" s="95">
        <f t="shared" si="94"/>
        <v>1</v>
      </c>
      <c r="AP94" s="95">
        <f t="shared" si="94"/>
        <v>1</v>
      </c>
      <c r="AQ94" s="95">
        <f t="shared" si="94"/>
        <v>1</v>
      </c>
      <c r="AR94" s="95">
        <f t="shared" si="94"/>
        <v>1</v>
      </c>
      <c r="AS94" s="95">
        <f t="shared" si="94"/>
        <v>1</v>
      </c>
      <c r="AT94" s="95">
        <f t="shared" si="94"/>
        <v>1</v>
      </c>
      <c r="AU94" s="95">
        <f t="shared" si="94"/>
        <v>1</v>
      </c>
      <c r="AV94" s="95">
        <f t="shared" si="94"/>
        <v>1</v>
      </c>
      <c r="AW94" s="95">
        <f t="shared" si="94"/>
        <v>1</v>
      </c>
      <c r="AX94" s="95">
        <f t="shared" si="94"/>
        <v>1</v>
      </c>
      <c r="AY94" s="95">
        <f t="shared" si="94"/>
        <v>1</v>
      </c>
      <c r="AZ94" s="95">
        <f t="shared" si="94"/>
        <v>1</v>
      </c>
      <c r="BA94" s="95">
        <f t="shared" si="94"/>
        <v>1</v>
      </c>
      <c r="BB94" s="95">
        <f t="shared" si="94"/>
        <v>1</v>
      </c>
      <c r="BC94" s="95">
        <f t="shared" si="94"/>
        <v>1</v>
      </c>
      <c r="BD94" s="95">
        <f t="shared" si="94"/>
        <v>1</v>
      </c>
      <c r="BE94" s="95">
        <f t="shared" si="94"/>
        <v>1</v>
      </c>
      <c r="BF94" s="95">
        <f t="shared" si="94"/>
        <v>1</v>
      </c>
      <c r="BG94" s="95">
        <f t="shared" si="94"/>
        <v>1</v>
      </c>
      <c r="BH94" s="95">
        <f t="shared" si="94"/>
        <v>1</v>
      </c>
      <c r="BI94" s="95">
        <f t="shared" si="94"/>
        <v>1</v>
      </c>
      <c r="BJ94" s="95">
        <f t="shared" si="94"/>
        <v>1</v>
      </c>
      <c r="BK94" s="95">
        <f t="shared" si="94"/>
        <v>1</v>
      </c>
      <c r="BL94" s="95">
        <f t="shared" si="94"/>
        <v>1</v>
      </c>
      <c r="BM94" s="95">
        <f t="shared" si="94"/>
        <v>1</v>
      </c>
      <c r="BN94" s="95">
        <f t="shared" si="94"/>
        <v>1</v>
      </c>
      <c r="BO94" s="95">
        <f t="shared" si="94"/>
        <v>1</v>
      </c>
      <c r="BP94" s="95">
        <f t="shared" si="94"/>
        <v>1</v>
      </c>
      <c r="BQ94" s="95">
        <f t="shared" si="94"/>
        <v>1</v>
      </c>
      <c r="BR94" s="95">
        <f t="shared" si="94"/>
        <v>1</v>
      </c>
      <c r="BS94" s="95">
        <f t="shared" si="94"/>
        <v>1</v>
      </c>
      <c r="BT94" s="95">
        <f t="shared" si="94"/>
        <v>1</v>
      </c>
      <c r="BU94" s="95">
        <f t="shared" si="94"/>
        <v>1</v>
      </c>
      <c r="BV94" s="95">
        <f t="shared" si="94"/>
        <v>1</v>
      </c>
      <c r="BW94" s="95">
        <f t="shared" si="94"/>
        <v>1</v>
      </c>
      <c r="BX94" s="95">
        <f t="shared" si="94"/>
        <v>1</v>
      </c>
      <c r="BY94" s="95">
        <f t="shared" si="94"/>
        <v>1</v>
      </c>
      <c r="BZ94" s="95">
        <f t="shared" si="94"/>
        <v>1</v>
      </c>
      <c r="CA94" s="95">
        <f t="shared" si="94"/>
        <v>1</v>
      </c>
      <c r="CB94" s="95">
        <f t="shared" si="94"/>
        <v>1</v>
      </c>
      <c r="CC94" s="95">
        <f t="shared" si="94"/>
        <v>1</v>
      </c>
      <c r="CE94" s="47"/>
    </row>
    <row r="95" spans="1:83" s="46" customFormat="1" ht="15" customHeight="1" outlineLevel="1" x14ac:dyDescent="0.3">
      <c r="A95" s="47"/>
      <c r="B95" s="30"/>
      <c r="C95" s="110"/>
      <c r="D95" s="136" t="s">
        <v>26</v>
      </c>
      <c r="E95" s="36"/>
      <c r="F95" s="36"/>
      <c r="G95" s="36"/>
      <c r="H95" s="36"/>
      <c r="I95" s="6" t="s">
        <v>52</v>
      </c>
      <c r="J95" s="6"/>
      <c r="K95" s="6"/>
      <c r="L95" s="6"/>
      <c r="M95" s="6"/>
      <c r="N95" s="225"/>
      <c r="O95" s="228"/>
      <c r="P95" s="225">
        <f>SUMIFS($V95:$CC95,Расчет!$V$4:$CC$4,Расчет!P$4,Расчет!$V$6:$CC$6,12)</f>
        <v>8</v>
      </c>
      <c r="Q95" s="225">
        <f>SUMIFS($V95:$CC95,Расчет!$V$4:$CC$4,Расчет!Q$4,Расчет!$V$6:$CC$6,12)</f>
        <v>8</v>
      </c>
      <c r="R95" s="225">
        <f>SUMIFS($V95:$CC95,Расчет!$V$4:$CC$4,Расчет!R$4,Расчет!$V$6:$CC$6,12)</f>
        <v>8</v>
      </c>
      <c r="S95" s="225">
        <f>SUMIFS($V95:$CC95,Расчет!$V$4:$CC$4,Расчет!S$4,Расчет!$V$6:$CC$6,12)</f>
        <v>8</v>
      </c>
      <c r="T95" s="225">
        <f>SUMIFS($V95:$CC95,Расчет!$V$4:$CC$4,Расчет!T$4,Расчет!$V$6:$CC$6,12)</f>
        <v>8</v>
      </c>
      <c r="U95" s="139"/>
      <c r="V95" s="226">
        <f t="shared" ref="V95:BA95" si="95">SUM(V91:V94)</f>
        <v>0</v>
      </c>
      <c r="W95" s="226">
        <f t="shared" si="95"/>
        <v>0</v>
      </c>
      <c r="X95" s="226">
        <f t="shared" si="95"/>
        <v>0</v>
      </c>
      <c r="Y95" s="226">
        <f t="shared" si="95"/>
        <v>0</v>
      </c>
      <c r="Z95" s="226">
        <f t="shared" si="95"/>
        <v>5</v>
      </c>
      <c r="AA95" s="226">
        <f t="shared" si="95"/>
        <v>5</v>
      </c>
      <c r="AB95" s="226">
        <f t="shared" si="95"/>
        <v>5</v>
      </c>
      <c r="AC95" s="226">
        <f t="shared" si="95"/>
        <v>5</v>
      </c>
      <c r="AD95" s="226">
        <f t="shared" si="95"/>
        <v>8</v>
      </c>
      <c r="AE95" s="226">
        <f t="shared" si="95"/>
        <v>8</v>
      </c>
      <c r="AF95" s="226">
        <f t="shared" si="95"/>
        <v>8</v>
      </c>
      <c r="AG95" s="226">
        <f t="shared" si="95"/>
        <v>8</v>
      </c>
      <c r="AH95" s="226">
        <f t="shared" si="95"/>
        <v>8</v>
      </c>
      <c r="AI95" s="226">
        <f t="shared" si="95"/>
        <v>8</v>
      </c>
      <c r="AJ95" s="226">
        <f t="shared" si="95"/>
        <v>8</v>
      </c>
      <c r="AK95" s="226">
        <f t="shared" si="95"/>
        <v>8</v>
      </c>
      <c r="AL95" s="226">
        <f t="shared" si="95"/>
        <v>8</v>
      </c>
      <c r="AM95" s="226">
        <f t="shared" si="95"/>
        <v>8</v>
      </c>
      <c r="AN95" s="226">
        <f t="shared" si="95"/>
        <v>8</v>
      </c>
      <c r="AO95" s="226">
        <f t="shared" si="95"/>
        <v>8</v>
      </c>
      <c r="AP95" s="226">
        <f t="shared" si="95"/>
        <v>8</v>
      </c>
      <c r="AQ95" s="226">
        <f t="shared" si="95"/>
        <v>8</v>
      </c>
      <c r="AR95" s="226">
        <f t="shared" si="95"/>
        <v>8</v>
      </c>
      <c r="AS95" s="226">
        <f t="shared" si="95"/>
        <v>8</v>
      </c>
      <c r="AT95" s="226">
        <f t="shared" si="95"/>
        <v>8</v>
      </c>
      <c r="AU95" s="226">
        <f t="shared" si="95"/>
        <v>8</v>
      </c>
      <c r="AV95" s="226">
        <f t="shared" si="95"/>
        <v>8</v>
      </c>
      <c r="AW95" s="226">
        <f t="shared" si="95"/>
        <v>8</v>
      </c>
      <c r="AX95" s="226">
        <f t="shared" si="95"/>
        <v>8</v>
      </c>
      <c r="AY95" s="226">
        <f t="shared" si="95"/>
        <v>8</v>
      </c>
      <c r="AZ95" s="226">
        <f t="shared" si="95"/>
        <v>8</v>
      </c>
      <c r="BA95" s="226">
        <f t="shared" si="95"/>
        <v>8</v>
      </c>
      <c r="BB95" s="226">
        <f t="shared" ref="BB95:CC95" si="96">SUM(BB91:BB94)</f>
        <v>8</v>
      </c>
      <c r="BC95" s="226">
        <f t="shared" si="96"/>
        <v>8</v>
      </c>
      <c r="BD95" s="226">
        <f t="shared" si="96"/>
        <v>8</v>
      </c>
      <c r="BE95" s="226">
        <f t="shared" si="96"/>
        <v>8</v>
      </c>
      <c r="BF95" s="226">
        <f t="shared" si="96"/>
        <v>8</v>
      </c>
      <c r="BG95" s="226">
        <f t="shared" si="96"/>
        <v>8</v>
      </c>
      <c r="BH95" s="226">
        <f t="shared" si="96"/>
        <v>8</v>
      </c>
      <c r="BI95" s="226">
        <f t="shared" si="96"/>
        <v>8</v>
      </c>
      <c r="BJ95" s="226">
        <f t="shared" si="96"/>
        <v>8</v>
      </c>
      <c r="BK95" s="226">
        <f t="shared" si="96"/>
        <v>8</v>
      </c>
      <c r="BL95" s="226">
        <f t="shared" si="96"/>
        <v>8</v>
      </c>
      <c r="BM95" s="226">
        <f t="shared" si="96"/>
        <v>8</v>
      </c>
      <c r="BN95" s="226">
        <f t="shared" si="96"/>
        <v>8</v>
      </c>
      <c r="BO95" s="226">
        <f t="shared" si="96"/>
        <v>8</v>
      </c>
      <c r="BP95" s="226">
        <f t="shared" si="96"/>
        <v>8</v>
      </c>
      <c r="BQ95" s="226">
        <f t="shared" si="96"/>
        <v>8</v>
      </c>
      <c r="BR95" s="226">
        <f t="shared" si="96"/>
        <v>8</v>
      </c>
      <c r="BS95" s="226">
        <f t="shared" si="96"/>
        <v>8</v>
      </c>
      <c r="BT95" s="226">
        <f t="shared" si="96"/>
        <v>8</v>
      </c>
      <c r="BU95" s="226">
        <f t="shared" si="96"/>
        <v>8</v>
      </c>
      <c r="BV95" s="226">
        <f t="shared" si="96"/>
        <v>8</v>
      </c>
      <c r="BW95" s="226">
        <f t="shared" si="96"/>
        <v>8</v>
      </c>
      <c r="BX95" s="226">
        <f t="shared" si="96"/>
        <v>8</v>
      </c>
      <c r="BY95" s="226">
        <f t="shared" si="96"/>
        <v>8</v>
      </c>
      <c r="BZ95" s="226">
        <f t="shared" si="96"/>
        <v>8</v>
      </c>
      <c r="CA95" s="226">
        <f t="shared" si="96"/>
        <v>8</v>
      </c>
      <c r="CB95" s="226">
        <f t="shared" si="96"/>
        <v>8</v>
      </c>
      <c r="CC95" s="226">
        <f t="shared" si="96"/>
        <v>8</v>
      </c>
      <c r="CE95" s="47"/>
    </row>
    <row r="96" spans="1:83" s="46" customFormat="1" ht="15" customHeight="1" outlineLevel="1" x14ac:dyDescent="0.3">
      <c r="A96" s="47"/>
      <c r="B96" s="30"/>
      <c r="C96" s="110"/>
      <c r="D96" s="131"/>
      <c r="E96" s="114"/>
      <c r="F96" s="114"/>
      <c r="G96" s="114"/>
      <c r="H96" s="114"/>
      <c r="I96" s="31"/>
      <c r="J96" s="31"/>
      <c r="K96" s="31"/>
      <c r="L96" s="6"/>
      <c r="M96" s="6"/>
      <c r="N96" s="5"/>
      <c r="P96" s="159"/>
      <c r="Q96" s="159"/>
      <c r="R96" s="159"/>
      <c r="S96" s="159"/>
      <c r="T96" s="159"/>
      <c r="U96" s="158"/>
      <c r="V96" s="173"/>
      <c r="W96" s="173"/>
      <c r="X96" s="173"/>
      <c r="Y96" s="173"/>
      <c r="Z96" s="173"/>
      <c r="AA96" s="173"/>
      <c r="AB96" s="173"/>
      <c r="AC96" s="173"/>
      <c r="AD96" s="173"/>
      <c r="AE96" s="173"/>
      <c r="AF96" s="173"/>
      <c r="AG96" s="173"/>
      <c r="AH96" s="173"/>
      <c r="AI96" s="173"/>
      <c r="AJ96" s="173"/>
      <c r="AK96" s="173"/>
      <c r="AL96" s="173"/>
      <c r="AM96" s="173"/>
      <c r="AN96" s="173"/>
      <c r="AO96" s="173"/>
      <c r="AP96" s="173"/>
      <c r="AQ96" s="173"/>
      <c r="AR96" s="173"/>
      <c r="AS96" s="173"/>
      <c r="AT96" s="173"/>
      <c r="AU96" s="173"/>
      <c r="AV96" s="173"/>
      <c r="AW96" s="173"/>
      <c r="AX96" s="173"/>
      <c r="AY96" s="173"/>
      <c r="AZ96" s="173"/>
      <c r="BA96" s="173"/>
      <c r="BB96" s="173"/>
      <c r="BC96" s="173"/>
      <c r="BD96" s="173"/>
      <c r="BE96" s="173"/>
      <c r="BF96" s="173"/>
      <c r="BG96" s="173"/>
      <c r="BH96" s="173"/>
      <c r="BI96" s="173"/>
      <c r="BJ96" s="173"/>
      <c r="BK96" s="173"/>
      <c r="BL96" s="173"/>
      <c r="BM96" s="173"/>
      <c r="BN96" s="173"/>
      <c r="BO96" s="173"/>
      <c r="BP96" s="173"/>
      <c r="BQ96" s="173"/>
      <c r="BR96" s="173"/>
      <c r="BS96" s="173"/>
      <c r="BT96" s="173"/>
      <c r="BU96" s="173"/>
      <c r="BV96" s="173"/>
      <c r="BW96" s="173"/>
      <c r="BX96" s="173"/>
      <c r="BY96" s="173"/>
      <c r="BZ96" s="173"/>
      <c r="CA96" s="173"/>
      <c r="CB96" s="173"/>
      <c r="CC96" s="173"/>
      <c r="CE96" s="47"/>
    </row>
    <row r="97" spans="1:83" s="46" customFormat="1" ht="15" customHeight="1" outlineLevel="1" x14ac:dyDescent="0.3">
      <c r="A97" s="47"/>
      <c r="B97" s="30"/>
      <c r="C97" s="110"/>
      <c r="D97" s="136" t="s">
        <v>154</v>
      </c>
      <c r="E97" s="36"/>
      <c r="F97" s="36"/>
      <c r="G97" s="36"/>
      <c r="H97" s="36"/>
      <c r="I97" s="31"/>
      <c r="J97" s="31"/>
      <c r="K97" s="31"/>
      <c r="L97" s="6"/>
      <c r="M97" s="6"/>
      <c r="N97" s="5"/>
      <c r="P97" s="159"/>
      <c r="Q97" s="159"/>
      <c r="R97" s="159"/>
      <c r="S97" s="159"/>
      <c r="T97" s="159"/>
      <c r="U97" s="158"/>
      <c r="V97" s="173"/>
      <c r="W97" s="173"/>
      <c r="X97" s="173"/>
      <c r="Y97" s="173"/>
      <c r="Z97" s="173"/>
      <c r="AA97" s="173"/>
      <c r="AB97" s="173"/>
      <c r="AC97" s="173"/>
      <c r="AD97" s="173"/>
      <c r="AE97" s="173"/>
      <c r="AF97" s="173"/>
      <c r="AG97" s="173"/>
      <c r="AH97" s="173"/>
      <c r="AI97" s="173"/>
      <c r="AJ97" s="173"/>
      <c r="AK97" s="173"/>
      <c r="AL97" s="173"/>
      <c r="AM97" s="173"/>
      <c r="AN97" s="173"/>
      <c r="AO97" s="173"/>
      <c r="AP97" s="173"/>
      <c r="AQ97" s="173"/>
      <c r="AR97" s="173"/>
      <c r="AS97" s="173"/>
      <c r="AT97" s="173"/>
      <c r="AU97" s="173"/>
      <c r="AV97" s="173"/>
      <c r="AW97" s="173"/>
      <c r="AX97" s="173"/>
      <c r="AY97" s="173"/>
      <c r="AZ97" s="173"/>
      <c r="BA97" s="173"/>
      <c r="BB97" s="173"/>
      <c r="BC97" s="173"/>
      <c r="BD97" s="173"/>
      <c r="BE97" s="173"/>
      <c r="BF97" s="173"/>
      <c r="BG97" s="173"/>
      <c r="BH97" s="173"/>
      <c r="BI97" s="173"/>
      <c r="BJ97" s="173"/>
      <c r="BK97" s="173"/>
      <c r="BL97" s="173"/>
      <c r="BM97" s="173"/>
      <c r="BN97" s="173"/>
      <c r="BO97" s="173"/>
      <c r="BP97" s="173"/>
      <c r="BQ97" s="173"/>
      <c r="BR97" s="173"/>
      <c r="BS97" s="173"/>
      <c r="BT97" s="173"/>
      <c r="BU97" s="173"/>
      <c r="BV97" s="173"/>
      <c r="BW97" s="173"/>
      <c r="BX97" s="173"/>
      <c r="BY97" s="173"/>
      <c r="BZ97" s="173"/>
      <c r="CA97" s="173"/>
      <c r="CB97" s="173"/>
      <c r="CC97" s="173"/>
      <c r="CE97" s="47"/>
    </row>
    <row r="98" spans="1:83" s="46" customFormat="1" ht="15" customHeight="1" outlineLevel="1" x14ac:dyDescent="0.3">
      <c r="A98" s="47"/>
      <c r="B98" s="30"/>
      <c r="C98" s="110"/>
      <c r="D98" s="356" t="s">
        <v>164</v>
      </c>
      <c r="E98" s="14"/>
      <c r="F98" s="14"/>
      <c r="G98" s="14"/>
      <c r="H98" s="14"/>
      <c r="I98" s="31" t="s">
        <v>52</v>
      </c>
      <c r="J98" s="31"/>
      <c r="K98" s="31"/>
      <c r="L98" s="6"/>
      <c r="M98" s="6"/>
      <c r="N98" s="225"/>
      <c r="O98" s="228"/>
      <c r="P98" s="248">
        <f>SUMIFS($V98:$CC98,Расчет!$V$4:$CC$4,Расчет!P$4,Расчет!$V$6:$CC$6,12)</f>
        <v>1</v>
      </c>
      <c r="Q98" s="248">
        <f>SUMIFS($V98:$CC98,Расчет!$V$4:$CC$4,Расчет!Q$4,Расчет!$V$6:$CC$6,12)</f>
        <v>1</v>
      </c>
      <c r="R98" s="248">
        <f>SUMIFS($V98:$CC98,Расчет!$V$4:$CC$4,Расчет!R$4,Расчет!$V$6:$CC$6,12)</f>
        <v>1</v>
      </c>
      <c r="S98" s="248">
        <f>SUMIFS($V98:$CC98,Расчет!$V$4:$CC$4,Расчет!S$4,Расчет!$V$6:$CC$6,12)</f>
        <v>1</v>
      </c>
      <c r="T98" s="248">
        <f>SUMIFS($V98:$CC98,Расчет!$V$4:$CC$4,Расчет!T$4,Расчет!$V$6:$CC$6,12)</f>
        <v>1</v>
      </c>
      <c r="U98" s="139"/>
      <c r="V98" s="95">
        <v>1</v>
      </c>
      <c r="W98" s="95">
        <f>V98</f>
        <v>1</v>
      </c>
      <c r="X98" s="95">
        <f t="shared" ref="X98:CC98" si="97">W98</f>
        <v>1</v>
      </c>
      <c r="Y98" s="95">
        <f t="shared" si="97"/>
        <v>1</v>
      </c>
      <c r="Z98" s="95">
        <f t="shared" si="97"/>
        <v>1</v>
      </c>
      <c r="AA98" s="95">
        <f t="shared" si="97"/>
        <v>1</v>
      </c>
      <c r="AB98" s="95">
        <f t="shared" si="97"/>
        <v>1</v>
      </c>
      <c r="AC98" s="95">
        <f t="shared" si="97"/>
        <v>1</v>
      </c>
      <c r="AD98" s="95">
        <f t="shared" si="97"/>
        <v>1</v>
      </c>
      <c r="AE98" s="95">
        <f t="shared" si="97"/>
        <v>1</v>
      </c>
      <c r="AF98" s="95">
        <f t="shared" si="97"/>
        <v>1</v>
      </c>
      <c r="AG98" s="95">
        <f t="shared" si="97"/>
        <v>1</v>
      </c>
      <c r="AH98" s="95">
        <f t="shared" si="97"/>
        <v>1</v>
      </c>
      <c r="AI98" s="95">
        <f t="shared" si="97"/>
        <v>1</v>
      </c>
      <c r="AJ98" s="95">
        <f t="shared" si="97"/>
        <v>1</v>
      </c>
      <c r="AK98" s="95">
        <f t="shared" si="97"/>
        <v>1</v>
      </c>
      <c r="AL98" s="95">
        <f t="shared" si="97"/>
        <v>1</v>
      </c>
      <c r="AM98" s="95">
        <f t="shared" si="97"/>
        <v>1</v>
      </c>
      <c r="AN98" s="95">
        <f t="shared" si="97"/>
        <v>1</v>
      </c>
      <c r="AO98" s="95">
        <f t="shared" si="97"/>
        <v>1</v>
      </c>
      <c r="AP98" s="95">
        <f t="shared" si="97"/>
        <v>1</v>
      </c>
      <c r="AQ98" s="95">
        <f t="shared" si="97"/>
        <v>1</v>
      </c>
      <c r="AR98" s="95">
        <f t="shared" si="97"/>
        <v>1</v>
      </c>
      <c r="AS98" s="95">
        <f t="shared" si="97"/>
        <v>1</v>
      </c>
      <c r="AT98" s="95">
        <f t="shared" si="97"/>
        <v>1</v>
      </c>
      <c r="AU98" s="95">
        <f t="shared" si="97"/>
        <v>1</v>
      </c>
      <c r="AV98" s="95">
        <f t="shared" si="97"/>
        <v>1</v>
      </c>
      <c r="AW98" s="95">
        <f t="shared" si="97"/>
        <v>1</v>
      </c>
      <c r="AX98" s="95">
        <f t="shared" si="97"/>
        <v>1</v>
      </c>
      <c r="AY98" s="95">
        <f t="shared" si="97"/>
        <v>1</v>
      </c>
      <c r="AZ98" s="95">
        <f t="shared" si="97"/>
        <v>1</v>
      </c>
      <c r="BA98" s="95">
        <f t="shared" si="97"/>
        <v>1</v>
      </c>
      <c r="BB98" s="95">
        <f t="shared" si="97"/>
        <v>1</v>
      </c>
      <c r="BC98" s="95">
        <f t="shared" si="97"/>
        <v>1</v>
      </c>
      <c r="BD98" s="95">
        <f t="shared" si="97"/>
        <v>1</v>
      </c>
      <c r="BE98" s="95">
        <f t="shared" si="97"/>
        <v>1</v>
      </c>
      <c r="BF98" s="95">
        <f t="shared" si="97"/>
        <v>1</v>
      </c>
      <c r="BG98" s="95">
        <f t="shared" si="97"/>
        <v>1</v>
      </c>
      <c r="BH98" s="95">
        <f t="shared" si="97"/>
        <v>1</v>
      </c>
      <c r="BI98" s="95">
        <f t="shared" si="97"/>
        <v>1</v>
      </c>
      <c r="BJ98" s="95">
        <f t="shared" si="97"/>
        <v>1</v>
      </c>
      <c r="BK98" s="95">
        <f t="shared" si="97"/>
        <v>1</v>
      </c>
      <c r="BL98" s="95">
        <f t="shared" si="97"/>
        <v>1</v>
      </c>
      <c r="BM98" s="95">
        <f t="shared" si="97"/>
        <v>1</v>
      </c>
      <c r="BN98" s="95">
        <f t="shared" si="97"/>
        <v>1</v>
      </c>
      <c r="BO98" s="95">
        <f t="shared" si="97"/>
        <v>1</v>
      </c>
      <c r="BP98" s="95">
        <f t="shared" si="97"/>
        <v>1</v>
      </c>
      <c r="BQ98" s="95">
        <f t="shared" si="97"/>
        <v>1</v>
      </c>
      <c r="BR98" s="95">
        <f t="shared" si="97"/>
        <v>1</v>
      </c>
      <c r="BS98" s="95">
        <f t="shared" si="97"/>
        <v>1</v>
      </c>
      <c r="BT98" s="95">
        <f t="shared" si="97"/>
        <v>1</v>
      </c>
      <c r="BU98" s="95">
        <f t="shared" si="97"/>
        <v>1</v>
      </c>
      <c r="BV98" s="95">
        <f t="shared" si="97"/>
        <v>1</v>
      </c>
      <c r="BW98" s="95">
        <f t="shared" si="97"/>
        <v>1</v>
      </c>
      <c r="BX98" s="95">
        <f t="shared" si="97"/>
        <v>1</v>
      </c>
      <c r="BY98" s="95">
        <f t="shared" si="97"/>
        <v>1</v>
      </c>
      <c r="BZ98" s="95">
        <f t="shared" si="97"/>
        <v>1</v>
      </c>
      <c r="CA98" s="95">
        <f t="shared" si="97"/>
        <v>1</v>
      </c>
      <c r="CB98" s="95">
        <f t="shared" si="97"/>
        <v>1</v>
      </c>
      <c r="CC98" s="95">
        <f t="shared" si="97"/>
        <v>1</v>
      </c>
      <c r="CE98" s="47"/>
    </row>
    <row r="99" spans="1:83" s="46" customFormat="1" ht="15" customHeight="1" outlineLevel="1" x14ac:dyDescent="0.3">
      <c r="A99" s="47"/>
      <c r="B99" s="30"/>
      <c r="C99" s="110"/>
      <c r="D99" s="356" t="s">
        <v>165</v>
      </c>
      <c r="E99" s="14"/>
      <c r="F99" s="14"/>
      <c r="G99" s="14"/>
      <c r="H99" s="14"/>
      <c r="I99" s="31" t="s">
        <v>52</v>
      </c>
      <c r="J99" s="31"/>
      <c r="K99" s="31"/>
      <c r="L99" s="6"/>
      <c r="M99" s="6"/>
      <c r="N99" s="225"/>
      <c r="O99" s="228"/>
      <c r="P99" s="248">
        <f>SUMIFS($V99:$CC99,Расчет!$V$4:$CC$4,Расчет!P$4,Расчет!$V$6:$CC$6,12)</f>
        <v>1</v>
      </c>
      <c r="Q99" s="248">
        <f>SUMIFS($V99:$CC99,Расчет!$V$4:$CC$4,Расчет!Q$4,Расчет!$V$6:$CC$6,12)</f>
        <v>1</v>
      </c>
      <c r="R99" s="248">
        <f>SUMIFS($V99:$CC99,Расчет!$V$4:$CC$4,Расчет!R$4,Расчет!$V$6:$CC$6,12)</f>
        <v>1</v>
      </c>
      <c r="S99" s="248">
        <f>SUMIFS($V99:$CC99,Расчет!$V$4:$CC$4,Расчет!S$4,Расчет!$V$6:$CC$6,12)</f>
        <v>1</v>
      </c>
      <c r="T99" s="248">
        <f>SUMIFS($V99:$CC99,Расчет!$V$4:$CC$4,Расчет!T$4,Расчет!$V$6:$CC$6,12)</f>
        <v>1</v>
      </c>
      <c r="U99" s="139"/>
      <c r="V99" s="95">
        <v>1</v>
      </c>
      <c r="W99" s="95">
        <f>V99</f>
        <v>1</v>
      </c>
      <c r="X99" s="95">
        <f t="shared" ref="X99:CC99" si="98">W99</f>
        <v>1</v>
      </c>
      <c r="Y99" s="95">
        <f t="shared" si="98"/>
        <v>1</v>
      </c>
      <c r="Z99" s="95">
        <f t="shared" si="98"/>
        <v>1</v>
      </c>
      <c r="AA99" s="95">
        <f t="shared" si="98"/>
        <v>1</v>
      </c>
      <c r="AB99" s="95">
        <f t="shared" si="98"/>
        <v>1</v>
      </c>
      <c r="AC99" s="95">
        <f t="shared" si="98"/>
        <v>1</v>
      </c>
      <c r="AD99" s="95">
        <f t="shared" si="98"/>
        <v>1</v>
      </c>
      <c r="AE99" s="95">
        <f t="shared" si="98"/>
        <v>1</v>
      </c>
      <c r="AF99" s="95">
        <f t="shared" si="98"/>
        <v>1</v>
      </c>
      <c r="AG99" s="95">
        <f t="shared" si="98"/>
        <v>1</v>
      </c>
      <c r="AH99" s="95">
        <f t="shared" si="98"/>
        <v>1</v>
      </c>
      <c r="AI99" s="95">
        <f t="shared" si="98"/>
        <v>1</v>
      </c>
      <c r="AJ99" s="95">
        <f t="shared" si="98"/>
        <v>1</v>
      </c>
      <c r="AK99" s="95">
        <f t="shared" si="98"/>
        <v>1</v>
      </c>
      <c r="AL99" s="95">
        <f t="shared" si="98"/>
        <v>1</v>
      </c>
      <c r="AM99" s="95">
        <f t="shared" si="98"/>
        <v>1</v>
      </c>
      <c r="AN99" s="95">
        <f t="shared" si="98"/>
        <v>1</v>
      </c>
      <c r="AO99" s="95">
        <f t="shared" si="98"/>
        <v>1</v>
      </c>
      <c r="AP99" s="95">
        <f t="shared" si="98"/>
        <v>1</v>
      </c>
      <c r="AQ99" s="95">
        <f t="shared" si="98"/>
        <v>1</v>
      </c>
      <c r="AR99" s="95">
        <f t="shared" si="98"/>
        <v>1</v>
      </c>
      <c r="AS99" s="95">
        <f t="shared" si="98"/>
        <v>1</v>
      </c>
      <c r="AT99" s="95">
        <f t="shared" si="98"/>
        <v>1</v>
      </c>
      <c r="AU99" s="95">
        <f t="shared" si="98"/>
        <v>1</v>
      </c>
      <c r="AV99" s="95">
        <f t="shared" si="98"/>
        <v>1</v>
      </c>
      <c r="AW99" s="95">
        <f t="shared" si="98"/>
        <v>1</v>
      </c>
      <c r="AX99" s="95">
        <f t="shared" si="98"/>
        <v>1</v>
      </c>
      <c r="AY99" s="95">
        <f t="shared" si="98"/>
        <v>1</v>
      </c>
      <c r="AZ99" s="95">
        <f t="shared" si="98"/>
        <v>1</v>
      </c>
      <c r="BA99" s="95">
        <f t="shared" si="98"/>
        <v>1</v>
      </c>
      <c r="BB99" s="95">
        <f t="shared" si="98"/>
        <v>1</v>
      </c>
      <c r="BC99" s="95">
        <f t="shared" si="98"/>
        <v>1</v>
      </c>
      <c r="BD99" s="95">
        <f t="shared" si="98"/>
        <v>1</v>
      </c>
      <c r="BE99" s="95">
        <f t="shared" si="98"/>
        <v>1</v>
      </c>
      <c r="BF99" s="95">
        <f t="shared" si="98"/>
        <v>1</v>
      </c>
      <c r="BG99" s="95">
        <f t="shared" si="98"/>
        <v>1</v>
      </c>
      <c r="BH99" s="95">
        <f t="shared" si="98"/>
        <v>1</v>
      </c>
      <c r="BI99" s="95">
        <f t="shared" si="98"/>
        <v>1</v>
      </c>
      <c r="BJ99" s="95">
        <f t="shared" si="98"/>
        <v>1</v>
      </c>
      <c r="BK99" s="95">
        <f t="shared" si="98"/>
        <v>1</v>
      </c>
      <c r="BL99" s="95">
        <f t="shared" si="98"/>
        <v>1</v>
      </c>
      <c r="BM99" s="95">
        <f t="shared" si="98"/>
        <v>1</v>
      </c>
      <c r="BN99" s="95">
        <f t="shared" si="98"/>
        <v>1</v>
      </c>
      <c r="BO99" s="95">
        <f t="shared" si="98"/>
        <v>1</v>
      </c>
      <c r="BP99" s="95">
        <f t="shared" si="98"/>
        <v>1</v>
      </c>
      <c r="BQ99" s="95">
        <f t="shared" si="98"/>
        <v>1</v>
      </c>
      <c r="BR99" s="95">
        <f t="shared" si="98"/>
        <v>1</v>
      </c>
      <c r="BS99" s="95">
        <f t="shared" si="98"/>
        <v>1</v>
      </c>
      <c r="BT99" s="95">
        <f t="shared" si="98"/>
        <v>1</v>
      </c>
      <c r="BU99" s="95">
        <f t="shared" si="98"/>
        <v>1</v>
      </c>
      <c r="BV99" s="95">
        <f t="shared" si="98"/>
        <v>1</v>
      </c>
      <c r="BW99" s="95">
        <f t="shared" si="98"/>
        <v>1</v>
      </c>
      <c r="BX99" s="95">
        <f t="shared" si="98"/>
        <v>1</v>
      </c>
      <c r="BY99" s="95">
        <f t="shared" si="98"/>
        <v>1</v>
      </c>
      <c r="BZ99" s="95">
        <f t="shared" si="98"/>
        <v>1</v>
      </c>
      <c r="CA99" s="95">
        <f t="shared" si="98"/>
        <v>1</v>
      </c>
      <c r="CB99" s="95">
        <f t="shared" si="98"/>
        <v>1</v>
      </c>
      <c r="CC99" s="95">
        <f t="shared" si="98"/>
        <v>1</v>
      </c>
      <c r="CE99" s="47"/>
    </row>
    <row r="100" spans="1:83" s="46" customFormat="1" ht="15" customHeight="1" outlineLevel="1" x14ac:dyDescent="0.3">
      <c r="A100" s="47"/>
      <c r="B100" s="30"/>
      <c r="C100" s="110"/>
      <c r="D100" s="356" t="s">
        <v>166</v>
      </c>
      <c r="E100" s="14"/>
      <c r="F100" s="14"/>
      <c r="G100" s="14"/>
      <c r="H100" s="14"/>
      <c r="I100" s="31" t="s">
        <v>52</v>
      </c>
      <c r="J100" s="31"/>
      <c r="K100" s="31"/>
      <c r="L100" s="6"/>
      <c r="M100" s="6"/>
      <c r="N100" s="225"/>
      <c r="O100" s="228"/>
      <c r="P100" s="248">
        <f>SUMIFS($V100:$CC100,Расчет!$V$4:$CC$4,Расчет!P$4,Расчет!$V$6:$CC$6,12)</f>
        <v>1</v>
      </c>
      <c r="Q100" s="248">
        <f>SUMIFS($V100:$CC100,Расчет!$V$4:$CC$4,Расчет!Q$4,Расчет!$V$6:$CC$6,12)</f>
        <v>1</v>
      </c>
      <c r="R100" s="248">
        <f>SUMIFS($V100:$CC100,Расчет!$V$4:$CC$4,Расчет!R$4,Расчет!$V$6:$CC$6,12)</f>
        <v>1</v>
      </c>
      <c r="S100" s="248">
        <f>SUMIFS($V100:$CC100,Расчет!$V$4:$CC$4,Расчет!S$4,Расчет!$V$6:$CC$6,12)</f>
        <v>1</v>
      </c>
      <c r="T100" s="248">
        <f>SUMIFS($V100:$CC100,Расчет!$V$4:$CC$4,Расчет!T$4,Расчет!$V$6:$CC$6,12)</f>
        <v>1</v>
      </c>
      <c r="U100" s="139"/>
      <c r="V100" s="95">
        <v>1</v>
      </c>
      <c r="W100" s="95">
        <f>V100</f>
        <v>1</v>
      </c>
      <c r="X100" s="95">
        <f t="shared" ref="X100:CC100" si="99">W100</f>
        <v>1</v>
      </c>
      <c r="Y100" s="95">
        <f t="shared" si="99"/>
        <v>1</v>
      </c>
      <c r="Z100" s="95">
        <f t="shared" si="99"/>
        <v>1</v>
      </c>
      <c r="AA100" s="95">
        <f t="shared" si="99"/>
        <v>1</v>
      </c>
      <c r="AB100" s="95">
        <f t="shared" si="99"/>
        <v>1</v>
      </c>
      <c r="AC100" s="95">
        <f t="shared" si="99"/>
        <v>1</v>
      </c>
      <c r="AD100" s="95">
        <f t="shared" si="99"/>
        <v>1</v>
      </c>
      <c r="AE100" s="95">
        <f t="shared" si="99"/>
        <v>1</v>
      </c>
      <c r="AF100" s="95">
        <f t="shared" si="99"/>
        <v>1</v>
      </c>
      <c r="AG100" s="95">
        <f t="shared" si="99"/>
        <v>1</v>
      </c>
      <c r="AH100" s="95">
        <f t="shared" si="99"/>
        <v>1</v>
      </c>
      <c r="AI100" s="95">
        <f t="shared" si="99"/>
        <v>1</v>
      </c>
      <c r="AJ100" s="95">
        <f t="shared" si="99"/>
        <v>1</v>
      </c>
      <c r="AK100" s="95">
        <f t="shared" si="99"/>
        <v>1</v>
      </c>
      <c r="AL100" s="95">
        <f t="shared" si="99"/>
        <v>1</v>
      </c>
      <c r="AM100" s="95">
        <f t="shared" si="99"/>
        <v>1</v>
      </c>
      <c r="AN100" s="95">
        <f t="shared" si="99"/>
        <v>1</v>
      </c>
      <c r="AO100" s="95">
        <f t="shared" si="99"/>
        <v>1</v>
      </c>
      <c r="AP100" s="95">
        <f t="shared" si="99"/>
        <v>1</v>
      </c>
      <c r="AQ100" s="95">
        <f t="shared" si="99"/>
        <v>1</v>
      </c>
      <c r="AR100" s="95">
        <f t="shared" si="99"/>
        <v>1</v>
      </c>
      <c r="AS100" s="95">
        <f t="shared" si="99"/>
        <v>1</v>
      </c>
      <c r="AT100" s="95">
        <f t="shared" si="99"/>
        <v>1</v>
      </c>
      <c r="AU100" s="95">
        <f t="shared" si="99"/>
        <v>1</v>
      </c>
      <c r="AV100" s="95">
        <f t="shared" si="99"/>
        <v>1</v>
      </c>
      <c r="AW100" s="95">
        <f t="shared" si="99"/>
        <v>1</v>
      </c>
      <c r="AX100" s="95">
        <f t="shared" si="99"/>
        <v>1</v>
      </c>
      <c r="AY100" s="95">
        <f t="shared" si="99"/>
        <v>1</v>
      </c>
      <c r="AZ100" s="95">
        <f t="shared" si="99"/>
        <v>1</v>
      </c>
      <c r="BA100" s="95">
        <f t="shared" si="99"/>
        <v>1</v>
      </c>
      <c r="BB100" s="95">
        <f t="shared" si="99"/>
        <v>1</v>
      </c>
      <c r="BC100" s="95">
        <f t="shared" si="99"/>
        <v>1</v>
      </c>
      <c r="BD100" s="95">
        <f t="shared" si="99"/>
        <v>1</v>
      </c>
      <c r="BE100" s="95">
        <f t="shared" si="99"/>
        <v>1</v>
      </c>
      <c r="BF100" s="95">
        <f t="shared" si="99"/>
        <v>1</v>
      </c>
      <c r="BG100" s="95">
        <f t="shared" si="99"/>
        <v>1</v>
      </c>
      <c r="BH100" s="95">
        <f t="shared" si="99"/>
        <v>1</v>
      </c>
      <c r="BI100" s="95">
        <f t="shared" si="99"/>
        <v>1</v>
      </c>
      <c r="BJ100" s="95">
        <f t="shared" si="99"/>
        <v>1</v>
      </c>
      <c r="BK100" s="95">
        <f t="shared" si="99"/>
        <v>1</v>
      </c>
      <c r="BL100" s="95">
        <f t="shared" si="99"/>
        <v>1</v>
      </c>
      <c r="BM100" s="95">
        <f t="shared" si="99"/>
        <v>1</v>
      </c>
      <c r="BN100" s="95">
        <f t="shared" si="99"/>
        <v>1</v>
      </c>
      <c r="BO100" s="95">
        <f t="shared" si="99"/>
        <v>1</v>
      </c>
      <c r="BP100" s="95">
        <f t="shared" si="99"/>
        <v>1</v>
      </c>
      <c r="BQ100" s="95">
        <f t="shared" si="99"/>
        <v>1</v>
      </c>
      <c r="BR100" s="95">
        <f t="shared" si="99"/>
        <v>1</v>
      </c>
      <c r="BS100" s="95">
        <f t="shared" si="99"/>
        <v>1</v>
      </c>
      <c r="BT100" s="95">
        <f t="shared" si="99"/>
        <v>1</v>
      </c>
      <c r="BU100" s="95">
        <f t="shared" si="99"/>
        <v>1</v>
      </c>
      <c r="BV100" s="95">
        <f t="shared" si="99"/>
        <v>1</v>
      </c>
      <c r="BW100" s="95">
        <f t="shared" si="99"/>
        <v>1</v>
      </c>
      <c r="BX100" s="95">
        <f t="shared" si="99"/>
        <v>1</v>
      </c>
      <c r="BY100" s="95">
        <f t="shared" si="99"/>
        <v>1</v>
      </c>
      <c r="BZ100" s="95">
        <f t="shared" si="99"/>
        <v>1</v>
      </c>
      <c r="CA100" s="95">
        <f t="shared" si="99"/>
        <v>1</v>
      </c>
      <c r="CB100" s="95">
        <f t="shared" si="99"/>
        <v>1</v>
      </c>
      <c r="CC100" s="95">
        <f t="shared" si="99"/>
        <v>1</v>
      </c>
      <c r="CE100" s="47"/>
    </row>
    <row r="101" spans="1:83" s="46" customFormat="1" ht="15" customHeight="1" outlineLevel="1" x14ac:dyDescent="0.3">
      <c r="A101" s="47"/>
      <c r="B101" s="30"/>
      <c r="C101" s="110"/>
      <c r="D101" s="356" t="s">
        <v>167</v>
      </c>
      <c r="E101" s="14"/>
      <c r="F101" s="14"/>
      <c r="G101" s="14"/>
      <c r="H101" s="14"/>
      <c r="I101" s="31" t="s">
        <v>52</v>
      </c>
      <c r="J101" s="31"/>
      <c r="K101" s="31"/>
      <c r="L101" s="6"/>
      <c r="M101" s="6"/>
      <c r="N101" s="225"/>
      <c r="O101" s="228"/>
      <c r="P101" s="248">
        <f>SUMIFS($V101:$CC101,Расчет!$V$4:$CC$4,Расчет!P$4,Расчет!$V$6:$CC$6,12)</f>
        <v>1</v>
      </c>
      <c r="Q101" s="248">
        <f>SUMIFS($V101:$CC101,Расчет!$V$4:$CC$4,Расчет!Q$4,Расчет!$V$6:$CC$6,12)</f>
        <v>1</v>
      </c>
      <c r="R101" s="248">
        <f>SUMIFS($V101:$CC101,Расчет!$V$4:$CC$4,Расчет!R$4,Расчет!$V$6:$CC$6,12)</f>
        <v>1</v>
      </c>
      <c r="S101" s="248">
        <f>SUMIFS($V101:$CC101,Расчет!$V$4:$CC$4,Расчет!S$4,Расчет!$V$6:$CC$6,12)</f>
        <v>1</v>
      </c>
      <c r="T101" s="248">
        <f>SUMIFS($V101:$CC101,Расчет!$V$4:$CC$4,Расчет!T$4,Расчет!$V$6:$CC$6,12)</f>
        <v>1</v>
      </c>
      <c r="U101" s="139"/>
      <c r="V101" s="95">
        <v>1</v>
      </c>
      <c r="W101" s="95">
        <f>V101</f>
        <v>1</v>
      </c>
      <c r="X101" s="95">
        <f t="shared" ref="X101:CC104" si="100">W101</f>
        <v>1</v>
      </c>
      <c r="Y101" s="95">
        <f t="shared" si="100"/>
        <v>1</v>
      </c>
      <c r="Z101" s="95">
        <f t="shared" si="100"/>
        <v>1</v>
      </c>
      <c r="AA101" s="95">
        <f t="shared" si="100"/>
        <v>1</v>
      </c>
      <c r="AB101" s="95">
        <f t="shared" si="100"/>
        <v>1</v>
      </c>
      <c r="AC101" s="95">
        <f t="shared" si="100"/>
        <v>1</v>
      </c>
      <c r="AD101" s="95">
        <f t="shared" si="100"/>
        <v>1</v>
      </c>
      <c r="AE101" s="95">
        <f t="shared" si="100"/>
        <v>1</v>
      </c>
      <c r="AF101" s="95">
        <f t="shared" si="100"/>
        <v>1</v>
      </c>
      <c r="AG101" s="95">
        <f t="shared" si="100"/>
        <v>1</v>
      </c>
      <c r="AH101" s="95">
        <f t="shared" si="100"/>
        <v>1</v>
      </c>
      <c r="AI101" s="95">
        <f t="shared" si="100"/>
        <v>1</v>
      </c>
      <c r="AJ101" s="95">
        <f t="shared" si="100"/>
        <v>1</v>
      </c>
      <c r="AK101" s="95">
        <f t="shared" si="100"/>
        <v>1</v>
      </c>
      <c r="AL101" s="95">
        <f t="shared" si="100"/>
        <v>1</v>
      </c>
      <c r="AM101" s="95">
        <f t="shared" si="100"/>
        <v>1</v>
      </c>
      <c r="AN101" s="95">
        <f t="shared" si="100"/>
        <v>1</v>
      </c>
      <c r="AO101" s="95">
        <f t="shared" si="100"/>
        <v>1</v>
      </c>
      <c r="AP101" s="95">
        <f t="shared" si="100"/>
        <v>1</v>
      </c>
      <c r="AQ101" s="95">
        <f t="shared" si="100"/>
        <v>1</v>
      </c>
      <c r="AR101" s="95">
        <f t="shared" si="100"/>
        <v>1</v>
      </c>
      <c r="AS101" s="95">
        <f t="shared" si="100"/>
        <v>1</v>
      </c>
      <c r="AT101" s="95">
        <f t="shared" si="100"/>
        <v>1</v>
      </c>
      <c r="AU101" s="95">
        <f t="shared" si="100"/>
        <v>1</v>
      </c>
      <c r="AV101" s="95">
        <f t="shared" si="100"/>
        <v>1</v>
      </c>
      <c r="AW101" s="95">
        <f t="shared" si="100"/>
        <v>1</v>
      </c>
      <c r="AX101" s="95">
        <f t="shared" si="100"/>
        <v>1</v>
      </c>
      <c r="AY101" s="95">
        <f t="shared" si="100"/>
        <v>1</v>
      </c>
      <c r="AZ101" s="95">
        <f t="shared" si="100"/>
        <v>1</v>
      </c>
      <c r="BA101" s="95">
        <f t="shared" si="100"/>
        <v>1</v>
      </c>
      <c r="BB101" s="95">
        <f t="shared" si="100"/>
        <v>1</v>
      </c>
      <c r="BC101" s="95">
        <f t="shared" si="100"/>
        <v>1</v>
      </c>
      <c r="BD101" s="95">
        <f t="shared" si="100"/>
        <v>1</v>
      </c>
      <c r="BE101" s="95">
        <f t="shared" si="100"/>
        <v>1</v>
      </c>
      <c r="BF101" s="95">
        <f t="shared" si="100"/>
        <v>1</v>
      </c>
      <c r="BG101" s="95">
        <f t="shared" si="100"/>
        <v>1</v>
      </c>
      <c r="BH101" s="95">
        <f t="shared" si="100"/>
        <v>1</v>
      </c>
      <c r="BI101" s="95">
        <f t="shared" si="100"/>
        <v>1</v>
      </c>
      <c r="BJ101" s="95">
        <f t="shared" si="100"/>
        <v>1</v>
      </c>
      <c r="BK101" s="95">
        <f t="shared" si="100"/>
        <v>1</v>
      </c>
      <c r="BL101" s="95">
        <f t="shared" si="100"/>
        <v>1</v>
      </c>
      <c r="BM101" s="95">
        <f t="shared" si="100"/>
        <v>1</v>
      </c>
      <c r="BN101" s="95">
        <f t="shared" si="100"/>
        <v>1</v>
      </c>
      <c r="BO101" s="95">
        <f t="shared" si="100"/>
        <v>1</v>
      </c>
      <c r="BP101" s="95">
        <f t="shared" si="100"/>
        <v>1</v>
      </c>
      <c r="BQ101" s="95">
        <f t="shared" si="100"/>
        <v>1</v>
      </c>
      <c r="BR101" s="95">
        <f t="shared" si="100"/>
        <v>1</v>
      </c>
      <c r="BS101" s="95">
        <f t="shared" si="100"/>
        <v>1</v>
      </c>
      <c r="BT101" s="95">
        <f t="shared" si="100"/>
        <v>1</v>
      </c>
      <c r="BU101" s="95">
        <f t="shared" si="100"/>
        <v>1</v>
      </c>
      <c r="BV101" s="95">
        <f t="shared" si="100"/>
        <v>1</v>
      </c>
      <c r="BW101" s="95">
        <f t="shared" si="100"/>
        <v>1</v>
      </c>
      <c r="BX101" s="95">
        <f t="shared" si="100"/>
        <v>1</v>
      </c>
      <c r="BY101" s="95">
        <f t="shared" si="100"/>
        <v>1</v>
      </c>
      <c r="BZ101" s="95">
        <f t="shared" si="100"/>
        <v>1</v>
      </c>
      <c r="CA101" s="95">
        <f t="shared" si="100"/>
        <v>1</v>
      </c>
      <c r="CB101" s="95">
        <f t="shared" si="100"/>
        <v>1</v>
      </c>
      <c r="CC101" s="95">
        <f t="shared" si="100"/>
        <v>1</v>
      </c>
      <c r="CE101" s="47"/>
    </row>
    <row r="102" spans="1:83" s="46" customFormat="1" ht="15" customHeight="1" outlineLevel="1" x14ac:dyDescent="0.3">
      <c r="A102" s="47"/>
      <c r="B102" s="30"/>
      <c r="C102" s="110"/>
      <c r="D102" s="356" t="s">
        <v>168</v>
      </c>
      <c r="E102" s="14"/>
      <c r="F102" s="14"/>
      <c r="G102" s="14"/>
      <c r="H102" s="14"/>
      <c r="I102" s="31" t="s">
        <v>52</v>
      </c>
      <c r="J102" s="31"/>
      <c r="K102" s="31"/>
      <c r="L102" s="6"/>
      <c r="M102" s="6"/>
      <c r="N102" s="225"/>
      <c r="O102" s="228"/>
      <c r="P102" s="248">
        <f>SUMIFS($V102:$CC102,Расчет!$V$4:$CC$4,Расчет!P$4,Расчет!$V$6:$CC$6,12)</f>
        <v>1</v>
      </c>
      <c r="Q102" s="248">
        <f>SUMIFS($V102:$CC102,Расчет!$V$4:$CC$4,Расчет!Q$4,Расчет!$V$6:$CC$6,12)</f>
        <v>1</v>
      </c>
      <c r="R102" s="248">
        <f>SUMIFS($V102:$CC102,Расчет!$V$4:$CC$4,Расчет!R$4,Расчет!$V$6:$CC$6,12)</f>
        <v>1</v>
      </c>
      <c r="S102" s="248">
        <f>SUMIFS($V102:$CC102,Расчет!$V$4:$CC$4,Расчет!S$4,Расчет!$V$6:$CC$6,12)</f>
        <v>1</v>
      </c>
      <c r="T102" s="248">
        <f>SUMIFS($V102:$CC102,Расчет!$V$4:$CC$4,Расчет!T$4,Расчет!$V$6:$CC$6,12)</f>
        <v>1</v>
      </c>
      <c r="U102" s="139"/>
      <c r="V102" s="95">
        <v>1</v>
      </c>
      <c r="W102" s="95">
        <f>V102</f>
        <v>1</v>
      </c>
      <c r="X102" s="95">
        <f t="shared" si="100"/>
        <v>1</v>
      </c>
      <c r="Y102" s="95">
        <f t="shared" si="100"/>
        <v>1</v>
      </c>
      <c r="Z102" s="95">
        <f t="shared" si="100"/>
        <v>1</v>
      </c>
      <c r="AA102" s="95">
        <f t="shared" si="100"/>
        <v>1</v>
      </c>
      <c r="AB102" s="95">
        <f t="shared" si="100"/>
        <v>1</v>
      </c>
      <c r="AC102" s="95">
        <f t="shared" si="100"/>
        <v>1</v>
      </c>
      <c r="AD102" s="95">
        <f t="shared" si="100"/>
        <v>1</v>
      </c>
      <c r="AE102" s="95">
        <f t="shared" si="100"/>
        <v>1</v>
      </c>
      <c r="AF102" s="95">
        <f t="shared" si="100"/>
        <v>1</v>
      </c>
      <c r="AG102" s="95">
        <f t="shared" si="100"/>
        <v>1</v>
      </c>
      <c r="AH102" s="95">
        <f t="shared" si="100"/>
        <v>1</v>
      </c>
      <c r="AI102" s="95">
        <f t="shared" si="100"/>
        <v>1</v>
      </c>
      <c r="AJ102" s="95">
        <f t="shared" si="100"/>
        <v>1</v>
      </c>
      <c r="AK102" s="95">
        <f t="shared" si="100"/>
        <v>1</v>
      </c>
      <c r="AL102" s="95">
        <f t="shared" si="100"/>
        <v>1</v>
      </c>
      <c r="AM102" s="95">
        <f t="shared" si="100"/>
        <v>1</v>
      </c>
      <c r="AN102" s="95">
        <f t="shared" si="100"/>
        <v>1</v>
      </c>
      <c r="AO102" s="95">
        <f t="shared" si="100"/>
        <v>1</v>
      </c>
      <c r="AP102" s="95">
        <f t="shared" si="100"/>
        <v>1</v>
      </c>
      <c r="AQ102" s="95">
        <f t="shared" si="100"/>
        <v>1</v>
      </c>
      <c r="AR102" s="95">
        <f t="shared" si="100"/>
        <v>1</v>
      </c>
      <c r="AS102" s="95">
        <f t="shared" si="100"/>
        <v>1</v>
      </c>
      <c r="AT102" s="95">
        <f t="shared" si="100"/>
        <v>1</v>
      </c>
      <c r="AU102" s="95">
        <f t="shared" si="100"/>
        <v>1</v>
      </c>
      <c r="AV102" s="95">
        <f t="shared" si="100"/>
        <v>1</v>
      </c>
      <c r="AW102" s="95">
        <f t="shared" si="100"/>
        <v>1</v>
      </c>
      <c r="AX102" s="95">
        <f t="shared" si="100"/>
        <v>1</v>
      </c>
      <c r="AY102" s="95">
        <f t="shared" si="100"/>
        <v>1</v>
      </c>
      <c r="AZ102" s="95">
        <f t="shared" si="100"/>
        <v>1</v>
      </c>
      <c r="BA102" s="95">
        <f t="shared" si="100"/>
        <v>1</v>
      </c>
      <c r="BB102" s="95">
        <f t="shared" si="100"/>
        <v>1</v>
      </c>
      <c r="BC102" s="95">
        <f t="shared" si="100"/>
        <v>1</v>
      </c>
      <c r="BD102" s="95">
        <f t="shared" si="100"/>
        <v>1</v>
      </c>
      <c r="BE102" s="95">
        <f t="shared" si="100"/>
        <v>1</v>
      </c>
      <c r="BF102" s="95">
        <f t="shared" si="100"/>
        <v>1</v>
      </c>
      <c r="BG102" s="95">
        <f t="shared" si="100"/>
        <v>1</v>
      </c>
      <c r="BH102" s="95">
        <f t="shared" si="100"/>
        <v>1</v>
      </c>
      <c r="BI102" s="95">
        <f t="shared" si="100"/>
        <v>1</v>
      </c>
      <c r="BJ102" s="95">
        <f t="shared" si="100"/>
        <v>1</v>
      </c>
      <c r="BK102" s="95">
        <f t="shared" si="100"/>
        <v>1</v>
      </c>
      <c r="BL102" s="95">
        <f t="shared" si="100"/>
        <v>1</v>
      </c>
      <c r="BM102" s="95">
        <f t="shared" si="100"/>
        <v>1</v>
      </c>
      <c r="BN102" s="95">
        <f t="shared" si="100"/>
        <v>1</v>
      </c>
      <c r="BO102" s="95">
        <f t="shared" si="100"/>
        <v>1</v>
      </c>
      <c r="BP102" s="95">
        <f t="shared" si="100"/>
        <v>1</v>
      </c>
      <c r="BQ102" s="95">
        <f t="shared" si="100"/>
        <v>1</v>
      </c>
      <c r="BR102" s="95">
        <f t="shared" si="100"/>
        <v>1</v>
      </c>
      <c r="BS102" s="95">
        <f t="shared" si="100"/>
        <v>1</v>
      </c>
      <c r="BT102" s="95">
        <f t="shared" si="100"/>
        <v>1</v>
      </c>
      <c r="BU102" s="95">
        <f t="shared" si="100"/>
        <v>1</v>
      </c>
      <c r="BV102" s="95">
        <f t="shared" si="100"/>
        <v>1</v>
      </c>
      <c r="BW102" s="95">
        <f t="shared" si="100"/>
        <v>1</v>
      </c>
      <c r="BX102" s="95">
        <f t="shared" si="100"/>
        <v>1</v>
      </c>
      <c r="BY102" s="95">
        <f t="shared" si="100"/>
        <v>1</v>
      </c>
      <c r="BZ102" s="95">
        <f t="shared" si="100"/>
        <v>1</v>
      </c>
      <c r="CA102" s="95">
        <f t="shared" si="100"/>
        <v>1</v>
      </c>
      <c r="CB102" s="95">
        <f t="shared" si="100"/>
        <v>1</v>
      </c>
      <c r="CC102" s="95">
        <f t="shared" si="100"/>
        <v>1</v>
      </c>
      <c r="CE102" s="47"/>
    </row>
    <row r="103" spans="1:83" s="46" customFormat="1" ht="15" customHeight="1" outlineLevel="1" x14ac:dyDescent="0.3">
      <c r="A103" s="47"/>
      <c r="B103" s="30"/>
      <c r="C103" s="110"/>
      <c r="D103" s="356" t="s">
        <v>169</v>
      </c>
      <c r="E103" s="14"/>
      <c r="F103" s="14"/>
      <c r="G103" s="14"/>
      <c r="H103" s="14"/>
      <c r="I103" s="31" t="s">
        <v>52</v>
      </c>
      <c r="J103" s="31"/>
      <c r="K103" s="31"/>
      <c r="L103" s="6"/>
      <c r="M103" s="6"/>
      <c r="N103" s="225"/>
      <c r="O103" s="228"/>
      <c r="P103" s="248">
        <f>SUMIFS($V103:$CC103,Расчет!$V$4:$CC$4,Расчет!P$4,Расчет!$V$6:$CC$6,12)</f>
        <v>4</v>
      </c>
      <c r="Q103" s="248">
        <f>SUMIFS($V103:$CC103,Расчет!$V$4:$CC$4,Расчет!Q$4,Расчет!$V$6:$CC$6,12)</f>
        <v>4</v>
      </c>
      <c r="R103" s="248">
        <f>SUMIFS($V103:$CC103,Расчет!$V$4:$CC$4,Расчет!R$4,Расчет!$V$6:$CC$6,12)</f>
        <v>4</v>
      </c>
      <c r="S103" s="248">
        <f>SUMIFS($V103:$CC103,Расчет!$V$4:$CC$4,Расчет!S$4,Расчет!$V$6:$CC$6,12)</f>
        <v>4</v>
      </c>
      <c r="T103" s="248">
        <f>SUMIFS($V103:$CC103,Расчет!$V$4:$CC$4,Расчет!T$4,Расчет!$V$6:$CC$6,12)</f>
        <v>4</v>
      </c>
      <c r="U103" s="139"/>
      <c r="V103" s="95">
        <v>0</v>
      </c>
      <c r="W103" s="95">
        <v>0</v>
      </c>
      <c r="X103" s="95">
        <v>0</v>
      </c>
      <c r="Y103" s="95">
        <v>2</v>
      </c>
      <c r="Z103" s="95">
        <f t="shared" si="100"/>
        <v>2</v>
      </c>
      <c r="AA103" s="95">
        <f t="shared" si="100"/>
        <v>2</v>
      </c>
      <c r="AB103" s="95">
        <f t="shared" si="100"/>
        <v>2</v>
      </c>
      <c r="AC103" s="95">
        <v>4</v>
      </c>
      <c r="AD103" s="95">
        <f t="shared" si="100"/>
        <v>4</v>
      </c>
      <c r="AE103" s="95">
        <f t="shared" si="100"/>
        <v>4</v>
      </c>
      <c r="AF103" s="95">
        <f t="shared" si="100"/>
        <v>4</v>
      </c>
      <c r="AG103" s="95">
        <f t="shared" si="100"/>
        <v>4</v>
      </c>
      <c r="AH103" s="95">
        <f t="shared" si="100"/>
        <v>4</v>
      </c>
      <c r="AI103" s="95">
        <f t="shared" si="100"/>
        <v>4</v>
      </c>
      <c r="AJ103" s="95">
        <f t="shared" si="100"/>
        <v>4</v>
      </c>
      <c r="AK103" s="95">
        <f t="shared" ref="AK103" si="101">AJ103</f>
        <v>4</v>
      </c>
      <c r="AL103" s="95">
        <f t="shared" ref="AL103" si="102">AK103</f>
        <v>4</v>
      </c>
      <c r="AM103" s="95">
        <f t="shared" ref="AM103" si="103">AL103</f>
        <v>4</v>
      </c>
      <c r="AN103" s="95">
        <f t="shared" ref="AN103" si="104">AM103</f>
        <v>4</v>
      </c>
      <c r="AO103" s="95">
        <f t="shared" ref="AO103" si="105">AN103</f>
        <v>4</v>
      </c>
      <c r="AP103" s="95">
        <f t="shared" ref="AP103" si="106">AO103</f>
        <v>4</v>
      </c>
      <c r="AQ103" s="95">
        <f t="shared" ref="AQ103" si="107">AP103</f>
        <v>4</v>
      </c>
      <c r="AR103" s="95">
        <f t="shared" ref="AR103" si="108">AQ103</f>
        <v>4</v>
      </c>
      <c r="AS103" s="95">
        <f t="shared" ref="AS103" si="109">AR103</f>
        <v>4</v>
      </c>
      <c r="AT103" s="95">
        <f t="shared" ref="AT103" si="110">AS103</f>
        <v>4</v>
      </c>
      <c r="AU103" s="95">
        <f t="shared" ref="AU103" si="111">AT103</f>
        <v>4</v>
      </c>
      <c r="AV103" s="95">
        <f t="shared" ref="AV103" si="112">AU103</f>
        <v>4</v>
      </c>
      <c r="AW103" s="95">
        <f t="shared" ref="AW103" si="113">AV103</f>
        <v>4</v>
      </c>
      <c r="AX103" s="95">
        <f t="shared" ref="AX103" si="114">AW103</f>
        <v>4</v>
      </c>
      <c r="AY103" s="95">
        <f t="shared" ref="AY103" si="115">AX103</f>
        <v>4</v>
      </c>
      <c r="AZ103" s="95">
        <f t="shared" ref="AZ103" si="116">AY103</f>
        <v>4</v>
      </c>
      <c r="BA103" s="95">
        <f t="shared" ref="BA103" si="117">AZ103</f>
        <v>4</v>
      </c>
      <c r="BB103" s="95">
        <f t="shared" ref="BB103" si="118">BA103</f>
        <v>4</v>
      </c>
      <c r="BC103" s="95">
        <f t="shared" ref="BC103" si="119">BB103</f>
        <v>4</v>
      </c>
      <c r="BD103" s="95">
        <f t="shared" ref="BD103" si="120">BC103</f>
        <v>4</v>
      </c>
      <c r="BE103" s="95">
        <f t="shared" ref="BE103" si="121">BD103</f>
        <v>4</v>
      </c>
      <c r="BF103" s="95">
        <f t="shared" ref="BF103" si="122">BE103</f>
        <v>4</v>
      </c>
      <c r="BG103" s="95">
        <f t="shared" ref="BG103" si="123">BF103</f>
        <v>4</v>
      </c>
      <c r="BH103" s="95">
        <f t="shared" ref="BH103" si="124">BG103</f>
        <v>4</v>
      </c>
      <c r="BI103" s="95">
        <f t="shared" ref="BI103" si="125">BH103</f>
        <v>4</v>
      </c>
      <c r="BJ103" s="95">
        <f t="shared" ref="BJ103" si="126">BI103</f>
        <v>4</v>
      </c>
      <c r="BK103" s="95">
        <f t="shared" ref="BK103" si="127">BJ103</f>
        <v>4</v>
      </c>
      <c r="BL103" s="95">
        <f t="shared" ref="BL103" si="128">BK103</f>
        <v>4</v>
      </c>
      <c r="BM103" s="95">
        <f t="shared" ref="BM103" si="129">BL103</f>
        <v>4</v>
      </c>
      <c r="BN103" s="95">
        <f t="shared" ref="BN103" si="130">BM103</f>
        <v>4</v>
      </c>
      <c r="BO103" s="95">
        <f t="shared" ref="BO103" si="131">BN103</f>
        <v>4</v>
      </c>
      <c r="BP103" s="95">
        <f t="shared" ref="BP103" si="132">BO103</f>
        <v>4</v>
      </c>
      <c r="BQ103" s="95">
        <f t="shared" ref="BQ103" si="133">BP103</f>
        <v>4</v>
      </c>
      <c r="BR103" s="95">
        <f t="shared" ref="BR103" si="134">BQ103</f>
        <v>4</v>
      </c>
      <c r="BS103" s="95">
        <f t="shared" ref="BS103" si="135">BR103</f>
        <v>4</v>
      </c>
      <c r="BT103" s="95">
        <f t="shared" ref="BT103" si="136">BS103</f>
        <v>4</v>
      </c>
      <c r="BU103" s="95">
        <f t="shared" ref="BU103" si="137">BT103</f>
        <v>4</v>
      </c>
      <c r="BV103" s="95">
        <f t="shared" ref="BV103" si="138">BU103</f>
        <v>4</v>
      </c>
      <c r="BW103" s="95">
        <f t="shared" ref="BW103" si="139">BV103</f>
        <v>4</v>
      </c>
      <c r="BX103" s="95">
        <f t="shared" ref="BX103" si="140">BW103</f>
        <v>4</v>
      </c>
      <c r="BY103" s="95">
        <f t="shared" ref="BY103" si="141">BX103</f>
        <v>4</v>
      </c>
      <c r="BZ103" s="95">
        <f t="shared" ref="BZ103" si="142">BY103</f>
        <v>4</v>
      </c>
      <c r="CA103" s="95">
        <f t="shared" ref="CA103" si="143">BZ103</f>
        <v>4</v>
      </c>
      <c r="CB103" s="95">
        <f t="shared" ref="CB103" si="144">CA103</f>
        <v>4</v>
      </c>
      <c r="CC103" s="95">
        <f t="shared" ref="CC103" si="145">CB103</f>
        <v>4</v>
      </c>
      <c r="CE103" s="47"/>
    </row>
    <row r="104" spans="1:83" s="46" customFormat="1" ht="15" customHeight="1" outlineLevel="1" x14ac:dyDescent="0.3">
      <c r="A104" s="47"/>
      <c r="B104" s="30"/>
      <c r="C104" s="110"/>
      <c r="D104" s="356" t="s">
        <v>170</v>
      </c>
      <c r="E104" s="14"/>
      <c r="F104" s="14"/>
      <c r="G104" s="14"/>
      <c r="H104" s="14"/>
      <c r="I104" s="31" t="s">
        <v>52</v>
      </c>
      <c r="J104" s="31"/>
      <c r="K104" s="31"/>
      <c r="L104" s="6"/>
      <c r="M104" s="6"/>
      <c r="N104" s="225"/>
      <c r="O104" s="228"/>
      <c r="P104" s="248">
        <f>SUMIFS($V104:$CC104,Расчет!$V$4:$CC$4,Расчет!P$4,Расчет!$V$6:$CC$6,12)</f>
        <v>1</v>
      </c>
      <c r="Q104" s="248">
        <f>SUMIFS($V104:$CC104,Расчет!$V$4:$CC$4,Расчет!Q$4,Расчет!$V$6:$CC$6,12)</f>
        <v>1</v>
      </c>
      <c r="R104" s="248">
        <f>SUMIFS($V104:$CC104,Расчет!$V$4:$CC$4,Расчет!R$4,Расчет!$V$6:$CC$6,12)</f>
        <v>1</v>
      </c>
      <c r="S104" s="248">
        <f>SUMIFS($V104:$CC104,Расчет!$V$4:$CC$4,Расчет!S$4,Расчет!$V$6:$CC$6,12)</f>
        <v>1</v>
      </c>
      <c r="T104" s="248">
        <f>SUMIFS($V104:$CC104,Расчет!$V$4:$CC$4,Расчет!T$4,Расчет!$V$6:$CC$6,12)</f>
        <v>1</v>
      </c>
      <c r="U104" s="139"/>
      <c r="V104" s="95">
        <v>1</v>
      </c>
      <c r="W104" s="95">
        <f t="shared" ref="W104" si="146">V104</f>
        <v>1</v>
      </c>
      <c r="X104" s="95">
        <f t="shared" si="100"/>
        <v>1</v>
      </c>
      <c r="Y104" s="95">
        <f t="shared" si="100"/>
        <v>1</v>
      </c>
      <c r="Z104" s="95">
        <f t="shared" si="100"/>
        <v>1</v>
      </c>
      <c r="AA104" s="95">
        <f t="shared" si="100"/>
        <v>1</v>
      </c>
      <c r="AB104" s="95">
        <f t="shared" si="100"/>
        <v>1</v>
      </c>
      <c r="AC104" s="95">
        <f t="shared" si="100"/>
        <v>1</v>
      </c>
      <c r="AD104" s="95">
        <f t="shared" si="100"/>
        <v>1</v>
      </c>
      <c r="AE104" s="95">
        <f t="shared" si="100"/>
        <v>1</v>
      </c>
      <c r="AF104" s="95">
        <f t="shared" si="100"/>
        <v>1</v>
      </c>
      <c r="AG104" s="95">
        <f t="shared" si="100"/>
        <v>1</v>
      </c>
      <c r="AH104" s="95">
        <f t="shared" si="100"/>
        <v>1</v>
      </c>
      <c r="AI104" s="95">
        <f t="shared" si="100"/>
        <v>1</v>
      </c>
      <c r="AJ104" s="95">
        <f t="shared" ref="AJ104" si="147">AI104</f>
        <v>1</v>
      </c>
      <c r="AK104" s="95">
        <f t="shared" ref="AK104" si="148">AJ104</f>
        <v>1</v>
      </c>
      <c r="AL104" s="95">
        <f t="shared" ref="AL104" si="149">AK104</f>
        <v>1</v>
      </c>
      <c r="AM104" s="95">
        <f t="shared" ref="AM104" si="150">AL104</f>
        <v>1</v>
      </c>
      <c r="AN104" s="95">
        <f t="shared" ref="AN104" si="151">AM104</f>
        <v>1</v>
      </c>
      <c r="AO104" s="95">
        <f t="shared" ref="AO104" si="152">AN104</f>
        <v>1</v>
      </c>
      <c r="AP104" s="95">
        <f t="shared" ref="AP104" si="153">AO104</f>
        <v>1</v>
      </c>
      <c r="AQ104" s="95">
        <f t="shared" ref="AQ104" si="154">AP104</f>
        <v>1</v>
      </c>
      <c r="AR104" s="95">
        <f t="shared" ref="AR104" si="155">AQ104</f>
        <v>1</v>
      </c>
      <c r="AS104" s="95">
        <f t="shared" ref="AS104" si="156">AR104</f>
        <v>1</v>
      </c>
      <c r="AT104" s="95">
        <f t="shared" ref="AT104" si="157">AS104</f>
        <v>1</v>
      </c>
      <c r="AU104" s="95">
        <f t="shared" ref="AU104" si="158">AT104</f>
        <v>1</v>
      </c>
      <c r="AV104" s="95">
        <f t="shared" ref="AV104" si="159">AU104</f>
        <v>1</v>
      </c>
      <c r="AW104" s="95">
        <f t="shared" ref="AW104" si="160">AV104</f>
        <v>1</v>
      </c>
      <c r="AX104" s="95">
        <f t="shared" ref="AX104" si="161">AW104</f>
        <v>1</v>
      </c>
      <c r="AY104" s="95">
        <f t="shared" ref="AY104" si="162">AX104</f>
        <v>1</v>
      </c>
      <c r="AZ104" s="95">
        <f t="shared" ref="AZ104" si="163">AY104</f>
        <v>1</v>
      </c>
      <c r="BA104" s="95">
        <f t="shared" ref="BA104" si="164">AZ104</f>
        <v>1</v>
      </c>
      <c r="BB104" s="95">
        <f t="shared" ref="BB104" si="165">BA104</f>
        <v>1</v>
      </c>
      <c r="BC104" s="95">
        <f t="shared" ref="BC104" si="166">BB104</f>
        <v>1</v>
      </c>
      <c r="BD104" s="95">
        <f t="shared" ref="BD104" si="167">BC104</f>
        <v>1</v>
      </c>
      <c r="BE104" s="95">
        <f t="shared" ref="BE104" si="168">BD104</f>
        <v>1</v>
      </c>
      <c r="BF104" s="95">
        <f t="shared" ref="BF104" si="169">BE104</f>
        <v>1</v>
      </c>
      <c r="BG104" s="95">
        <f t="shared" ref="BG104" si="170">BF104</f>
        <v>1</v>
      </c>
      <c r="BH104" s="95">
        <f t="shared" ref="BH104" si="171">BG104</f>
        <v>1</v>
      </c>
      <c r="BI104" s="95">
        <f t="shared" ref="BI104" si="172">BH104</f>
        <v>1</v>
      </c>
      <c r="BJ104" s="95">
        <f t="shared" ref="BJ104" si="173">BI104</f>
        <v>1</v>
      </c>
      <c r="BK104" s="95">
        <f t="shared" ref="BK104" si="174">BJ104</f>
        <v>1</v>
      </c>
      <c r="BL104" s="95">
        <f t="shared" ref="BL104" si="175">BK104</f>
        <v>1</v>
      </c>
      <c r="BM104" s="95">
        <f t="shared" ref="BM104" si="176">BL104</f>
        <v>1</v>
      </c>
      <c r="BN104" s="95">
        <f t="shared" ref="BN104" si="177">BM104</f>
        <v>1</v>
      </c>
      <c r="BO104" s="95">
        <f t="shared" ref="BO104" si="178">BN104</f>
        <v>1</v>
      </c>
      <c r="BP104" s="95">
        <f t="shared" ref="BP104" si="179">BO104</f>
        <v>1</v>
      </c>
      <c r="BQ104" s="95">
        <f t="shared" ref="BQ104" si="180">BP104</f>
        <v>1</v>
      </c>
      <c r="BR104" s="95">
        <f t="shared" ref="BR104" si="181">BQ104</f>
        <v>1</v>
      </c>
      <c r="BS104" s="95">
        <f t="shared" ref="BS104" si="182">BR104</f>
        <v>1</v>
      </c>
      <c r="BT104" s="95">
        <f t="shared" ref="BT104" si="183">BS104</f>
        <v>1</v>
      </c>
      <c r="BU104" s="95">
        <f t="shared" ref="BU104" si="184">BT104</f>
        <v>1</v>
      </c>
      <c r="BV104" s="95">
        <f t="shared" ref="BV104" si="185">BU104</f>
        <v>1</v>
      </c>
      <c r="BW104" s="95">
        <f t="shared" ref="BW104" si="186">BV104</f>
        <v>1</v>
      </c>
      <c r="BX104" s="95">
        <f t="shared" ref="BX104" si="187">BW104</f>
        <v>1</v>
      </c>
      <c r="BY104" s="95">
        <f t="shared" ref="BY104" si="188">BX104</f>
        <v>1</v>
      </c>
      <c r="BZ104" s="95">
        <f t="shared" ref="BZ104" si="189">BY104</f>
        <v>1</v>
      </c>
      <c r="CA104" s="95">
        <f t="shared" ref="CA104" si="190">BZ104</f>
        <v>1</v>
      </c>
      <c r="CB104" s="95">
        <f t="shared" ref="CB104" si="191">CA104</f>
        <v>1</v>
      </c>
      <c r="CC104" s="95">
        <f t="shared" ref="CC104" si="192">CB104</f>
        <v>1</v>
      </c>
      <c r="CE104" s="47"/>
    </row>
    <row r="105" spans="1:83" s="46" customFormat="1" ht="15" customHeight="1" outlineLevel="1" x14ac:dyDescent="0.3">
      <c r="A105" s="47"/>
      <c r="B105" s="30"/>
      <c r="C105" s="110"/>
      <c r="D105" s="136" t="s">
        <v>26</v>
      </c>
      <c r="E105" s="36"/>
      <c r="F105" s="36"/>
      <c r="G105" s="36"/>
      <c r="H105" s="36"/>
      <c r="I105" s="6" t="s">
        <v>52</v>
      </c>
      <c r="J105" s="6"/>
      <c r="K105" s="6"/>
      <c r="L105" s="6"/>
      <c r="M105" s="228"/>
      <c r="N105" s="225"/>
      <c r="O105" s="228"/>
      <c r="P105" s="225">
        <f>SUMIFS($V105:$CC105,Расчет!$V$4:$CC$4,Расчет!P$4,Расчет!$V$6:$CC$6,12)</f>
        <v>10</v>
      </c>
      <c r="Q105" s="225">
        <f>SUMIFS($V105:$CC105,Расчет!$V$4:$CC$4,Расчет!Q$4,Расчет!$V$6:$CC$6,12)</f>
        <v>10</v>
      </c>
      <c r="R105" s="225">
        <f>SUMIFS($V105:$CC105,Расчет!$V$4:$CC$4,Расчет!R$4,Расчет!$V$6:$CC$6,12)</f>
        <v>10</v>
      </c>
      <c r="S105" s="225">
        <f>SUMIFS($V105:$CC105,Расчет!$V$4:$CC$4,Расчет!S$4,Расчет!$V$6:$CC$6,12)</f>
        <v>10</v>
      </c>
      <c r="T105" s="225">
        <f>SUMIFS($V105:$CC105,Расчет!$V$4:$CC$4,Расчет!T$4,Расчет!$V$6:$CC$6,12)</f>
        <v>10</v>
      </c>
      <c r="U105" s="139"/>
      <c r="V105" s="226">
        <f>SUM(V98:V104)</f>
        <v>6</v>
      </c>
      <c r="W105" s="226">
        <f t="shared" ref="W105:CC105" si="193">SUM(W98:W104)</f>
        <v>6</v>
      </c>
      <c r="X105" s="226">
        <f t="shared" si="193"/>
        <v>6</v>
      </c>
      <c r="Y105" s="226">
        <f t="shared" si="193"/>
        <v>8</v>
      </c>
      <c r="Z105" s="226">
        <f t="shared" si="193"/>
        <v>8</v>
      </c>
      <c r="AA105" s="226">
        <f t="shared" si="193"/>
        <v>8</v>
      </c>
      <c r="AB105" s="226">
        <f t="shared" si="193"/>
        <v>8</v>
      </c>
      <c r="AC105" s="226">
        <f t="shared" si="193"/>
        <v>10</v>
      </c>
      <c r="AD105" s="226">
        <f t="shared" si="193"/>
        <v>10</v>
      </c>
      <c r="AE105" s="226">
        <f t="shared" si="193"/>
        <v>10</v>
      </c>
      <c r="AF105" s="226">
        <f t="shared" si="193"/>
        <v>10</v>
      </c>
      <c r="AG105" s="226">
        <f t="shared" si="193"/>
        <v>10</v>
      </c>
      <c r="AH105" s="226">
        <f t="shared" si="193"/>
        <v>10</v>
      </c>
      <c r="AI105" s="226">
        <f t="shared" si="193"/>
        <v>10</v>
      </c>
      <c r="AJ105" s="226">
        <f t="shared" si="193"/>
        <v>10</v>
      </c>
      <c r="AK105" s="226">
        <f t="shared" si="193"/>
        <v>10</v>
      </c>
      <c r="AL105" s="226">
        <f t="shared" si="193"/>
        <v>10</v>
      </c>
      <c r="AM105" s="226">
        <f t="shared" si="193"/>
        <v>10</v>
      </c>
      <c r="AN105" s="226">
        <f t="shared" si="193"/>
        <v>10</v>
      </c>
      <c r="AO105" s="226">
        <f t="shared" si="193"/>
        <v>10</v>
      </c>
      <c r="AP105" s="226">
        <f t="shared" si="193"/>
        <v>10</v>
      </c>
      <c r="AQ105" s="226">
        <f t="shared" si="193"/>
        <v>10</v>
      </c>
      <c r="AR105" s="226">
        <f t="shared" si="193"/>
        <v>10</v>
      </c>
      <c r="AS105" s="226">
        <f t="shared" si="193"/>
        <v>10</v>
      </c>
      <c r="AT105" s="226">
        <f t="shared" si="193"/>
        <v>10</v>
      </c>
      <c r="AU105" s="226">
        <f t="shared" si="193"/>
        <v>10</v>
      </c>
      <c r="AV105" s="226">
        <f t="shared" si="193"/>
        <v>10</v>
      </c>
      <c r="AW105" s="226">
        <f t="shared" si="193"/>
        <v>10</v>
      </c>
      <c r="AX105" s="226">
        <f t="shared" si="193"/>
        <v>10</v>
      </c>
      <c r="AY105" s="226">
        <f t="shared" si="193"/>
        <v>10</v>
      </c>
      <c r="AZ105" s="226">
        <f t="shared" si="193"/>
        <v>10</v>
      </c>
      <c r="BA105" s="226">
        <f t="shared" si="193"/>
        <v>10</v>
      </c>
      <c r="BB105" s="226">
        <f t="shared" si="193"/>
        <v>10</v>
      </c>
      <c r="BC105" s="226">
        <f t="shared" si="193"/>
        <v>10</v>
      </c>
      <c r="BD105" s="226">
        <f t="shared" si="193"/>
        <v>10</v>
      </c>
      <c r="BE105" s="226">
        <f t="shared" si="193"/>
        <v>10</v>
      </c>
      <c r="BF105" s="226">
        <f t="shared" si="193"/>
        <v>10</v>
      </c>
      <c r="BG105" s="226">
        <f t="shared" si="193"/>
        <v>10</v>
      </c>
      <c r="BH105" s="226">
        <f t="shared" si="193"/>
        <v>10</v>
      </c>
      <c r="BI105" s="226">
        <f t="shared" si="193"/>
        <v>10</v>
      </c>
      <c r="BJ105" s="226">
        <f t="shared" si="193"/>
        <v>10</v>
      </c>
      <c r="BK105" s="226">
        <f t="shared" si="193"/>
        <v>10</v>
      </c>
      <c r="BL105" s="226">
        <f t="shared" si="193"/>
        <v>10</v>
      </c>
      <c r="BM105" s="226">
        <f t="shared" si="193"/>
        <v>10</v>
      </c>
      <c r="BN105" s="226">
        <f t="shared" si="193"/>
        <v>10</v>
      </c>
      <c r="BO105" s="226">
        <f t="shared" si="193"/>
        <v>10</v>
      </c>
      <c r="BP105" s="226">
        <f t="shared" si="193"/>
        <v>10</v>
      </c>
      <c r="BQ105" s="226">
        <f t="shared" si="193"/>
        <v>10</v>
      </c>
      <c r="BR105" s="226">
        <f t="shared" si="193"/>
        <v>10</v>
      </c>
      <c r="BS105" s="226">
        <f t="shared" si="193"/>
        <v>10</v>
      </c>
      <c r="BT105" s="226">
        <f t="shared" si="193"/>
        <v>10</v>
      </c>
      <c r="BU105" s="226">
        <f t="shared" si="193"/>
        <v>10</v>
      </c>
      <c r="BV105" s="226">
        <f t="shared" si="193"/>
        <v>10</v>
      </c>
      <c r="BW105" s="226">
        <f t="shared" si="193"/>
        <v>10</v>
      </c>
      <c r="BX105" s="226">
        <f t="shared" si="193"/>
        <v>10</v>
      </c>
      <c r="BY105" s="226">
        <f t="shared" si="193"/>
        <v>10</v>
      </c>
      <c r="BZ105" s="226">
        <f t="shared" si="193"/>
        <v>10</v>
      </c>
      <c r="CA105" s="226">
        <f t="shared" si="193"/>
        <v>10</v>
      </c>
      <c r="CB105" s="226">
        <f t="shared" si="193"/>
        <v>10</v>
      </c>
      <c r="CC105" s="226">
        <f t="shared" si="193"/>
        <v>10</v>
      </c>
      <c r="CE105" s="47"/>
    </row>
    <row r="106" spans="1:83" s="45" customFormat="1" ht="15" customHeight="1" outlineLevel="1" x14ac:dyDescent="0.3">
      <c r="A106" s="111"/>
      <c r="B106" s="30"/>
      <c r="C106" s="110"/>
      <c r="D106" s="164"/>
      <c r="E106" s="150"/>
      <c r="F106" s="150"/>
      <c r="G106" s="150"/>
      <c r="H106" s="150"/>
      <c r="I106" s="31"/>
      <c r="J106" s="31"/>
      <c r="K106" s="31"/>
      <c r="L106" s="31"/>
      <c r="M106" s="249"/>
      <c r="N106" s="225"/>
      <c r="O106" s="249"/>
      <c r="P106" s="225"/>
      <c r="Q106" s="225"/>
      <c r="R106" s="225"/>
      <c r="S106" s="225"/>
      <c r="T106" s="225"/>
      <c r="U106" s="139"/>
      <c r="V106" s="139"/>
      <c r="W106" s="139"/>
      <c r="X106" s="139"/>
      <c r="Y106" s="139"/>
      <c r="Z106" s="139"/>
      <c r="AA106" s="139"/>
      <c r="AB106" s="139"/>
      <c r="AC106" s="139"/>
      <c r="AD106" s="139"/>
      <c r="AE106" s="139"/>
      <c r="AF106" s="139"/>
      <c r="AG106" s="139"/>
      <c r="AH106" s="139"/>
      <c r="AI106" s="139"/>
      <c r="AJ106" s="139"/>
      <c r="AK106" s="139"/>
      <c r="AL106" s="139"/>
      <c r="AM106" s="139"/>
      <c r="AN106" s="139"/>
      <c r="AO106" s="139"/>
      <c r="AP106" s="139"/>
      <c r="AQ106" s="139"/>
      <c r="AR106" s="139"/>
      <c r="AS106" s="139"/>
      <c r="AT106" s="139"/>
      <c r="AU106" s="139"/>
      <c r="AV106" s="139"/>
      <c r="AW106" s="139"/>
      <c r="AX106" s="139"/>
      <c r="AY106" s="139"/>
      <c r="AZ106" s="139"/>
      <c r="BA106" s="139"/>
      <c r="BB106" s="139"/>
      <c r="BC106" s="139"/>
      <c r="BD106" s="139"/>
      <c r="BE106" s="139"/>
      <c r="BF106" s="139"/>
      <c r="BG106" s="139"/>
      <c r="BH106" s="139"/>
      <c r="BI106" s="139"/>
      <c r="BJ106" s="139"/>
      <c r="BK106" s="139"/>
      <c r="BL106" s="139"/>
      <c r="BM106" s="139"/>
      <c r="BN106" s="139"/>
      <c r="BO106" s="139"/>
      <c r="BP106" s="139"/>
      <c r="BQ106" s="139"/>
      <c r="BR106" s="139"/>
      <c r="BS106" s="139"/>
      <c r="BT106" s="139"/>
      <c r="BU106" s="139"/>
      <c r="BV106" s="139"/>
      <c r="BW106" s="139"/>
      <c r="BX106" s="139"/>
      <c r="BY106" s="139"/>
      <c r="BZ106" s="139"/>
      <c r="CA106" s="139"/>
      <c r="CB106" s="139"/>
      <c r="CC106" s="139"/>
      <c r="CD106" s="110"/>
      <c r="CE106" s="219"/>
    </row>
    <row r="107" spans="1:83" s="22" customFormat="1" ht="15" customHeight="1" outlineLevel="1" x14ac:dyDescent="0.3">
      <c r="A107" s="51"/>
      <c r="D107" s="207" t="s">
        <v>50</v>
      </c>
      <c r="E107" s="208"/>
      <c r="F107" s="208"/>
      <c r="G107" s="208"/>
      <c r="H107" s="208"/>
      <c r="I107" s="209" t="s">
        <v>52</v>
      </c>
      <c r="J107" s="209"/>
      <c r="K107" s="209"/>
      <c r="L107" s="209"/>
      <c r="M107" s="230"/>
      <c r="N107" s="230"/>
      <c r="O107" s="239"/>
      <c r="P107" s="230">
        <f>SUMIFS($V107:$CC107,Расчет!$V$4:$CC$4,Расчет!P$4,Расчет!$V$6:$CC$6,12)</f>
        <v>33</v>
      </c>
      <c r="Q107" s="230">
        <f>SUMIFS($V107:$CC107,Расчет!$V$4:$CC$4,Расчет!Q$4,Расчет!$V$6:$CC$6,12)</f>
        <v>33</v>
      </c>
      <c r="R107" s="230">
        <f>SUMIFS($V107:$CC107,Расчет!$V$4:$CC$4,Расчет!R$4,Расчет!$V$6:$CC$6,12)</f>
        <v>33</v>
      </c>
      <c r="S107" s="230">
        <f>SUMIFS($V107:$CC107,Расчет!$V$4:$CC$4,Расчет!S$4,Расчет!$V$6:$CC$6,12)</f>
        <v>33</v>
      </c>
      <c r="T107" s="230">
        <f>SUMIFS($V107:$CC107,Расчет!$V$4:$CC$4,Расчет!T$4,Расчет!$V$6:$CC$6,12)</f>
        <v>33</v>
      </c>
      <c r="U107" s="139"/>
      <c r="V107" s="230">
        <f t="shared" ref="V107:BA107" si="194">V88+V95+V105</f>
        <v>6</v>
      </c>
      <c r="W107" s="230">
        <f t="shared" si="194"/>
        <v>6</v>
      </c>
      <c r="X107" s="230">
        <f t="shared" si="194"/>
        <v>6</v>
      </c>
      <c r="Y107" s="230">
        <f t="shared" si="194"/>
        <v>8</v>
      </c>
      <c r="Z107" s="230">
        <f t="shared" si="194"/>
        <v>21</v>
      </c>
      <c r="AA107" s="230">
        <f t="shared" si="194"/>
        <v>21</v>
      </c>
      <c r="AB107" s="230">
        <f t="shared" si="194"/>
        <v>21</v>
      </c>
      <c r="AC107" s="230">
        <f t="shared" si="194"/>
        <v>30</v>
      </c>
      <c r="AD107" s="230">
        <f t="shared" si="194"/>
        <v>33</v>
      </c>
      <c r="AE107" s="230">
        <f t="shared" si="194"/>
        <v>33</v>
      </c>
      <c r="AF107" s="230">
        <f t="shared" si="194"/>
        <v>33</v>
      </c>
      <c r="AG107" s="230">
        <f t="shared" si="194"/>
        <v>33</v>
      </c>
      <c r="AH107" s="230">
        <f t="shared" si="194"/>
        <v>33</v>
      </c>
      <c r="AI107" s="230">
        <f t="shared" si="194"/>
        <v>33</v>
      </c>
      <c r="AJ107" s="230">
        <f t="shared" si="194"/>
        <v>33</v>
      </c>
      <c r="AK107" s="230">
        <f t="shared" si="194"/>
        <v>33</v>
      </c>
      <c r="AL107" s="230">
        <f t="shared" si="194"/>
        <v>33</v>
      </c>
      <c r="AM107" s="230">
        <f t="shared" si="194"/>
        <v>33</v>
      </c>
      <c r="AN107" s="230">
        <f t="shared" si="194"/>
        <v>33</v>
      </c>
      <c r="AO107" s="230">
        <f t="shared" si="194"/>
        <v>33</v>
      </c>
      <c r="AP107" s="230">
        <f t="shared" si="194"/>
        <v>33</v>
      </c>
      <c r="AQ107" s="230">
        <f t="shared" si="194"/>
        <v>33</v>
      </c>
      <c r="AR107" s="230">
        <f t="shared" si="194"/>
        <v>33</v>
      </c>
      <c r="AS107" s="230">
        <f t="shared" si="194"/>
        <v>33</v>
      </c>
      <c r="AT107" s="230">
        <f t="shared" si="194"/>
        <v>33</v>
      </c>
      <c r="AU107" s="230">
        <f t="shared" si="194"/>
        <v>33</v>
      </c>
      <c r="AV107" s="230">
        <f t="shared" si="194"/>
        <v>33</v>
      </c>
      <c r="AW107" s="230">
        <f t="shared" si="194"/>
        <v>33</v>
      </c>
      <c r="AX107" s="230">
        <f t="shared" si="194"/>
        <v>33</v>
      </c>
      <c r="AY107" s="230">
        <f t="shared" si="194"/>
        <v>33</v>
      </c>
      <c r="AZ107" s="230">
        <f t="shared" si="194"/>
        <v>33</v>
      </c>
      <c r="BA107" s="230">
        <f t="shared" si="194"/>
        <v>33</v>
      </c>
      <c r="BB107" s="230">
        <f t="shared" ref="BB107:CC107" si="195">BB88+BB95+BB105</f>
        <v>33</v>
      </c>
      <c r="BC107" s="230">
        <f t="shared" si="195"/>
        <v>33</v>
      </c>
      <c r="BD107" s="230">
        <f t="shared" si="195"/>
        <v>33</v>
      </c>
      <c r="BE107" s="230">
        <f t="shared" si="195"/>
        <v>33</v>
      </c>
      <c r="BF107" s="230">
        <f t="shared" si="195"/>
        <v>33</v>
      </c>
      <c r="BG107" s="230">
        <f t="shared" si="195"/>
        <v>33</v>
      </c>
      <c r="BH107" s="230">
        <f t="shared" si="195"/>
        <v>33</v>
      </c>
      <c r="BI107" s="230">
        <f t="shared" si="195"/>
        <v>33</v>
      </c>
      <c r="BJ107" s="230">
        <f t="shared" si="195"/>
        <v>33</v>
      </c>
      <c r="BK107" s="230">
        <f t="shared" si="195"/>
        <v>33</v>
      </c>
      <c r="BL107" s="230">
        <f t="shared" si="195"/>
        <v>33</v>
      </c>
      <c r="BM107" s="230">
        <f t="shared" si="195"/>
        <v>33</v>
      </c>
      <c r="BN107" s="230">
        <f t="shared" si="195"/>
        <v>33</v>
      </c>
      <c r="BO107" s="230">
        <f t="shared" si="195"/>
        <v>33</v>
      </c>
      <c r="BP107" s="230">
        <f t="shared" si="195"/>
        <v>33</v>
      </c>
      <c r="BQ107" s="230">
        <f t="shared" si="195"/>
        <v>33</v>
      </c>
      <c r="BR107" s="230">
        <f t="shared" si="195"/>
        <v>33</v>
      </c>
      <c r="BS107" s="230">
        <f t="shared" si="195"/>
        <v>33</v>
      </c>
      <c r="BT107" s="230">
        <f t="shared" si="195"/>
        <v>33</v>
      </c>
      <c r="BU107" s="230">
        <f t="shared" si="195"/>
        <v>33</v>
      </c>
      <c r="BV107" s="230">
        <f t="shared" si="195"/>
        <v>33</v>
      </c>
      <c r="BW107" s="230">
        <f t="shared" si="195"/>
        <v>33</v>
      </c>
      <c r="BX107" s="230">
        <f t="shared" si="195"/>
        <v>33</v>
      </c>
      <c r="BY107" s="230">
        <f t="shared" si="195"/>
        <v>33</v>
      </c>
      <c r="BZ107" s="230">
        <f t="shared" si="195"/>
        <v>33</v>
      </c>
      <c r="CA107" s="230">
        <f t="shared" si="195"/>
        <v>33</v>
      </c>
      <c r="CB107" s="230">
        <f t="shared" si="195"/>
        <v>33</v>
      </c>
      <c r="CC107" s="230">
        <f t="shared" si="195"/>
        <v>33</v>
      </c>
      <c r="CE107" s="51"/>
    </row>
    <row r="108" spans="1:83" s="45" customFormat="1" ht="15" customHeight="1" outlineLevel="1" x14ac:dyDescent="0.3">
      <c r="A108" s="111"/>
      <c r="B108" s="30"/>
      <c r="C108" s="110"/>
      <c r="D108" s="143"/>
      <c r="E108" s="72"/>
      <c r="F108" s="72"/>
      <c r="G108" s="72"/>
      <c r="H108" s="72"/>
      <c r="I108" s="6"/>
      <c r="J108" s="6"/>
      <c r="K108" s="6"/>
      <c r="L108" s="6"/>
      <c r="M108" s="110"/>
      <c r="N108" s="5"/>
      <c r="O108" s="110"/>
      <c r="P108" s="5"/>
      <c r="Q108" s="5"/>
      <c r="R108" s="5"/>
      <c r="S108" s="5"/>
      <c r="T108" s="5"/>
      <c r="U108" s="97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97"/>
      <c r="AH108" s="97"/>
      <c r="AI108" s="97"/>
      <c r="AJ108" s="97"/>
      <c r="AK108" s="97"/>
      <c r="AL108" s="97"/>
      <c r="AM108" s="97"/>
      <c r="AN108" s="97"/>
      <c r="AO108" s="97"/>
      <c r="AP108" s="97"/>
      <c r="AQ108" s="97"/>
      <c r="AR108" s="97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  <c r="BP108" s="97"/>
      <c r="BQ108" s="97"/>
      <c r="BR108" s="97"/>
      <c r="BS108" s="97"/>
      <c r="BT108" s="97"/>
      <c r="BU108" s="97"/>
      <c r="BV108" s="97"/>
      <c r="BW108" s="97"/>
      <c r="BX108" s="97"/>
      <c r="BY108" s="97"/>
      <c r="BZ108" s="97"/>
      <c r="CA108" s="97"/>
      <c r="CB108" s="97"/>
      <c r="CC108" s="97"/>
      <c r="CD108" s="110"/>
      <c r="CE108" s="219"/>
    </row>
    <row r="109" spans="1:83" s="30" customFormat="1" ht="15" customHeight="1" outlineLevel="1" x14ac:dyDescent="0.3">
      <c r="A109" s="44"/>
      <c r="D109" s="141" t="s">
        <v>60</v>
      </c>
      <c r="E109" s="39"/>
      <c r="F109" s="39"/>
      <c r="G109" s="39"/>
      <c r="H109" s="39"/>
      <c r="I109" s="31"/>
      <c r="J109" s="31"/>
      <c r="K109" s="31"/>
      <c r="L109" s="31"/>
      <c r="M109" s="68"/>
      <c r="N109" s="29"/>
      <c r="O109" s="97"/>
      <c r="P109" s="29"/>
      <c r="Q109" s="29"/>
      <c r="R109" s="29"/>
      <c r="S109" s="29"/>
      <c r="T109" s="29"/>
      <c r="U109" s="97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46"/>
      <c r="BK109" s="46"/>
      <c r="BL109" s="46"/>
      <c r="BM109" s="46"/>
      <c r="BN109" s="46"/>
      <c r="BO109" s="46"/>
      <c r="BP109" s="46"/>
      <c r="BQ109" s="46"/>
      <c r="BR109" s="46"/>
      <c r="BS109" s="46"/>
      <c r="BT109" s="46"/>
      <c r="BU109" s="46"/>
      <c r="BV109" s="46"/>
      <c r="BW109" s="46"/>
      <c r="BX109" s="46"/>
      <c r="BY109" s="46"/>
      <c r="BZ109" s="46"/>
      <c r="CA109" s="46"/>
      <c r="CB109" s="46"/>
      <c r="CC109" s="46"/>
      <c r="CE109" s="44"/>
    </row>
    <row r="110" spans="1:83" s="30" customFormat="1" ht="15" customHeight="1" outlineLevel="1" x14ac:dyDescent="0.3">
      <c r="A110" s="44"/>
      <c r="D110" s="145"/>
      <c r="E110" s="56"/>
      <c r="F110" s="56"/>
      <c r="G110" s="56"/>
      <c r="H110" s="56"/>
      <c r="I110" s="52"/>
      <c r="J110" s="52"/>
      <c r="K110" s="52"/>
      <c r="L110" s="52"/>
      <c r="M110" s="47"/>
      <c r="N110" s="285"/>
      <c r="O110" s="283"/>
      <c r="P110" s="286"/>
      <c r="Q110" s="286"/>
      <c r="R110" s="286"/>
      <c r="S110" s="286"/>
      <c r="T110" s="286"/>
      <c r="U110" s="283"/>
      <c r="V110" s="287"/>
      <c r="W110" s="287"/>
      <c r="X110" s="287"/>
      <c r="Y110" s="287"/>
      <c r="Z110" s="287"/>
      <c r="AA110" s="287"/>
      <c r="AB110" s="287"/>
      <c r="AC110" s="287"/>
      <c r="AD110" s="287"/>
      <c r="AE110" s="287"/>
      <c r="AF110" s="287"/>
      <c r="AG110" s="287"/>
      <c r="AH110" s="287"/>
      <c r="AI110" s="287"/>
      <c r="AJ110" s="287"/>
      <c r="AK110" s="287"/>
      <c r="AL110" s="287"/>
      <c r="AM110" s="287"/>
      <c r="AN110" s="287"/>
      <c r="AO110" s="287"/>
      <c r="AP110" s="287"/>
      <c r="AQ110" s="287"/>
      <c r="AR110" s="287"/>
      <c r="AS110" s="287"/>
      <c r="AT110" s="287"/>
      <c r="AU110" s="287"/>
      <c r="AV110" s="287"/>
      <c r="AW110" s="287"/>
      <c r="AX110" s="287"/>
      <c r="AY110" s="287"/>
      <c r="AZ110" s="287"/>
      <c r="BA110" s="287"/>
      <c r="BB110" s="287"/>
      <c r="BC110" s="287"/>
      <c r="BD110" s="287"/>
      <c r="BE110" s="287"/>
      <c r="BF110" s="287"/>
      <c r="BG110" s="287"/>
      <c r="BH110" s="287"/>
      <c r="BI110" s="287"/>
      <c r="BJ110" s="287"/>
      <c r="BK110" s="287"/>
      <c r="BL110" s="287"/>
      <c r="BM110" s="287"/>
      <c r="BN110" s="287"/>
      <c r="BO110" s="287"/>
      <c r="BP110" s="287"/>
      <c r="BQ110" s="287"/>
      <c r="BR110" s="287"/>
      <c r="BS110" s="287"/>
      <c r="BT110" s="287"/>
      <c r="BU110" s="287"/>
      <c r="BV110" s="287"/>
      <c r="BW110" s="287"/>
      <c r="BX110" s="287"/>
      <c r="BY110" s="287"/>
      <c r="BZ110" s="287"/>
      <c r="CA110" s="287"/>
      <c r="CB110" s="287"/>
      <c r="CC110" s="287"/>
      <c r="CD110" s="29"/>
      <c r="CE110" s="44"/>
    </row>
    <row r="111" spans="1:83" s="30" customFormat="1" ht="15" customHeight="1" outlineLevel="1" x14ac:dyDescent="0.3">
      <c r="A111" s="44"/>
      <c r="D111" s="145"/>
      <c r="E111" s="56"/>
      <c r="F111" s="56"/>
      <c r="G111" s="56"/>
      <c r="H111" s="56"/>
      <c r="I111" s="52"/>
      <c r="J111" s="52"/>
      <c r="K111" s="52"/>
      <c r="L111" s="52"/>
      <c r="M111" s="47"/>
      <c r="N111" s="285"/>
      <c r="O111" s="283"/>
      <c r="P111" s="286"/>
      <c r="Q111" s="286"/>
      <c r="R111" s="286"/>
      <c r="S111" s="286"/>
      <c r="T111" s="286"/>
      <c r="U111" s="283"/>
      <c r="V111" s="287"/>
      <c r="W111" s="287"/>
      <c r="X111" s="287"/>
      <c r="Y111" s="287"/>
      <c r="Z111" s="287"/>
      <c r="AA111" s="287"/>
      <c r="AB111" s="287"/>
      <c r="AC111" s="287"/>
      <c r="AD111" s="287"/>
      <c r="AE111" s="287"/>
      <c r="AF111" s="287"/>
      <c r="AG111" s="287"/>
      <c r="AH111" s="287"/>
      <c r="AI111" s="287"/>
      <c r="AJ111" s="287"/>
      <c r="AK111" s="287"/>
      <c r="AL111" s="287"/>
      <c r="AM111" s="287"/>
      <c r="AN111" s="287"/>
      <c r="AO111" s="287"/>
      <c r="AP111" s="287"/>
      <c r="AQ111" s="287"/>
      <c r="AR111" s="287"/>
      <c r="AS111" s="287"/>
      <c r="AT111" s="287"/>
      <c r="AU111" s="287"/>
      <c r="AV111" s="287"/>
      <c r="AW111" s="287"/>
      <c r="AX111" s="287"/>
      <c r="AY111" s="287"/>
      <c r="AZ111" s="287"/>
      <c r="BA111" s="287"/>
      <c r="BB111" s="287"/>
      <c r="BC111" s="287"/>
      <c r="BD111" s="287"/>
      <c r="BE111" s="287"/>
      <c r="BF111" s="287"/>
      <c r="BG111" s="287"/>
      <c r="BH111" s="287"/>
      <c r="BI111" s="287"/>
      <c r="BJ111" s="287"/>
      <c r="BK111" s="287"/>
      <c r="BL111" s="287"/>
      <c r="BM111" s="287"/>
      <c r="BN111" s="287"/>
      <c r="BO111" s="287"/>
      <c r="BP111" s="287"/>
      <c r="BQ111" s="287"/>
      <c r="BR111" s="287"/>
      <c r="BS111" s="287"/>
      <c r="BT111" s="287"/>
      <c r="BU111" s="287"/>
      <c r="BV111" s="287"/>
      <c r="BW111" s="287"/>
      <c r="BX111" s="287"/>
      <c r="BY111" s="287"/>
      <c r="BZ111" s="287"/>
      <c r="CA111" s="287"/>
      <c r="CB111" s="287"/>
      <c r="CC111" s="287"/>
      <c r="CD111" s="29"/>
      <c r="CE111" s="44"/>
    </row>
    <row r="112" spans="1:83" s="45" customFormat="1" ht="15" customHeight="1" outlineLevel="1" x14ac:dyDescent="0.3">
      <c r="A112" s="111"/>
      <c r="B112" s="30"/>
      <c r="C112" s="110"/>
      <c r="D112" s="143"/>
      <c r="E112" s="72"/>
      <c r="F112" s="72"/>
      <c r="G112" s="72"/>
      <c r="H112" s="72"/>
      <c r="I112" s="6"/>
      <c r="J112" s="6"/>
      <c r="K112" s="6"/>
      <c r="L112" s="6"/>
      <c r="M112" s="110"/>
      <c r="N112" s="5"/>
      <c r="O112" s="110"/>
      <c r="P112" s="5"/>
      <c r="Q112" s="5"/>
      <c r="R112" s="5"/>
      <c r="S112" s="5"/>
      <c r="T112" s="5"/>
      <c r="U112" s="97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97"/>
      <c r="AK112" s="97"/>
      <c r="AL112" s="97"/>
      <c r="AM112" s="97"/>
      <c r="AN112" s="97"/>
      <c r="AO112" s="97"/>
      <c r="AP112" s="97"/>
      <c r="AQ112" s="97"/>
      <c r="AR112" s="97"/>
      <c r="AS112" s="97"/>
      <c r="AT112" s="97"/>
      <c r="AU112" s="97"/>
      <c r="AV112" s="97"/>
      <c r="AW112" s="97"/>
      <c r="AX112" s="97"/>
      <c r="AY112" s="97"/>
      <c r="AZ112" s="97"/>
      <c r="BA112" s="97"/>
      <c r="BB112" s="97"/>
      <c r="BC112" s="97"/>
      <c r="BD112" s="97"/>
      <c r="BE112" s="97"/>
      <c r="BF112" s="97"/>
      <c r="BG112" s="97"/>
      <c r="BH112" s="97"/>
      <c r="BI112" s="97"/>
      <c r="BJ112" s="97"/>
      <c r="BK112" s="97"/>
      <c r="BL112" s="97"/>
      <c r="BM112" s="97"/>
      <c r="BN112" s="97"/>
      <c r="BO112" s="97"/>
      <c r="BP112" s="97"/>
      <c r="BQ112" s="97"/>
      <c r="BR112" s="97"/>
      <c r="BS112" s="97"/>
      <c r="BT112" s="97"/>
      <c r="BU112" s="97"/>
      <c r="BV112" s="97"/>
      <c r="BW112" s="97"/>
      <c r="BX112" s="97"/>
      <c r="BY112" s="97"/>
      <c r="BZ112" s="97"/>
      <c r="CA112" s="97"/>
      <c r="CB112" s="97"/>
      <c r="CC112" s="97"/>
      <c r="CD112" s="110"/>
      <c r="CE112" s="219"/>
    </row>
    <row r="113" spans="1:83" s="30" customFormat="1" ht="15" customHeight="1" outlineLevel="1" x14ac:dyDescent="0.3">
      <c r="A113" s="44"/>
      <c r="D113" s="142" t="s">
        <v>49</v>
      </c>
      <c r="E113" s="90"/>
      <c r="F113" s="90"/>
      <c r="G113" s="90"/>
      <c r="H113" s="90"/>
      <c r="I113" s="91"/>
      <c r="J113" s="91"/>
      <c r="K113" s="91"/>
      <c r="L113" s="91"/>
      <c r="M113" s="92"/>
      <c r="N113" s="93"/>
      <c r="O113" s="29"/>
      <c r="P113" s="93"/>
      <c r="Q113" s="93"/>
      <c r="R113" s="93"/>
      <c r="S113" s="93"/>
      <c r="T113" s="116"/>
      <c r="U113" s="29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  <c r="AO113" s="93"/>
      <c r="AP113" s="93"/>
      <c r="AQ113" s="93"/>
      <c r="AR113" s="93"/>
      <c r="AS113" s="93"/>
      <c r="AT113" s="93"/>
      <c r="AU113" s="93"/>
      <c r="AV113" s="93"/>
      <c r="AW113" s="93"/>
      <c r="AX113" s="93"/>
      <c r="AY113" s="93"/>
      <c r="AZ113" s="93"/>
      <c r="BA113" s="93"/>
      <c r="BB113" s="93"/>
      <c r="BC113" s="93"/>
      <c r="BD113" s="93"/>
      <c r="BE113" s="93"/>
      <c r="BF113" s="93"/>
      <c r="BG113" s="93"/>
      <c r="BH113" s="93"/>
      <c r="BI113" s="93"/>
      <c r="BJ113" s="93"/>
      <c r="BK113" s="93"/>
      <c r="BL113" s="93"/>
      <c r="BM113" s="93"/>
      <c r="BN113" s="93"/>
      <c r="BO113" s="93"/>
      <c r="BP113" s="93"/>
      <c r="BQ113" s="93"/>
      <c r="BR113" s="93"/>
      <c r="BS113" s="93"/>
      <c r="BT113" s="93"/>
      <c r="BU113" s="93"/>
      <c r="BV113" s="93"/>
      <c r="BW113" s="93"/>
      <c r="BX113" s="93"/>
      <c r="BY113" s="93"/>
      <c r="BZ113" s="93"/>
      <c r="CA113" s="93"/>
      <c r="CB113" s="93"/>
      <c r="CC113" s="92"/>
      <c r="CE113" s="44"/>
    </row>
    <row r="114" spans="1:83" s="45" customFormat="1" ht="15" customHeight="1" outlineLevel="1" x14ac:dyDescent="0.3">
      <c r="A114" s="111"/>
      <c r="B114" s="30"/>
      <c r="C114" s="110"/>
      <c r="D114" s="131"/>
      <c r="E114" s="114"/>
      <c r="F114" s="114"/>
      <c r="G114" s="114"/>
      <c r="H114" s="114"/>
      <c r="I114" s="6"/>
      <c r="J114" s="6"/>
      <c r="K114" s="6"/>
      <c r="L114" s="6"/>
      <c r="M114" s="5"/>
      <c r="N114" s="5"/>
      <c r="O114" s="110"/>
      <c r="P114" s="5"/>
      <c r="Q114" s="5"/>
      <c r="R114" s="5"/>
      <c r="S114" s="5"/>
      <c r="T114" s="5"/>
      <c r="U114" s="97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97"/>
      <c r="AK114" s="97"/>
      <c r="AL114" s="97"/>
      <c r="AM114" s="97"/>
      <c r="AN114" s="97"/>
      <c r="AO114" s="97"/>
      <c r="AP114" s="97"/>
      <c r="AQ114" s="97"/>
      <c r="AR114" s="97"/>
      <c r="AS114" s="97"/>
      <c r="AT114" s="97"/>
      <c r="AU114" s="97"/>
      <c r="AV114" s="97"/>
      <c r="AW114" s="97"/>
      <c r="AX114" s="97"/>
      <c r="AY114" s="97"/>
      <c r="AZ114" s="97"/>
      <c r="BA114" s="97"/>
      <c r="BB114" s="97"/>
      <c r="BC114" s="97"/>
      <c r="BD114" s="97"/>
      <c r="BE114" s="97"/>
      <c r="BF114" s="97"/>
      <c r="BG114" s="97"/>
      <c r="BH114" s="97"/>
      <c r="BI114" s="97"/>
      <c r="BJ114" s="97"/>
      <c r="BK114" s="97"/>
      <c r="BL114" s="97"/>
      <c r="BM114" s="97"/>
      <c r="BN114" s="97"/>
      <c r="BO114" s="97"/>
      <c r="BP114" s="97"/>
      <c r="BQ114" s="97"/>
      <c r="BR114" s="97"/>
      <c r="BS114" s="97"/>
      <c r="BT114" s="97"/>
      <c r="BU114" s="97"/>
      <c r="BV114" s="97"/>
      <c r="BW114" s="97"/>
      <c r="BX114" s="97"/>
      <c r="BY114" s="97"/>
      <c r="BZ114" s="97"/>
      <c r="CA114" s="97"/>
      <c r="CB114" s="97"/>
      <c r="CC114" s="97"/>
      <c r="CD114" s="110"/>
      <c r="CE114" s="219"/>
    </row>
    <row r="115" spans="1:83" s="45" customFormat="1" ht="15" customHeight="1" outlineLevel="1" x14ac:dyDescent="0.3">
      <c r="A115" s="111"/>
      <c r="B115" s="30"/>
      <c r="C115" s="110"/>
      <c r="D115" s="288" t="str">
        <f t="shared" ref="D115:D121" si="196">D81</f>
        <v>Производство</v>
      </c>
      <c r="E115" s="28"/>
      <c r="F115" s="28"/>
      <c r="G115" s="28"/>
      <c r="H115" s="28"/>
      <c r="I115" s="6"/>
      <c r="J115" s="6"/>
      <c r="K115" s="6"/>
      <c r="L115" s="6"/>
      <c r="M115" s="5" t="s">
        <v>51</v>
      </c>
      <c r="N115" s="5"/>
      <c r="O115" s="110"/>
      <c r="P115" s="5"/>
      <c r="Q115" s="5"/>
      <c r="R115" s="5"/>
      <c r="S115" s="5"/>
      <c r="T115" s="5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97"/>
      <c r="AO115" s="97"/>
      <c r="AP115" s="97"/>
      <c r="AQ115" s="97"/>
      <c r="AR115" s="97"/>
      <c r="AS115" s="97"/>
      <c r="AT115" s="97"/>
      <c r="AU115" s="97"/>
      <c r="AV115" s="97"/>
      <c r="AW115" s="97"/>
      <c r="AX115" s="97"/>
      <c r="AY115" s="97"/>
      <c r="AZ115" s="97"/>
      <c r="BA115" s="97"/>
      <c r="BB115" s="97"/>
      <c r="BC115" s="97"/>
      <c r="BD115" s="97"/>
      <c r="BE115" s="97"/>
      <c r="BF115" s="97"/>
      <c r="BG115" s="97"/>
      <c r="BH115" s="97"/>
      <c r="BI115" s="97"/>
      <c r="BJ115" s="97"/>
      <c r="BK115" s="97"/>
      <c r="BL115" s="97"/>
      <c r="BM115" s="97"/>
      <c r="BN115" s="97"/>
      <c r="BO115" s="97"/>
      <c r="BP115" s="97"/>
      <c r="BQ115" s="97"/>
      <c r="BR115" s="97"/>
      <c r="BS115" s="97"/>
      <c r="BT115" s="97"/>
      <c r="BU115" s="97"/>
      <c r="BV115" s="97"/>
      <c r="BW115" s="97"/>
      <c r="BX115" s="97"/>
      <c r="BY115" s="97"/>
      <c r="BZ115" s="97"/>
      <c r="CA115" s="97"/>
      <c r="CB115" s="97"/>
      <c r="CC115" s="97"/>
      <c r="CD115" s="110"/>
      <c r="CE115" s="219"/>
    </row>
    <row r="116" spans="1:83" s="45" customFormat="1" ht="15" customHeight="1" outlineLevel="1" x14ac:dyDescent="0.3">
      <c r="A116" s="111"/>
      <c r="B116" s="30"/>
      <c r="C116" s="110"/>
      <c r="D116" s="14" t="str">
        <f t="shared" si="196"/>
        <v>Начальник цеха</v>
      </c>
      <c r="E116" s="24"/>
      <c r="F116" s="24"/>
      <c r="G116" s="24"/>
      <c r="H116" s="24"/>
      <c r="I116" s="31" t="str">
        <f>Ввод!$M$12</f>
        <v>руб</v>
      </c>
      <c r="J116" s="31"/>
      <c r="K116" s="31"/>
      <c r="L116" s="31"/>
      <c r="M116" s="95">
        <v>-150000</v>
      </c>
      <c r="N116" s="191">
        <f t="shared" ref="N116:N122" si="197">SUM(P116:T116)</f>
        <v>-8400000</v>
      </c>
      <c r="O116" s="249"/>
      <c r="P116" s="191">
        <f>SUMIF(Расчет!$V$4:$CC$4,Расчет!P$4,$V116:$CC116)</f>
        <v>-1200000</v>
      </c>
      <c r="Q116" s="191">
        <f>SUMIF(Расчет!$V$4:$CC$4,Расчет!Q$4,$V116:$CC116)</f>
        <v>-1800000</v>
      </c>
      <c r="R116" s="191">
        <f>SUMIF(Расчет!$V$4:$CC$4,Расчет!R$4,$V116:$CC116)</f>
        <v>-1800000</v>
      </c>
      <c r="S116" s="191">
        <f>SUMIF(Расчет!$V$4:$CC$4,Расчет!S$4,$V116:$CC116)</f>
        <v>-1800000</v>
      </c>
      <c r="T116" s="191">
        <f>SUMIF(Расчет!$V$4:$CC$4,Расчет!T$4,$V116:$CC116)</f>
        <v>-1800000</v>
      </c>
      <c r="U116" s="139"/>
      <c r="V116" s="191">
        <f t="shared" ref="V116:BA116" si="198">V82*$M116</f>
        <v>0</v>
      </c>
      <c r="W116" s="191">
        <f t="shared" si="198"/>
        <v>0</v>
      </c>
      <c r="X116" s="191">
        <f t="shared" si="198"/>
        <v>0</v>
      </c>
      <c r="Y116" s="191">
        <f t="shared" si="198"/>
        <v>0</v>
      </c>
      <c r="Z116" s="191">
        <f t="shared" si="198"/>
        <v>-150000</v>
      </c>
      <c r="AA116" s="191">
        <f t="shared" si="198"/>
        <v>-150000</v>
      </c>
      <c r="AB116" s="191">
        <f t="shared" si="198"/>
        <v>-150000</v>
      </c>
      <c r="AC116" s="191">
        <f t="shared" si="198"/>
        <v>-150000</v>
      </c>
      <c r="AD116" s="191">
        <f t="shared" si="198"/>
        <v>-150000</v>
      </c>
      <c r="AE116" s="191">
        <f t="shared" si="198"/>
        <v>-150000</v>
      </c>
      <c r="AF116" s="191">
        <f t="shared" si="198"/>
        <v>-150000</v>
      </c>
      <c r="AG116" s="191">
        <f t="shared" si="198"/>
        <v>-150000</v>
      </c>
      <c r="AH116" s="191">
        <f t="shared" si="198"/>
        <v>-150000</v>
      </c>
      <c r="AI116" s="191">
        <f t="shared" si="198"/>
        <v>-150000</v>
      </c>
      <c r="AJ116" s="191">
        <f t="shared" si="198"/>
        <v>-150000</v>
      </c>
      <c r="AK116" s="191">
        <f t="shared" si="198"/>
        <v>-150000</v>
      </c>
      <c r="AL116" s="191">
        <f t="shared" si="198"/>
        <v>-150000</v>
      </c>
      <c r="AM116" s="191">
        <f t="shared" si="198"/>
        <v>-150000</v>
      </c>
      <c r="AN116" s="191">
        <f t="shared" si="198"/>
        <v>-150000</v>
      </c>
      <c r="AO116" s="191">
        <f t="shared" si="198"/>
        <v>-150000</v>
      </c>
      <c r="AP116" s="191">
        <f t="shared" si="198"/>
        <v>-150000</v>
      </c>
      <c r="AQ116" s="191">
        <f t="shared" si="198"/>
        <v>-150000</v>
      </c>
      <c r="AR116" s="191">
        <f t="shared" si="198"/>
        <v>-150000</v>
      </c>
      <c r="AS116" s="191">
        <f t="shared" si="198"/>
        <v>-150000</v>
      </c>
      <c r="AT116" s="191">
        <f t="shared" si="198"/>
        <v>-150000</v>
      </c>
      <c r="AU116" s="191">
        <f t="shared" si="198"/>
        <v>-150000</v>
      </c>
      <c r="AV116" s="191">
        <f t="shared" si="198"/>
        <v>-150000</v>
      </c>
      <c r="AW116" s="191">
        <f t="shared" si="198"/>
        <v>-150000</v>
      </c>
      <c r="AX116" s="191">
        <f t="shared" si="198"/>
        <v>-150000</v>
      </c>
      <c r="AY116" s="191">
        <f t="shared" si="198"/>
        <v>-150000</v>
      </c>
      <c r="AZ116" s="191">
        <f t="shared" si="198"/>
        <v>-150000</v>
      </c>
      <c r="BA116" s="191">
        <f t="shared" si="198"/>
        <v>-150000</v>
      </c>
      <c r="BB116" s="191">
        <f t="shared" ref="BB116:CC116" si="199">BB82*$M116</f>
        <v>-150000</v>
      </c>
      <c r="BC116" s="191">
        <f t="shared" si="199"/>
        <v>-150000</v>
      </c>
      <c r="BD116" s="191">
        <f t="shared" si="199"/>
        <v>-150000</v>
      </c>
      <c r="BE116" s="191">
        <f t="shared" si="199"/>
        <v>-150000</v>
      </c>
      <c r="BF116" s="191">
        <f t="shared" si="199"/>
        <v>-150000</v>
      </c>
      <c r="BG116" s="191">
        <f t="shared" si="199"/>
        <v>-150000</v>
      </c>
      <c r="BH116" s="191">
        <f t="shared" si="199"/>
        <v>-150000</v>
      </c>
      <c r="BI116" s="191">
        <f t="shared" si="199"/>
        <v>-150000</v>
      </c>
      <c r="BJ116" s="191">
        <f t="shared" si="199"/>
        <v>-150000</v>
      </c>
      <c r="BK116" s="191">
        <f t="shared" si="199"/>
        <v>-150000</v>
      </c>
      <c r="BL116" s="191">
        <f t="shared" si="199"/>
        <v>-150000</v>
      </c>
      <c r="BM116" s="191">
        <f t="shared" si="199"/>
        <v>-150000</v>
      </c>
      <c r="BN116" s="191">
        <f t="shared" si="199"/>
        <v>-150000</v>
      </c>
      <c r="BO116" s="191">
        <f t="shared" si="199"/>
        <v>-150000</v>
      </c>
      <c r="BP116" s="191">
        <f t="shared" si="199"/>
        <v>-150000</v>
      </c>
      <c r="BQ116" s="191">
        <f t="shared" si="199"/>
        <v>-150000</v>
      </c>
      <c r="BR116" s="191">
        <f t="shared" si="199"/>
        <v>-150000</v>
      </c>
      <c r="BS116" s="191">
        <f t="shared" si="199"/>
        <v>-150000</v>
      </c>
      <c r="BT116" s="191">
        <f t="shared" si="199"/>
        <v>-150000</v>
      </c>
      <c r="BU116" s="191">
        <f t="shared" si="199"/>
        <v>-150000</v>
      </c>
      <c r="BV116" s="191">
        <f t="shared" si="199"/>
        <v>-150000</v>
      </c>
      <c r="BW116" s="191">
        <f t="shared" si="199"/>
        <v>-150000</v>
      </c>
      <c r="BX116" s="191">
        <f t="shared" si="199"/>
        <v>-150000</v>
      </c>
      <c r="BY116" s="191">
        <f t="shared" si="199"/>
        <v>-150000</v>
      </c>
      <c r="BZ116" s="191">
        <f t="shared" si="199"/>
        <v>-150000</v>
      </c>
      <c r="CA116" s="191">
        <f t="shared" si="199"/>
        <v>-150000</v>
      </c>
      <c r="CB116" s="191">
        <f t="shared" si="199"/>
        <v>-150000</v>
      </c>
      <c r="CC116" s="191">
        <f t="shared" si="199"/>
        <v>-150000</v>
      </c>
      <c r="CD116" s="110"/>
      <c r="CE116" s="219"/>
    </row>
    <row r="117" spans="1:83" s="45" customFormat="1" ht="15" customHeight="1" outlineLevel="1" x14ac:dyDescent="0.3">
      <c r="A117" s="111"/>
      <c r="B117" s="30"/>
      <c r="C117" s="110"/>
      <c r="D117" s="14" t="str">
        <f t="shared" si="196"/>
        <v>Сварщик</v>
      </c>
      <c r="E117" s="24"/>
      <c r="F117" s="24"/>
      <c r="G117" s="24"/>
      <c r="H117" s="24"/>
      <c r="I117" s="31" t="str">
        <f>Ввод!$M$12</f>
        <v>руб</v>
      </c>
      <c r="J117" s="31"/>
      <c r="K117" s="31"/>
      <c r="L117" s="31"/>
      <c r="M117" s="95">
        <v>-90000</v>
      </c>
      <c r="N117" s="191">
        <f t="shared" si="197"/>
        <v>-19620000</v>
      </c>
      <c r="O117" s="249"/>
      <c r="P117" s="191">
        <f>SUMIF(Расчет!$V$4:$CC$4,Расчет!P$4,$V117:$CC117)</f>
        <v>-2340000</v>
      </c>
      <c r="Q117" s="191">
        <f>SUMIF(Расчет!$V$4:$CC$4,Расчет!Q$4,$V117:$CC117)</f>
        <v>-4320000</v>
      </c>
      <c r="R117" s="191">
        <f>SUMIF(Расчет!$V$4:$CC$4,Расчет!R$4,$V117:$CC117)</f>
        <v>-4320000</v>
      </c>
      <c r="S117" s="191">
        <f>SUMIF(Расчет!$V$4:$CC$4,Расчет!S$4,$V117:$CC117)</f>
        <v>-4320000</v>
      </c>
      <c r="T117" s="191">
        <f>SUMIF(Расчет!$V$4:$CC$4,Расчет!T$4,$V117:$CC117)</f>
        <v>-4320000</v>
      </c>
      <c r="U117" s="139"/>
      <c r="V117" s="191">
        <f t="shared" ref="V117:BA117" si="200">V83*$M117</f>
        <v>0</v>
      </c>
      <c r="W117" s="191">
        <f t="shared" si="200"/>
        <v>0</v>
      </c>
      <c r="X117" s="191">
        <f t="shared" si="200"/>
        <v>0</v>
      </c>
      <c r="Y117" s="191">
        <f t="shared" si="200"/>
        <v>0</v>
      </c>
      <c r="Z117" s="191">
        <f t="shared" si="200"/>
        <v>-180000</v>
      </c>
      <c r="AA117" s="191">
        <f t="shared" si="200"/>
        <v>-180000</v>
      </c>
      <c r="AB117" s="191">
        <f t="shared" si="200"/>
        <v>-180000</v>
      </c>
      <c r="AC117" s="191">
        <f t="shared" si="200"/>
        <v>-360000</v>
      </c>
      <c r="AD117" s="191">
        <f t="shared" si="200"/>
        <v>-360000</v>
      </c>
      <c r="AE117" s="191">
        <f t="shared" si="200"/>
        <v>-360000</v>
      </c>
      <c r="AF117" s="191">
        <f t="shared" si="200"/>
        <v>-360000</v>
      </c>
      <c r="AG117" s="191">
        <f t="shared" si="200"/>
        <v>-360000</v>
      </c>
      <c r="AH117" s="191">
        <f t="shared" si="200"/>
        <v>-360000</v>
      </c>
      <c r="AI117" s="191">
        <f t="shared" si="200"/>
        <v>-360000</v>
      </c>
      <c r="AJ117" s="191">
        <f t="shared" si="200"/>
        <v>-360000</v>
      </c>
      <c r="AK117" s="191">
        <f t="shared" si="200"/>
        <v>-360000</v>
      </c>
      <c r="AL117" s="191">
        <f t="shared" si="200"/>
        <v>-360000</v>
      </c>
      <c r="AM117" s="191">
        <f t="shared" si="200"/>
        <v>-360000</v>
      </c>
      <c r="AN117" s="191">
        <f t="shared" si="200"/>
        <v>-360000</v>
      </c>
      <c r="AO117" s="191">
        <f t="shared" si="200"/>
        <v>-360000</v>
      </c>
      <c r="AP117" s="191">
        <f t="shared" si="200"/>
        <v>-360000</v>
      </c>
      <c r="AQ117" s="191">
        <f t="shared" si="200"/>
        <v>-360000</v>
      </c>
      <c r="AR117" s="191">
        <f t="shared" si="200"/>
        <v>-360000</v>
      </c>
      <c r="AS117" s="191">
        <f t="shared" si="200"/>
        <v>-360000</v>
      </c>
      <c r="AT117" s="191">
        <f t="shared" si="200"/>
        <v>-360000</v>
      </c>
      <c r="AU117" s="191">
        <f t="shared" si="200"/>
        <v>-360000</v>
      </c>
      <c r="AV117" s="191">
        <f t="shared" si="200"/>
        <v>-360000</v>
      </c>
      <c r="AW117" s="191">
        <f t="shared" si="200"/>
        <v>-360000</v>
      </c>
      <c r="AX117" s="191">
        <f t="shared" si="200"/>
        <v>-360000</v>
      </c>
      <c r="AY117" s="191">
        <f t="shared" si="200"/>
        <v>-360000</v>
      </c>
      <c r="AZ117" s="191">
        <f t="shared" si="200"/>
        <v>-360000</v>
      </c>
      <c r="BA117" s="191">
        <f t="shared" si="200"/>
        <v>-360000</v>
      </c>
      <c r="BB117" s="191">
        <f t="shared" ref="BB117:CC117" si="201">BB83*$M117</f>
        <v>-360000</v>
      </c>
      <c r="BC117" s="191">
        <f t="shared" si="201"/>
        <v>-360000</v>
      </c>
      <c r="BD117" s="191">
        <f t="shared" si="201"/>
        <v>-360000</v>
      </c>
      <c r="BE117" s="191">
        <f t="shared" si="201"/>
        <v>-360000</v>
      </c>
      <c r="BF117" s="191">
        <f t="shared" si="201"/>
        <v>-360000</v>
      </c>
      <c r="BG117" s="191">
        <f t="shared" si="201"/>
        <v>-360000</v>
      </c>
      <c r="BH117" s="191">
        <f t="shared" si="201"/>
        <v>-360000</v>
      </c>
      <c r="BI117" s="191">
        <f t="shared" si="201"/>
        <v>-360000</v>
      </c>
      <c r="BJ117" s="191">
        <f t="shared" si="201"/>
        <v>-360000</v>
      </c>
      <c r="BK117" s="191">
        <f t="shared" si="201"/>
        <v>-360000</v>
      </c>
      <c r="BL117" s="191">
        <f t="shared" si="201"/>
        <v>-360000</v>
      </c>
      <c r="BM117" s="191">
        <f t="shared" si="201"/>
        <v>-360000</v>
      </c>
      <c r="BN117" s="191">
        <f t="shared" si="201"/>
        <v>-360000</v>
      </c>
      <c r="BO117" s="191">
        <f t="shared" si="201"/>
        <v>-360000</v>
      </c>
      <c r="BP117" s="191">
        <f t="shared" si="201"/>
        <v>-360000</v>
      </c>
      <c r="BQ117" s="191">
        <f t="shared" si="201"/>
        <v>-360000</v>
      </c>
      <c r="BR117" s="191">
        <f t="shared" si="201"/>
        <v>-360000</v>
      </c>
      <c r="BS117" s="191">
        <f t="shared" si="201"/>
        <v>-360000</v>
      </c>
      <c r="BT117" s="191">
        <f t="shared" si="201"/>
        <v>-360000</v>
      </c>
      <c r="BU117" s="191">
        <f t="shared" si="201"/>
        <v>-360000</v>
      </c>
      <c r="BV117" s="191">
        <f t="shared" si="201"/>
        <v>-360000</v>
      </c>
      <c r="BW117" s="191">
        <f t="shared" si="201"/>
        <v>-360000</v>
      </c>
      <c r="BX117" s="191">
        <f t="shared" si="201"/>
        <v>-360000</v>
      </c>
      <c r="BY117" s="191">
        <f t="shared" si="201"/>
        <v>-360000</v>
      </c>
      <c r="BZ117" s="191">
        <f t="shared" si="201"/>
        <v>-360000</v>
      </c>
      <c r="CA117" s="191">
        <f t="shared" si="201"/>
        <v>-360000</v>
      </c>
      <c r="CB117" s="191">
        <f t="shared" si="201"/>
        <v>-360000</v>
      </c>
      <c r="CC117" s="191">
        <f t="shared" si="201"/>
        <v>-360000</v>
      </c>
      <c r="CD117" s="110"/>
      <c r="CE117" s="219"/>
    </row>
    <row r="118" spans="1:83" s="45" customFormat="1" ht="15" customHeight="1" outlineLevel="1" x14ac:dyDescent="0.3">
      <c r="A118" s="111"/>
      <c r="B118" s="30"/>
      <c r="C118" s="110"/>
      <c r="D118" s="14" t="str">
        <f t="shared" si="196"/>
        <v>Оператор ЧПУ</v>
      </c>
      <c r="E118" s="24"/>
      <c r="F118" s="24"/>
      <c r="G118" s="24"/>
      <c r="H118" s="24"/>
      <c r="I118" s="31" t="str">
        <f>Ввод!$M$12</f>
        <v>руб</v>
      </c>
      <c r="J118" s="31"/>
      <c r="K118" s="31"/>
      <c r="L118" s="31"/>
      <c r="M118" s="95">
        <v>-120000</v>
      </c>
      <c r="N118" s="191">
        <f t="shared" si="197"/>
        <v>-13080000</v>
      </c>
      <c r="O118" s="249"/>
      <c r="P118" s="191">
        <f>SUMIF(Расчет!$V$4:$CC$4,Расчет!P$4,$V118:$CC118)</f>
        <v>-1560000</v>
      </c>
      <c r="Q118" s="191">
        <f>SUMIF(Расчет!$V$4:$CC$4,Расчет!Q$4,$V118:$CC118)</f>
        <v>-2880000</v>
      </c>
      <c r="R118" s="191">
        <f>SUMIF(Расчет!$V$4:$CC$4,Расчет!R$4,$V118:$CC118)</f>
        <v>-2880000</v>
      </c>
      <c r="S118" s="191">
        <f>SUMIF(Расчет!$V$4:$CC$4,Расчет!S$4,$V118:$CC118)</f>
        <v>-2880000</v>
      </c>
      <c r="T118" s="191">
        <f>SUMIF(Расчет!$V$4:$CC$4,Расчет!T$4,$V118:$CC118)</f>
        <v>-2880000</v>
      </c>
      <c r="U118" s="139"/>
      <c r="V118" s="191">
        <f t="shared" ref="V118:BA118" si="202">V84*$M118</f>
        <v>0</v>
      </c>
      <c r="W118" s="191">
        <f t="shared" si="202"/>
        <v>0</v>
      </c>
      <c r="X118" s="191">
        <f t="shared" si="202"/>
        <v>0</v>
      </c>
      <c r="Y118" s="191">
        <f t="shared" si="202"/>
        <v>0</v>
      </c>
      <c r="Z118" s="191">
        <f t="shared" si="202"/>
        <v>-120000</v>
      </c>
      <c r="AA118" s="191">
        <f t="shared" si="202"/>
        <v>-120000</v>
      </c>
      <c r="AB118" s="191">
        <f t="shared" si="202"/>
        <v>-120000</v>
      </c>
      <c r="AC118" s="191">
        <f t="shared" si="202"/>
        <v>-240000</v>
      </c>
      <c r="AD118" s="191">
        <f t="shared" si="202"/>
        <v>-240000</v>
      </c>
      <c r="AE118" s="191">
        <f t="shared" si="202"/>
        <v>-240000</v>
      </c>
      <c r="AF118" s="191">
        <f t="shared" si="202"/>
        <v>-240000</v>
      </c>
      <c r="AG118" s="191">
        <f t="shared" si="202"/>
        <v>-240000</v>
      </c>
      <c r="AH118" s="191">
        <f t="shared" si="202"/>
        <v>-240000</v>
      </c>
      <c r="AI118" s="191">
        <f t="shared" si="202"/>
        <v>-240000</v>
      </c>
      <c r="AJ118" s="191">
        <f t="shared" si="202"/>
        <v>-240000</v>
      </c>
      <c r="AK118" s="191">
        <f t="shared" si="202"/>
        <v>-240000</v>
      </c>
      <c r="AL118" s="191">
        <f t="shared" si="202"/>
        <v>-240000</v>
      </c>
      <c r="AM118" s="191">
        <f t="shared" si="202"/>
        <v>-240000</v>
      </c>
      <c r="AN118" s="191">
        <f t="shared" si="202"/>
        <v>-240000</v>
      </c>
      <c r="AO118" s="191">
        <f t="shared" si="202"/>
        <v>-240000</v>
      </c>
      <c r="AP118" s="191">
        <f t="shared" si="202"/>
        <v>-240000</v>
      </c>
      <c r="AQ118" s="191">
        <f t="shared" si="202"/>
        <v>-240000</v>
      </c>
      <c r="AR118" s="191">
        <f t="shared" si="202"/>
        <v>-240000</v>
      </c>
      <c r="AS118" s="191">
        <f t="shared" si="202"/>
        <v>-240000</v>
      </c>
      <c r="AT118" s="191">
        <f t="shared" si="202"/>
        <v>-240000</v>
      </c>
      <c r="AU118" s="191">
        <f t="shared" si="202"/>
        <v>-240000</v>
      </c>
      <c r="AV118" s="191">
        <f t="shared" si="202"/>
        <v>-240000</v>
      </c>
      <c r="AW118" s="191">
        <f t="shared" si="202"/>
        <v>-240000</v>
      </c>
      <c r="AX118" s="191">
        <f t="shared" si="202"/>
        <v>-240000</v>
      </c>
      <c r="AY118" s="191">
        <f t="shared" si="202"/>
        <v>-240000</v>
      </c>
      <c r="AZ118" s="191">
        <f t="shared" si="202"/>
        <v>-240000</v>
      </c>
      <c r="BA118" s="191">
        <f t="shared" si="202"/>
        <v>-240000</v>
      </c>
      <c r="BB118" s="191">
        <f t="shared" ref="BB118:CC118" si="203">BB84*$M118</f>
        <v>-240000</v>
      </c>
      <c r="BC118" s="191">
        <f t="shared" si="203"/>
        <v>-240000</v>
      </c>
      <c r="BD118" s="191">
        <f t="shared" si="203"/>
        <v>-240000</v>
      </c>
      <c r="BE118" s="191">
        <f t="shared" si="203"/>
        <v>-240000</v>
      </c>
      <c r="BF118" s="191">
        <f t="shared" si="203"/>
        <v>-240000</v>
      </c>
      <c r="BG118" s="191">
        <f t="shared" si="203"/>
        <v>-240000</v>
      </c>
      <c r="BH118" s="191">
        <f t="shared" si="203"/>
        <v>-240000</v>
      </c>
      <c r="BI118" s="191">
        <f t="shared" si="203"/>
        <v>-240000</v>
      </c>
      <c r="BJ118" s="191">
        <f t="shared" si="203"/>
        <v>-240000</v>
      </c>
      <c r="BK118" s="191">
        <f t="shared" si="203"/>
        <v>-240000</v>
      </c>
      <c r="BL118" s="191">
        <f t="shared" si="203"/>
        <v>-240000</v>
      </c>
      <c r="BM118" s="191">
        <f t="shared" si="203"/>
        <v>-240000</v>
      </c>
      <c r="BN118" s="191">
        <f t="shared" si="203"/>
        <v>-240000</v>
      </c>
      <c r="BO118" s="191">
        <f t="shared" si="203"/>
        <v>-240000</v>
      </c>
      <c r="BP118" s="191">
        <f t="shared" si="203"/>
        <v>-240000</v>
      </c>
      <c r="BQ118" s="191">
        <f t="shared" si="203"/>
        <v>-240000</v>
      </c>
      <c r="BR118" s="191">
        <f t="shared" si="203"/>
        <v>-240000</v>
      </c>
      <c r="BS118" s="191">
        <f t="shared" si="203"/>
        <v>-240000</v>
      </c>
      <c r="BT118" s="191">
        <f t="shared" si="203"/>
        <v>-240000</v>
      </c>
      <c r="BU118" s="191">
        <f t="shared" si="203"/>
        <v>-240000</v>
      </c>
      <c r="BV118" s="191">
        <f t="shared" si="203"/>
        <v>-240000</v>
      </c>
      <c r="BW118" s="191">
        <f t="shared" si="203"/>
        <v>-240000</v>
      </c>
      <c r="BX118" s="191">
        <f t="shared" si="203"/>
        <v>-240000</v>
      </c>
      <c r="BY118" s="191">
        <f t="shared" si="203"/>
        <v>-240000</v>
      </c>
      <c r="BZ118" s="191">
        <f t="shared" si="203"/>
        <v>-240000</v>
      </c>
      <c r="CA118" s="191">
        <f t="shared" si="203"/>
        <v>-240000</v>
      </c>
      <c r="CB118" s="191">
        <f t="shared" si="203"/>
        <v>-240000</v>
      </c>
      <c r="CC118" s="191">
        <f t="shared" si="203"/>
        <v>-240000</v>
      </c>
      <c r="CD118" s="110"/>
      <c r="CE118" s="219"/>
    </row>
    <row r="119" spans="1:83" s="45" customFormat="1" ht="15" customHeight="1" outlineLevel="1" x14ac:dyDescent="0.3">
      <c r="A119" s="111"/>
      <c r="B119" s="30"/>
      <c r="C119" s="110"/>
      <c r="D119" s="14" t="str">
        <f t="shared" si="196"/>
        <v>Токарь</v>
      </c>
      <c r="E119" s="24"/>
      <c r="F119" s="24"/>
      <c r="G119" s="24"/>
      <c r="H119" s="24"/>
      <c r="I119" s="31" t="str">
        <f>Ввод!$M$12</f>
        <v>руб</v>
      </c>
      <c r="J119" s="31"/>
      <c r="K119" s="31"/>
      <c r="L119" s="31"/>
      <c r="M119" s="95">
        <v>-120000</v>
      </c>
      <c r="N119" s="191">
        <f t="shared" si="197"/>
        <v>-13080000</v>
      </c>
      <c r="O119" s="249"/>
      <c r="P119" s="191">
        <f>SUMIF(Расчет!$V$4:$CC$4,Расчет!P$4,$V119:$CC119)</f>
        <v>-1560000</v>
      </c>
      <c r="Q119" s="191">
        <f>SUMIF(Расчет!$V$4:$CC$4,Расчет!Q$4,$V119:$CC119)</f>
        <v>-2880000</v>
      </c>
      <c r="R119" s="191">
        <f>SUMIF(Расчет!$V$4:$CC$4,Расчет!R$4,$V119:$CC119)</f>
        <v>-2880000</v>
      </c>
      <c r="S119" s="191">
        <f>SUMIF(Расчет!$V$4:$CC$4,Расчет!S$4,$V119:$CC119)</f>
        <v>-2880000</v>
      </c>
      <c r="T119" s="191">
        <f>SUMIF(Расчет!$V$4:$CC$4,Расчет!T$4,$V119:$CC119)</f>
        <v>-2880000</v>
      </c>
      <c r="U119" s="139"/>
      <c r="V119" s="191">
        <f t="shared" ref="V119:BA119" si="204">V85*$M119</f>
        <v>0</v>
      </c>
      <c r="W119" s="191">
        <f t="shared" si="204"/>
        <v>0</v>
      </c>
      <c r="X119" s="191">
        <f t="shared" si="204"/>
        <v>0</v>
      </c>
      <c r="Y119" s="191">
        <f t="shared" si="204"/>
        <v>0</v>
      </c>
      <c r="Z119" s="191">
        <f t="shared" si="204"/>
        <v>-120000</v>
      </c>
      <c r="AA119" s="191">
        <f t="shared" si="204"/>
        <v>-120000</v>
      </c>
      <c r="AB119" s="191">
        <f t="shared" si="204"/>
        <v>-120000</v>
      </c>
      <c r="AC119" s="191">
        <f t="shared" si="204"/>
        <v>-240000</v>
      </c>
      <c r="AD119" s="191">
        <f t="shared" si="204"/>
        <v>-240000</v>
      </c>
      <c r="AE119" s="191">
        <f t="shared" si="204"/>
        <v>-240000</v>
      </c>
      <c r="AF119" s="191">
        <f t="shared" si="204"/>
        <v>-240000</v>
      </c>
      <c r="AG119" s="191">
        <f t="shared" si="204"/>
        <v>-240000</v>
      </c>
      <c r="AH119" s="191">
        <f t="shared" si="204"/>
        <v>-240000</v>
      </c>
      <c r="AI119" s="191">
        <f t="shared" si="204"/>
        <v>-240000</v>
      </c>
      <c r="AJ119" s="191">
        <f t="shared" si="204"/>
        <v>-240000</v>
      </c>
      <c r="AK119" s="191">
        <f t="shared" si="204"/>
        <v>-240000</v>
      </c>
      <c r="AL119" s="191">
        <f t="shared" si="204"/>
        <v>-240000</v>
      </c>
      <c r="AM119" s="191">
        <f t="shared" si="204"/>
        <v>-240000</v>
      </c>
      <c r="AN119" s="191">
        <f t="shared" si="204"/>
        <v>-240000</v>
      </c>
      <c r="AO119" s="191">
        <f t="shared" si="204"/>
        <v>-240000</v>
      </c>
      <c r="AP119" s="191">
        <f t="shared" si="204"/>
        <v>-240000</v>
      </c>
      <c r="AQ119" s="191">
        <f t="shared" si="204"/>
        <v>-240000</v>
      </c>
      <c r="AR119" s="191">
        <f t="shared" si="204"/>
        <v>-240000</v>
      </c>
      <c r="AS119" s="191">
        <f t="shared" si="204"/>
        <v>-240000</v>
      </c>
      <c r="AT119" s="191">
        <f t="shared" si="204"/>
        <v>-240000</v>
      </c>
      <c r="AU119" s="191">
        <f t="shared" si="204"/>
        <v>-240000</v>
      </c>
      <c r="AV119" s="191">
        <f t="shared" si="204"/>
        <v>-240000</v>
      </c>
      <c r="AW119" s="191">
        <f t="shared" si="204"/>
        <v>-240000</v>
      </c>
      <c r="AX119" s="191">
        <f t="shared" si="204"/>
        <v>-240000</v>
      </c>
      <c r="AY119" s="191">
        <f t="shared" si="204"/>
        <v>-240000</v>
      </c>
      <c r="AZ119" s="191">
        <f t="shared" si="204"/>
        <v>-240000</v>
      </c>
      <c r="BA119" s="191">
        <f t="shared" si="204"/>
        <v>-240000</v>
      </c>
      <c r="BB119" s="191">
        <f t="shared" ref="BB119:CC119" si="205">BB85*$M119</f>
        <v>-240000</v>
      </c>
      <c r="BC119" s="191">
        <f t="shared" si="205"/>
        <v>-240000</v>
      </c>
      <c r="BD119" s="191">
        <f t="shared" si="205"/>
        <v>-240000</v>
      </c>
      <c r="BE119" s="191">
        <f t="shared" si="205"/>
        <v>-240000</v>
      </c>
      <c r="BF119" s="191">
        <f t="shared" si="205"/>
        <v>-240000</v>
      </c>
      <c r="BG119" s="191">
        <f t="shared" si="205"/>
        <v>-240000</v>
      </c>
      <c r="BH119" s="191">
        <f t="shared" si="205"/>
        <v>-240000</v>
      </c>
      <c r="BI119" s="191">
        <f t="shared" si="205"/>
        <v>-240000</v>
      </c>
      <c r="BJ119" s="191">
        <f t="shared" si="205"/>
        <v>-240000</v>
      </c>
      <c r="BK119" s="191">
        <f t="shared" si="205"/>
        <v>-240000</v>
      </c>
      <c r="BL119" s="191">
        <f t="shared" si="205"/>
        <v>-240000</v>
      </c>
      <c r="BM119" s="191">
        <f t="shared" si="205"/>
        <v>-240000</v>
      </c>
      <c r="BN119" s="191">
        <f t="shared" si="205"/>
        <v>-240000</v>
      </c>
      <c r="BO119" s="191">
        <f t="shared" si="205"/>
        <v>-240000</v>
      </c>
      <c r="BP119" s="191">
        <f t="shared" si="205"/>
        <v>-240000</v>
      </c>
      <c r="BQ119" s="191">
        <f t="shared" si="205"/>
        <v>-240000</v>
      </c>
      <c r="BR119" s="191">
        <f t="shared" si="205"/>
        <v>-240000</v>
      </c>
      <c r="BS119" s="191">
        <f t="shared" si="205"/>
        <v>-240000</v>
      </c>
      <c r="BT119" s="191">
        <f t="shared" si="205"/>
        <v>-240000</v>
      </c>
      <c r="BU119" s="191">
        <f t="shared" si="205"/>
        <v>-240000</v>
      </c>
      <c r="BV119" s="191">
        <f t="shared" si="205"/>
        <v>-240000</v>
      </c>
      <c r="BW119" s="191">
        <f t="shared" si="205"/>
        <v>-240000</v>
      </c>
      <c r="BX119" s="191">
        <f t="shared" si="205"/>
        <v>-240000</v>
      </c>
      <c r="BY119" s="191">
        <f t="shared" si="205"/>
        <v>-240000</v>
      </c>
      <c r="BZ119" s="191">
        <f t="shared" si="205"/>
        <v>-240000</v>
      </c>
      <c r="CA119" s="191">
        <f t="shared" si="205"/>
        <v>-240000</v>
      </c>
      <c r="CB119" s="191">
        <f t="shared" si="205"/>
        <v>-240000</v>
      </c>
      <c r="CC119" s="191">
        <f t="shared" si="205"/>
        <v>-240000</v>
      </c>
      <c r="CD119" s="110"/>
      <c r="CE119" s="219"/>
    </row>
    <row r="120" spans="1:83" s="45" customFormat="1" ht="15" customHeight="1" outlineLevel="1" x14ac:dyDescent="0.3">
      <c r="A120" s="111"/>
      <c r="B120" s="30"/>
      <c r="C120" s="110"/>
      <c r="D120" s="14" t="str">
        <f t="shared" si="196"/>
        <v>Разнорабочий</v>
      </c>
      <c r="E120" s="24"/>
      <c r="F120" s="24"/>
      <c r="G120" s="24"/>
      <c r="H120" s="24"/>
      <c r="I120" s="31" t="str">
        <f>Ввод!$M$12</f>
        <v>руб</v>
      </c>
      <c r="J120" s="31"/>
      <c r="K120" s="31"/>
      <c r="L120" s="31"/>
      <c r="M120" s="95">
        <v>-70000</v>
      </c>
      <c r="N120" s="191">
        <f t="shared" si="197"/>
        <v>-15260000</v>
      </c>
      <c r="O120" s="249"/>
      <c r="P120" s="191">
        <f>SUMIF(Расчет!$V$4:$CC$4,Расчет!P$4,$V120:$CC120)</f>
        <v>-1820000</v>
      </c>
      <c r="Q120" s="191">
        <f>SUMIF(Расчет!$V$4:$CC$4,Расчет!Q$4,$V120:$CC120)</f>
        <v>-3360000</v>
      </c>
      <c r="R120" s="191">
        <f>SUMIF(Расчет!$V$4:$CC$4,Расчет!R$4,$V120:$CC120)</f>
        <v>-3360000</v>
      </c>
      <c r="S120" s="191">
        <f>SUMIF(Расчет!$V$4:$CC$4,Расчет!S$4,$V120:$CC120)</f>
        <v>-3360000</v>
      </c>
      <c r="T120" s="191">
        <f>SUMIF(Расчет!$V$4:$CC$4,Расчет!T$4,$V120:$CC120)</f>
        <v>-3360000</v>
      </c>
      <c r="U120" s="139"/>
      <c r="V120" s="191">
        <f t="shared" ref="V120:CC121" si="206">V86*$M120</f>
        <v>0</v>
      </c>
      <c r="W120" s="191">
        <f t="shared" si="206"/>
        <v>0</v>
      </c>
      <c r="X120" s="191">
        <f t="shared" si="206"/>
        <v>0</v>
      </c>
      <c r="Y120" s="191">
        <f t="shared" si="206"/>
        <v>0</v>
      </c>
      <c r="Z120" s="191">
        <f t="shared" si="206"/>
        <v>-140000</v>
      </c>
      <c r="AA120" s="191">
        <f t="shared" si="206"/>
        <v>-140000</v>
      </c>
      <c r="AB120" s="191">
        <f t="shared" si="206"/>
        <v>-140000</v>
      </c>
      <c r="AC120" s="191">
        <f t="shared" si="206"/>
        <v>-280000</v>
      </c>
      <c r="AD120" s="191">
        <f t="shared" si="206"/>
        <v>-280000</v>
      </c>
      <c r="AE120" s="191">
        <f t="shared" si="206"/>
        <v>-280000</v>
      </c>
      <c r="AF120" s="191">
        <f t="shared" si="206"/>
        <v>-280000</v>
      </c>
      <c r="AG120" s="191">
        <f t="shared" si="206"/>
        <v>-280000</v>
      </c>
      <c r="AH120" s="191">
        <f t="shared" si="206"/>
        <v>-280000</v>
      </c>
      <c r="AI120" s="191">
        <f t="shared" si="206"/>
        <v>-280000</v>
      </c>
      <c r="AJ120" s="191">
        <f t="shared" si="206"/>
        <v>-280000</v>
      </c>
      <c r="AK120" s="191">
        <f t="shared" si="206"/>
        <v>-280000</v>
      </c>
      <c r="AL120" s="191">
        <f t="shared" si="206"/>
        <v>-280000</v>
      </c>
      <c r="AM120" s="191">
        <f t="shared" si="206"/>
        <v>-280000</v>
      </c>
      <c r="AN120" s="191">
        <f t="shared" si="206"/>
        <v>-280000</v>
      </c>
      <c r="AO120" s="191">
        <f t="shared" si="206"/>
        <v>-280000</v>
      </c>
      <c r="AP120" s="191">
        <f t="shared" si="206"/>
        <v>-280000</v>
      </c>
      <c r="AQ120" s="191">
        <f t="shared" si="206"/>
        <v>-280000</v>
      </c>
      <c r="AR120" s="191">
        <f t="shared" si="206"/>
        <v>-280000</v>
      </c>
      <c r="AS120" s="191">
        <f t="shared" si="206"/>
        <v>-280000</v>
      </c>
      <c r="AT120" s="191">
        <f t="shared" si="206"/>
        <v>-280000</v>
      </c>
      <c r="AU120" s="191">
        <f t="shared" si="206"/>
        <v>-280000</v>
      </c>
      <c r="AV120" s="191">
        <f t="shared" si="206"/>
        <v>-280000</v>
      </c>
      <c r="AW120" s="191">
        <f t="shared" si="206"/>
        <v>-280000</v>
      </c>
      <c r="AX120" s="191">
        <f t="shared" si="206"/>
        <v>-280000</v>
      </c>
      <c r="AY120" s="191">
        <f t="shared" si="206"/>
        <v>-280000</v>
      </c>
      <c r="AZ120" s="191">
        <f t="shared" si="206"/>
        <v>-280000</v>
      </c>
      <c r="BA120" s="191">
        <f t="shared" si="206"/>
        <v>-280000</v>
      </c>
      <c r="BB120" s="191">
        <f t="shared" si="206"/>
        <v>-280000</v>
      </c>
      <c r="BC120" s="191">
        <f t="shared" si="206"/>
        <v>-280000</v>
      </c>
      <c r="BD120" s="191">
        <f t="shared" si="206"/>
        <v>-280000</v>
      </c>
      <c r="BE120" s="191">
        <f t="shared" si="206"/>
        <v>-280000</v>
      </c>
      <c r="BF120" s="191">
        <f t="shared" si="206"/>
        <v>-280000</v>
      </c>
      <c r="BG120" s="191">
        <f t="shared" si="206"/>
        <v>-280000</v>
      </c>
      <c r="BH120" s="191">
        <f t="shared" si="206"/>
        <v>-280000</v>
      </c>
      <c r="BI120" s="191">
        <f t="shared" si="206"/>
        <v>-280000</v>
      </c>
      <c r="BJ120" s="191">
        <f t="shared" si="206"/>
        <v>-280000</v>
      </c>
      <c r="BK120" s="191">
        <f t="shared" si="206"/>
        <v>-280000</v>
      </c>
      <c r="BL120" s="191">
        <f t="shared" si="206"/>
        <v>-280000</v>
      </c>
      <c r="BM120" s="191">
        <f t="shared" si="206"/>
        <v>-280000</v>
      </c>
      <c r="BN120" s="191">
        <f t="shared" si="206"/>
        <v>-280000</v>
      </c>
      <c r="BO120" s="191">
        <f t="shared" si="206"/>
        <v>-280000</v>
      </c>
      <c r="BP120" s="191">
        <f t="shared" si="206"/>
        <v>-280000</v>
      </c>
      <c r="BQ120" s="191">
        <f t="shared" si="206"/>
        <v>-280000</v>
      </c>
      <c r="BR120" s="191">
        <f t="shared" si="206"/>
        <v>-280000</v>
      </c>
      <c r="BS120" s="191">
        <f t="shared" si="206"/>
        <v>-280000</v>
      </c>
      <c r="BT120" s="191">
        <f t="shared" si="206"/>
        <v>-280000</v>
      </c>
      <c r="BU120" s="191">
        <f t="shared" si="206"/>
        <v>-280000</v>
      </c>
      <c r="BV120" s="191">
        <f t="shared" si="206"/>
        <v>-280000</v>
      </c>
      <c r="BW120" s="191">
        <f t="shared" si="206"/>
        <v>-280000</v>
      </c>
      <c r="BX120" s="191">
        <f t="shared" si="206"/>
        <v>-280000</v>
      </c>
      <c r="BY120" s="191">
        <f t="shared" si="206"/>
        <v>-280000</v>
      </c>
      <c r="BZ120" s="191">
        <f t="shared" si="206"/>
        <v>-280000</v>
      </c>
      <c r="CA120" s="191">
        <f t="shared" si="206"/>
        <v>-280000</v>
      </c>
      <c r="CB120" s="191">
        <f t="shared" si="206"/>
        <v>-280000</v>
      </c>
      <c r="CC120" s="191">
        <f t="shared" si="206"/>
        <v>-280000</v>
      </c>
      <c r="CD120" s="110"/>
      <c r="CE120" s="219"/>
    </row>
    <row r="121" spans="1:83" s="45" customFormat="1" ht="15" customHeight="1" outlineLevel="1" x14ac:dyDescent="0.3">
      <c r="A121" s="111"/>
      <c r="B121" s="30"/>
      <c r="C121" s="110"/>
      <c r="D121" s="14" t="str">
        <f t="shared" si="196"/>
        <v>Наладчик</v>
      </c>
      <c r="E121" s="24"/>
      <c r="F121" s="24"/>
      <c r="G121" s="24"/>
      <c r="H121" s="24"/>
      <c r="I121" s="31" t="str">
        <f>Ввод!$M$12</f>
        <v>руб</v>
      </c>
      <c r="J121" s="31"/>
      <c r="K121" s="31"/>
      <c r="L121" s="31"/>
      <c r="M121" s="95">
        <v>-70000</v>
      </c>
      <c r="N121" s="191">
        <f t="shared" si="197"/>
        <v>-7630000</v>
      </c>
      <c r="O121" s="249"/>
      <c r="P121" s="191">
        <f>SUMIF(Расчет!$V$4:$CC$4,Расчет!P$4,$V121:$CC121)</f>
        <v>-910000</v>
      </c>
      <c r="Q121" s="191">
        <f>SUMIF(Расчет!$V$4:$CC$4,Расчет!Q$4,$V121:$CC121)</f>
        <v>-1680000</v>
      </c>
      <c r="R121" s="191">
        <f>SUMIF(Расчет!$V$4:$CC$4,Расчет!R$4,$V121:$CC121)</f>
        <v>-1680000</v>
      </c>
      <c r="S121" s="191">
        <f>SUMIF(Расчет!$V$4:$CC$4,Расчет!S$4,$V121:$CC121)</f>
        <v>-1680000</v>
      </c>
      <c r="T121" s="191">
        <f>SUMIF(Расчет!$V$4:$CC$4,Расчет!T$4,$V121:$CC121)</f>
        <v>-1680000</v>
      </c>
      <c r="U121" s="139"/>
      <c r="V121" s="191">
        <f t="shared" si="206"/>
        <v>0</v>
      </c>
      <c r="W121" s="191">
        <f t="shared" si="206"/>
        <v>0</v>
      </c>
      <c r="X121" s="191">
        <f t="shared" si="206"/>
        <v>0</v>
      </c>
      <c r="Y121" s="191">
        <f t="shared" si="206"/>
        <v>0</v>
      </c>
      <c r="Z121" s="191">
        <f t="shared" si="206"/>
        <v>-70000</v>
      </c>
      <c r="AA121" s="191">
        <f t="shared" si="206"/>
        <v>-70000</v>
      </c>
      <c r="AB121" s="191">
        <f t="shared" si="206"/>
        <v>-70000</v>
      </c>
      <c r="AC121" s="191">
        <f t="shared" si="206"/>
        <v>-140000</v>
      </c>
      <c r="AD121" s="191">
        <f t="shared" si="206"/>
        <v>-140000</v>
      </c>
      <c r="AE121" s="191">
        <f t="shared" si="206"/>
        <v>-140000</v>
      </c>
      <c r="AF121" s="191">
        <f t="shared" si="206"/>
        <v>-140000</v>
      </c>
      <c r="AG121" s="191">
        <f t="shared" si="206"/>
        <v>-140000</v>
      </c>
      <c r="AH121" s="191">
        <f t="shared" si="206"/>
        <v>-140000</v>
      </c>
      <c r="AI121" s="191">
        <f t="shared" si="206"/>
        <v>-140000</v>
      </c>
      <c r="AJ121" s="191">
        <f t="shared" si="206"/>
        <v>-140000</v>
      </c>
      <c r="AK121" s="191">
        <f t="shared" si="206"/>
        <v>-140000</v>
      </c>
      <c r="AL121" s="191">
        <f t="shared" si="206"/>
        <v>-140000</v>
      </c>
      <c r="AM121" s="191">
        <f t="shared" si="206"/>
        <v>-140000</v>
      </c>
      <c r="AN121" s="191">
        <f t="shared" si="206"/>
        <v>-140000</v>
      </c>
      <c r="AO121" s="191">
        <f t="shared" si="206"/>
        <v>-140000</v>
      </c>
      <c r="AP121" s="191">
        <f t="shared" si="206"/>
        <v>-140000</v>
      </c>
      <c r="AQ121" s="191">
        <f t="shared" si="206"/>
        <v>-140000</v>
      </c>
      <c r="AR121" s="191">
        <f t="shared" si="206"/>
        <v>-140000</v>
      </c>
      <c r="AS121" s="191">
        <f t="shared" si="206"/>
        <v>-140000</v>
      </c>
      <c r="AT121" s="191">
        <f t="shared" si="206"/>
        <v>-140000</v>
      </c>
      <c r="AU121" s="191">
        <f t="shared" si="206"/>
        <v>-140000</v>
      </c>
      <c r="AV121" s="191">
        <f t="shared" si="206"/>
        <v>-140000</v>
      </c>
      <c r="AW121" s="191">
        <f t="shared" si="206"/>
        <v>-140000</v>
      </c>
      <c r="AX121" s="191">
        <f t="shared" si="206"/>
        <v>-140000</v>
      </c>
      <c r="AY121" s="191">
        <f t="shared" si="206"/>
        <v>-140000</v>
      </c>
      <c r="AZ121" s="191">
        <f t="shared" si="206"/>
        <v>-140000</v>
      </c>
      <c r="BA121" s="191">
        <f t="shared" si="206"/>
        <v>-140000</v>
      </c>
      <c r="BB121" s="191">
        <f t="shared" si="206"/>
        <v>-140000</v>
      </c>
      <c r="BC121" s="191">
        <f t="shared" si="206"/>
        <v>-140000</v>
      </c>
      <c r="BD121" s="191">
        <f t="shared" si="206"/>
        <v>-140000</v>
      </c>
      <c r="BE121" s="191">
        <f t="shared" si="206"/>
        <v>-140000</v>
      </c>
      <c r="BF121" s="191">
        <f t="shared" si="206"/>
        <v>-140000</v>
      </c>
      <c r="BG121" s="191">
        <f t="shared" si="206"/>
        <v>-140000</v>
      </c>
      <c r="BH121" s="191">
        <f t="shared" si="206"/>
        <v>-140000</v>
      </c>
      <c r="BI121" s="191">
        <f t="shared" si="206"/>
        <v>-140000</v>
      </c>
      <c r="BJ121" s="191">
        <f t="shared" si="206"/>
        <v>-140000</v>
      </c>
      <c r="BK121" s="191">
        <f t="shared" si="206"/>
        <v>-140000</v>
      </c>
      <c r="BL121" s="191">
        <f t="shared" si="206"/>
        <v>-140000</v>
      </c>
      <c r="BM121" s="191">
        <f t="shared" si="206"/>
        <v>-140000</v>
      </c>
      <c r="BN121" s="191">
        <f t="shared" si="206"/>
        <v>-140000</v>
      </c>
      <c r="BO121" s="191">
        <f t="shared" si="206"/>
        <v>-140000</v>
      </c>
      <c r="BP121" s="191">
        <f t="shared" si="206"/>
        <v>-140000</v>
      </c>
      <c r="BQ121" s="191">
        <f t="shared" si="206"/>
        <v>-140000</v>
      </c>
      <c r="BR121" s="191">
        <f t="shared" si="206"/>
        <v>-140000</v>
      </c>
      <c r="BS121" s="191">
        <f t="shared" si="206"/>
        <v>-140000</v>
      </c>
      <c r="BT121" s="191">
        <f t="shared" si="206"/>
        <v>-140000</v>
      </c>
      <c r="BU121" s="191">
        <f t="shared" si="206"/>
        <v>-140000</v>
      </c>
      <c r="BV121" s="191">
        <f t="shared" si="206"/>
        <v>-140000</v>
      </c>
      <c r="BW121" s="191">
        <f t="shared" si="206"/>
        <v>-140000</v>
      </c>
      <c r="BX121" s="191">
        <f t="shared" si="206"/>
        <v>-140000</v>
      </c>
      <c r="BY121" s="191">
        <f t="shared" si="206"/>
        <v>-140000</v>
      </c>
      <c r="BZ121" s="191">
        <f t="shared" si="206"/>
        <v>-140000</v>
      </c>
      <c r="CA121" s="191">
        <f t="shared" si="206"/>
        <v>-140000</v>
      </c>
      <c r="CB121" s="191">
        <f t="shared" si="206"/>
        <v>-140000</v>
      </c>
      <c r="CC121" s="191">
        <f t="shared" si="206"/>
        <v>-140000</v>
      </c>
      <c r="CD121" s="110"/>
      <c r="CE121" s="219"/>
    </row>
    <row r="122" spans="1:83" s="72" customFormat="1" ht="15" customHeight="1" outlineLevel="1" x14ac:dyDescent="0.3">
      <c r="A122" s="74"/>
      <c r="B122" s="73"/>
      <c r="D122" s="134" t="s">
        <v>26</v>
      </c>
      <c r="E122" s="28"/>
      <c r="F122" s="28"/>
      <c r="G122" s="28"/>
      <c r="H122" s="28"/>
      <c r="I122" s="6" t="str">
        <f>Ввод!$M$12</f>
        <v>руб</v>
      </c>
      <c r="J122" s="6"/>
      <c r="K122" s="6"/>
      <c r="L122" s="6"/>
      <c r="M122" s="235"/>
      <c r="N122" s="225">
        <f t="shared" si="197"/>
        <v>-54180000</v>
      </c>
      <c r="O122" s="143"/>
      <c r="P122" s="225">
        <f>SUMIF(Расчет!$V$4:$CC$4,Расчет!P$4,$V122:$CC122)</f>
        <v>-6660000</v>
      </c>
      <c r="Q122" s="225">
        <f>SUMIF(Расчет!$V$4:$CC$4,Расчет!Q$4,$V122:$CC122)</f>
        <v>-11880000</v>
      </c>
      <c r="R122" s="225">
        <f>SUMIF(Расчет!$V$4:$CC$4,Расчет!R$4,$V122:$CC122)</f>
        <v>-11880000</v>
      </c>
      <c r="S122" s="225">
        <f>SUMIF(Расчет!$V$4:$CC$4,Расчет!S$4,$V122:$CC122)</f>
        <v>-11880000</v>
      </c>
      <c r="T122" s="225">
        <f>SUMIF(Расчет!$V$4:$CC$4,Расчет!T$4,$V122:$CC122)</f>
        <v>-11880000</v>
      </c>
      <c r="U122" s="227"/>
      <c r="V122" s="225">
        <f t="shared" ref="V122:BA122" si="207">SUM(V116:V119)</f>
        <v>0</v>
      </c>
      <c r="W122" s="225">
        <f t="shared" si="207"/>
        <v>0</v>
      </c>
      <c r="X122" s="225">
        <f t="shared" si="207"/>
        <v>0</v>
      </c>
      <c r="Y122" s="225">
        <f t="shared" si="207"/>
        <v>0</v>
      </c>
      <c r="Z122" s="225">
        <f t="shared" si="207"/>
        <v>-570000</v>
      </c>
      <c r="AA122" s="225">
        <f t="shared" si="207"/>
        <v>-570000</v>
      </c>
      <c r="AB122" s="225">
        <f t="shared" si="207"/>
        <v>-570000</v>
      </c>
      <c r="AC122" s="225">
        <f t="shared" si="207"/>
        <v>-990000</v>
      </c>
      <c r="AD122" s="225">
        <f t="shared" si="207"/>
        <v>-990000</v>
      </c>
      <c r="AE122" s="225">
        <f t="shared" si="207"/>
        <v>-990000</v>
      </c>
      <c r="AF122" s="225">
        <f t="shared" si="207"/>
        <v>-990000</v>
      </c>
      <c r="AG122" s="225">
        <f t="shared" si="207"/>
        <v>-990000</v>
      </c>
      <c r="AH122" s="225">
        <f t="shared" si="207"/>
        <v>-990000</v>
      </c>
      <c r="AI122" s="225">
        <f t="shared" si="207"/>
        <v>-990000</v>
      </c>
      <c r="AJ122" s="225">
        <f t="shared" si="207"/>
        <v>-990000</v>
      </c>
      <c r="AK122" s="225">
        <f t="shared" si="207"/>
        <v>-990000</v>
      </c>
      <c r="AL122" s="225">
        <f t="shared" si="207"/>
        <v>-990000</v>
      </c>
      <c r="AM122" s="225">
        <f t="shared" si="207"/>
        <v>-990000</v>
      </c>
      <c r="AN122" s="225">
        <f t="shared" si="207"/>
        <v>-990000</v>
      </c>
      <c r="AO122" s="225">
        <f t="shared" si="207"/>
        <v>-990000</v>
      </c>
      <c r="AP122" s="225">
        <f t="shared" si="207"/>
        <v>-990000</v>
      </c>
      <c r="AQ122" s="225">
        <f t="shared" si="207"/>
        <v>-990000</v>
      </c>
      <c r="AR122" s="225">
        <f t="shared" si="207"/>
        <v>-990000</v>
      </c>
      <c r="AS122" s="225">
        <f t="shared" si="207"/>
        <v>-990000</v>
      </c>
      <c r="AT122" s="225">
        <f t="shared" si="207"/>
        <v>-990000</v>
      </c>
      <c r="AU122" s="225">
        <f t="shared" si="207"/>
        <v>-990000</v>
      </c>
      <c r="AV122" s="225">
        <f t="shared" si="207"/>
        <v>-990000</v>
      </c>
      <c r="AW122" s="225">
        <f t="shared" si="207"/>
        <v>-990000</v>
      </c>
      <c r="AX122" s="225">
        <f t="shared" si="207"/>
        <v>-990000</v>
      </c>
      <c r="AY122" s="225">
        <f t="shared" si="207"/>
        <v>-990000</v>
      </c>
      <c r="AZ122" s="225">
        <f t="shared" si="207"/>
        <v>-990000</v>
      </c>
      <c r="BA122" s="225">
        <f t="shared" si="207"/>
        <v>-990000</v>
      </c>
      <c r="BB122" s="225">
        <f t="shared" ref="BB122:CC122" si="208">SUM(BB116:BB119)</f>
        <v>-990000</v>
      </c>
      <c r="BC122" s="225">
        <f t="shared" si="208"/>
        <v>-990000</v>
      </c>
      <c r="BD122" s="225">
        <f t="shared" si="208"/>
        <v>-990000</v>
      </c>
      <c r="BE122" s="225">
        <f t="shared" si="208"/>
        <v>-990000</v>
      </c>
      <c r="BF122" s="225">
        <f t="shared" si="208"/>
        <v>-990000</v>
      </c>
      <c r="BG122" s="225">
        <f t="shared" si="208"/>
        <v>-990000</v>
      </c>
      <c r="BH122" s="225">
        <f t="shared" si="208"/>
        <v>-990000</v>
      </c>
      <c r="BI122" s="225">
        <f t="shared" si="208"/>
        <v>-990000</v>
      </c>
      <c r="BJ122" s="225">
        <f t="shared" si="208"/>
        <v>-990000</v>
      </c>
      <c r="BK122" s="225">
        <f t="shared" si="208"/>
        <v>-990000</v>
      </c>
      <c r="BL122" s="225">
        <f t="shared" si="208"/>
        <v>-990000</v>
      </c>
      <c r="BM122" s="225">
        <f t="shared" si="208"/>
        <v>-990000</v>
      </c>
      <c r="BN122" s="225">
        <f t="shared" si="208"/>
        <v>-990000</v>
      </c>
      <c r="BO122" s="225">
        <f t="shared" si="208"/>
        <v>-990000</v>
      </c>
      <c r="BP122" s="225">
        <f t="shared" si="208"/>
        <v>-990000</v>
      </c>
      <c r="BQ122" s="225">
        <f t="shared" si="208"/>
        <v>-990000</v>
      </c>
      <c r="BR122" s="225">
        <f t="shared" si="208"/>
        <v>-990000</v>
      </c>
      <c r="BS122" s="225">
        <f t="shared" si="208"/>
        <v>-990000</v>
      </c>
      <c r="BT122" s="225">
        <f t="shared" si="208"/>
        <v>-990000</v>
      </c>
      <c r="BU122" s="225">
        <f t="shared" si="208"/>
        <v>-990000</v>
      </c>
      <c r="BV122" s="225">
        <f t="shared" si="208"/>
        <v>-990000</v>
      </c>
      <c r="BW122" s="225">
        <f t="shared" si="208"/>
        <v>-990000</v>
      </c>
      <c r="BX122" s="225">
        <f t="shared" si="208"/>
        <v>-990000</v>
      </c>
      <c r="BY122" s="225">
        <f t="shared" si="208"/>
        <v>-990000</v>
      </c>
      <c r="BZ122" s="225">
        <f t="shared" si="208"/>
        <v>-990000</v>
      </c>
      <c r="CA122" s="225">
        <f t="shared" si="208"/>
        <v>-990000</v>
      </c>
      <c r="CB122" s="225">
        <f t="shared" si="208"/>
        <v>-990000</v>
      </c>
      <c r="CC122" s="225">
        <f t="shared" si="208"/>
        <v>-990000</v>
      </c>
      <c r="CE122" s="74"/>
    </row>
    <row r="123" spans="1:83" s="45" customFormat="1" ht="15" customHeight="1" outlineLevel="1" x14ac:dyDescent="0.3">
      <c r="A123" s="111"/>
      <c r="B123" s="30"/>
      <c r="C123" s="110"/>
      <c r="D123" s="131"/>
      <c r="E123" s="114"/>
      <c r="F123" s="114"/>
      <c r="G123" s="114"/>
      <c r="H123" s="114"/>
      <c r="I123" s="6"/>
      <c r="J123" s="6"/>
      <c r="K123" s="6"/>
      <c r="L123" s="6"/>
      <c r="M123" s="49"/>
      <c r="N123" s="5"/>
      <c r="O123" s="110"/>
      <c r="P123" s="5"/>
      <c r="Q123" s="5"/>
      <c r="R123" s="5"/>
      <c r="S123" s="5"/>
      <c r="T123" s="5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7"/>
      <c r="AH123" s="97"/>
      <c r="AI123" s="97"/>
      <c r="AJ123" s="97"/>
      <c r="AK123" s="97"/>
      <c r="AL123" s="97"/>
      <c r="AM123" s="97"/>
      <c r="AN123" s="97"/>
      <c r="AO123" s="97"/>
      <c r="AP123" s="97"/>
      <c r="AQ123" s="97"/>
      <c r="AR123" s="97"/>
      <c r="AS123" s="97"/>
      <c r="AT123" s="97"/>
      <c r="AU123" s="97"/>
      <c r="AV123" s="97"/>
      <c r="AW123" s="97"/>
      <c r="AX123" s="97"/>
      <c r="AY123" s="97"/>
      <c r="AZ123" s="97"/>
      <c r="BA123" s="97"/>
      <c r="BB123" s="97"/>
      <c r="BC123" s="97"/>
      <c r="BD123" s="97"/>
      <c r="BE123" s="97"/>
      <c r="BF123" s="97"/>
      <c r="BG123" s="97"/>
      <c r="BH123" s="97"/>
      <c r="BI123" s="97"/>
      <c r="BJ123" s="97"/>
      <c r="BK123" s="97"/>
      <c r="BL123" s="97"/>
      <c r="BM123" s="97"/>
      <c r="BN123" s="97"/>
      <c r="BO123" s="97"/>
      <c r="BP123" s="97"/>
      <c r="BQ123" s="97"/>
      <c r="BR123" s="97"/>
      <c r="BS123" s="97"/>
      <c r="BT123" s="97"/>
      <c r="BU123" s="97"/>
      <c r="BV123" s="97"/>
      <c r="BW123" s="97"/>
      <c r="BX123" s="97"/>
      <c r="BY123" s="97"/>
      <c r="BZ123" s="97"/>
      <c r="CA123" s="97"/>
      <c r="CB123" s="97"/>
      <c r="CC123" s="97"/>
      <c r="CD123" s="110"/>
      <c r="CE123" s="219"/>
    </row>
    <row r="124" spans="1:83" s="45" customFormat="1" ht="15" customHeight="1" outlineLevel="1" x14ac:dyDescent="0.3">
      <c r="A124" s="111"/>
      <c r="B124" s="30"/>
      <c r="C124" s="110"/>
      <c r="D124" s="288" t="str">
        <f>D90</f>
        <v>Логистика</v>
      </c>
      <c r="E124" s="28"/>
      <c r="F124" s="28"/>
      <c r="G124" s="28"/>
      <c r="H124" s="28"/>
      <c r="I124" s="6"/>
      <c r="J124" s="6"/>
      <c r="K124" s="6"/>
      <c r="L124" s="6"/>
      <c r="M124" s="5" t="s">
        <v>51</v>
      </c>
      <c r="N124" s="5"/>
      <c r="O124" s="110"/>
      <c r="P124" s="5"/>
      <c r="Q124" s="5"/>
      <c r="R124" s="5"/>
      <c r="S124" s="5"/>
      <c r="T124" s="5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97"/>
      <c r="AK124" s="97"/>
      <c r="AL124" s="97"/>
      <c r="AM124" s="97"/>
      <c r="AN124" s="97"/>
      <c r="AO124" s="97"/>
      <c r="AP124" s="97"/>
      <c r="AQ124" s="97"/>
      <c r="AR124" s="97"/>
      <c r="AS124" s="97"/>
      <c r="AT124" s="97"/>
      <c r="AU124" s="97"/>
      <c r="AV124" s="97"/>
      <c r="AW124" s="97"/>
      <c r="AX124" s="97"/>
      <c r="AY124" s="97"/>
      <c r="AZ124" s="97"/>
      <c r="BA124" s="97"/>
      <c r="BB124" s="97"/>
      <c r="BC124" s="97"/>
      <c r="BD124" s="97"/>
      <c r="BE124" s="97"/>
      <c r="BF124" s="97"/>
      <c r="BG124" s="97"/>
      <c r="BH124" s="97"/>
      <c r="BI124" s="97"/>
      <c r="BJ124" s="97"/>
      <c r="BK124" s="97"/>
      <c r="BL124" s="97"/>
      <c r="BM124" s="97"/>
      <c r="BN124" s="97"/>
      <c r="BO124" s="97"/>
      <c r="BP124" s="97"/>
      <c r="BQ124" s="97"/>
      <c r="BR124" s="97"/>
      <c r="BS124" s="97"/>
      <c r="BT124" s="97"/>
      <c r="BU124" s="97"/>
      <c r="BV124" s="97"/>
      <c r="BW124" s="97"/>
      <c r="BX124" s="97"/>
      <c r="BY124" s="97"/>
      <c r="BZ124" s="97"/>
      <c r="CA124" s="97"/>
      <c r="CB124" s="97"/>
      <c r="CC124" s="97"/>
      <c r="CD124" s="110"/>
      <c r="CE124" s="219"/>
    </row>
    <row r="125" spans="1:83" s="45" customFormat="1" ht="15" customHeight="1" outlineLevel="1" x14ac:dyDescent="0.3">
      <c r="A125" s="111"/>
      <c r="B125" s="30"/>
      <c r="C125" s="110"/>
      <c r="D125" s="166" t="str">
        <f>D91</f>
        <v>Логист</v>
      </c>
      <c r="E125" s="24"/>
      <c r="F125" s="24"/>
      <c r="G125" s="24"/>
      <c r="H125" s="24"/>
      <c r="I125" s="31" t="str">
        <f>Ввод!$M$12</f>
        <v>руб</v>
      </c>
      <c r="J125" s="31"/>
      <c r="K125" s="31"/>
      <c r="L125" s="31"/>
      <c r="M125" s="95">
        <v>-120000</v>
      </c>
      <c r="N125" s="191">
        <f>SUM(P125:T125)</f>
        <v>-6720000</v>
      </c>
      <c r="O125" s="249"/>
      <c r="P125" s="191">
        <f>SUMIF(Расчет!$V$4:$CC$4,Расчет!P$4,$V125:$CC125)</f>
        <v>-960000</v>
      </c>
      <c r="Q125" s="191">
        <f>SUMIF(Расчет!$V$4:$CC$4,Расчет!Q$4,$V125:$CC125)</f>
        <v>-1440000</v>
      </c>
      <c r="R125" s="191">
        <f>SUMIF(Расчет!$V$4:$CC$4,Расчет!R$4,$V125:$CC125)</f>
        <v>-1440000</v>
      </c>
      <c r="S125" s="191">
        <f>SUMIF(Расчет!$V$4:$CC$4,Расчет!S$4,$V125:$CC125)</f>
        <v>-1440000</v>
      </c>
      <c r="T125" s="191">
        <f>SUMIF(Расчет!$V$4:$CC$4,Расчет!T$4,$V125:$CC125)</f>
        <v>-1440000</v>
      </c>
      <c r="U125" s="139"/>
      <c r="V125" s="191">
        <f t="shared" ref="V125:BA125" si="209">V91*$M125</f>
        <v>0</v>
      </c>
      <c r="W125" s="191">
        <f t="shared" si="209"/>
        <v>0</v>
      </c>
      <c r="X125" s="191">
        <f t="shared" si="209"/>
        <v>0</v>
      </c>
      <c r="Y125" s="191">
        <f t="shared" si="209"/>
        <v>0</v>
      </c>
      <c r="Z125" s="191">
        <f t="shared" si="209"/>
        <v>-120000</v>
      </c>
      <c r="AA125" s="191">
        <f t="shared" si="209"/>
        <v>-120000</v>
      </c>
      <c r="AB125" s="191">
        <f t="shared" si="209"/>
        <v>-120000</v>
      </c>
      <c r="AC125" s="191">
        <f t="shared" si="209"/>
        <v>-120000</v>
      </c>
      <c r="AD125" s="191">
        <f t="shared" si="209"/>
        <v>-120000</v>
      </c>
      <c r="AE125" s="191">
        <f t="shared" si="209"/>
        <v>-120000</v>
      </c>
      <c r="AF125" s="191">
        <f t="shared" si="209"/>
        <v>-120000</v>
      </c>
      <c r="AG125" s="191">
        <f t="shared" si="209"/>
        <v>-120000</v>
      </c>
      <c r="AH125" s="191">
        <f t="shared" si="209"/>
        <v>-120000</v>
      </c>
      <c r="AI125" s="191">
        <f t="shared" si="209"/>
        <v>-120000</v>
      </c>
      <c r="AJ125" s="191">
        <f t="shared" si="209"/>
        <v>-120000</v>
      </c>
      <c r="AK125" s="191">
        <f t="shared" si="209"/>
        <v>-120000</v>
      </c>
      <c r="AL125" s="191">
        <f t="shared" si="209"/>
        <v>-120000</v>
      </c>
      <c r="AM125" s="191">
        <f t="shared" si="209"/>
        <v>-120000</v>
      </c>
      <c r="AN125" s="191">
        <f t="shared" si="209"/>
        <v>-120000</v>
      </c>
      <c r="AO125" s="191">
        <f t="shared" si="209"/>
        <v>-120000</v>
      </c>
      <c r="AP125" s="191">
        <f t="shared" si="209"/>
        <v>-120000</v>
      </c>
      <c r="AQ125" s="191">
        <f t="shared" si="209"/>
        <v>-120000</v>
      </c>
      <c r="AR125" s="191">
        <f t="shared" si="209"/>
        <v>-120000</v>
      </c>
      <c r="AS125" s="191">
        <f t="shared" si="209"/>
        <v>-120000</v>
      </c>
      <c r="AT125" s="191">
        <f t="shared" si="209"/>
        <v>-120000</v>
      </c>
      <c r="AU125" s="191">
        <f t="shared" si="209"/>
        <v>-120000</v>
      </c>
      <c r="AV125" s="191">
        <f t="shared" si="209"/>
        <v>-120000</v>
      </c>
      <c r="AW125" s="191">
        <f t="shared" si="209"/>
        <v>-120000</v>
      </c>
      <c r="AX125" s="191">
        <f t="shared" si="209"/>
        <v>-120000</v>
      </c>
      <c r="AY125" s="191">
        <f t="shared" si="209"/>
        <v>-120000</v>
      </c>
      <c r="AZ125" s="191">
        <f t="shared" si="209"/>
        <v>-120000</v>
      </c>
      <c r="BA125" s="191">
        <f t="shared" si="209"/>
        <v>-120000</v>
      </c>
      <c r="BB125" s="191">
        <f t="shared" ref="BB125:CC125" si="210">BB91*$M125</f>
        <v>-120000</v>
      </c>
      <c r="BC125" s="191">
        <f t="shared" si="210"/>
        <v>-120000</v>
      </c>
      <c r="BD125" s="191">
        <f t="shared" si="210"/>
        <v>-120000</v>
      </c>
      <c r="BE125" s="191">
        <f t="shared" si="210"/>
        <v>-120000</v>
      </c>
      <c r="BF125" s="191">
        <f t="shared" si="210"/>
        <v>-120000</v>
      </c>
      <c r="BG125" s="191">
        <f t="shared" si="210"/>
        <v>-120000</v>
      </c>
      <c r="BH125" s="191">
        <f t="shared" si="210"/>
        <v>-120000</v>
      </c>
      <c r="BI125" s="191">
        <f t="shared" si="210"/>
        <v>-120000</v>
      </c>
      <c r="BJ125" s="191">
        <f t="shared" si="210"/>
        <v>-120000</v>
      </c>
      <c r="BK125" s="191">
        <f t="shared" si="210"/>
        <v>-120000</v>
      </c>
      <c r="BL125" s="191">
        <f t="shared" si="210"/>
        <v>-120000</v>
      </c>
      <c r="BM125" s="191">
        <f t="shared" si="210"/>
        <v>-120000</v>
      </c>
      <c r="BN125" s="191">
        <f t="shared" si="210"/>
        <v>-120000</v>
      </c>
      <c r="BO125" s="191">
        <f t="shared" si="210"/>
        <v>-120000</v>
      </c>
      <c r="BP125" s="191">
        <f t="shared" si="210"/>
        <v>-120000</v>
      </c>
      <c r="BQ125" s="191">
        <f t="shared" si="210"/>
        <v>-120000</v>
      </c>
      <c r="BR125" s="191">
        <f t="shared" si="210"/>
        <v>-120000</v>
      </c>
      <c r="BS125" s="191">
        <f t="shared" si="210"/>
        <v>-120000</v>
      </c>
      <c r="BT125" s="191">
        <f t="shared" si="210"/>
        <v>-120000</v>
      </c>
      <c r="BU125" s="191">
        <f t="shared" si="210"/>
        <v>-120000</v>
      </c>
      <c r="BV125" s="191">
        <f t="shared" si="210"/>
        <v>-120000</v>
      </c>
      <c r="BW125" s="191">
        <f t="shared" si="210"/>
        <v>-120000</v>
      </c>
      <c r="BX125" s="191">
        <f t="shared" si="210"/>
        <v>-120000</v>
      </c>
      <c r="BY125" s="191">
        <f t="shared" si="210"/>
        <v>-120000</v>
      </c>
      <c r="BZ125" s="191">
        <f t="shared" si="210"/>
        <v>-120000</v>
      </c>
      <c r="CA125" s="191">
        <f t="shared" si="210"/>
        <v>-120000</v>
      </c>
      <c r="CB125" s="191">
        <f t="shared" si="210"/>
        <v>-120000</v>
      </c>
      <c r="CC125" s="191">
        <f t="shared" si="210"/>
        <v>-120000</v>
      </c>
      <c r="CD125" s="110"/>
      <c r="CE125" s="219"/>
    </row>
    <row r="126" spans="1:83" s="45" customFormat="1" ht="15" customHeight="1" outlineLevel="1" x14ac:dyDescent="0.3">
      <c r="A126" s="111"/>
      <c r="B126" s="30"/>
      <c r="C126" s="110"/>
      <c r="D126" s="166" t="str">
        <f>D92</f>
        <v>Водитель</v>
      </c>
      <c r="E126" s="24"/>
      <c r="F126" s="24"/>
      <c r="G126" s="24"/>
      <c r="H126" s="24"/>
      <c r="I126" s="31" t="str">
        <f>Ввод!$M$12</f>
        <v>руб</v>
      </c>
      <c r="J126" s="31"/>
      <c r="K126" s="31"/>
      <c r="L126" s="31"/>
      <c r="M126" s="95">
        <v>-150000</v>
      </c>
      <c r="N126" s="191">
        <f>SUM(P126:T126)</f>
        <v>-16200000</v>
      </c>
      <c r="O126" s="249"/>
      <c r="P126" s="191">
        <f>SUMIF(Расчет!$V$4:$CC$4,Расчет!P$4,$V126:$CC126)</f>
        <v>-1800000</v>
      </c>
      <c r="Q126" s="191">
        <f>SUMIF(Расчет!$V$4:$CC$4,Расчет!Q$4,$V126:$CC126)</f>
        <v>-3600000</v>
      </c>
      <c r="R126" s="191">
        <f>SUMIF(Расчет!$V$4:$CC$4,Расчет!R$4,$V126:$CC126)</f>
        <v>-3600000</v>
      </c>
      <c r="S126" s="191">
        <f>SUMIF(Расчет!$V$4:$CC$4,Расчет!S$4,$V126:$CC126)</f>
        <v>-3600000</v>
      </c>
      <c r="T126" s="191">
        <f>SUMIF(Расчет!$V$4:$CC$4,Расчет!T$4,$V126:$CC126)</f>
        <v>-3600000</v>
      </c>
      <c r="U126" s="139"/>
      <c r="V126" s="191">
        <f t="shared" ref="V126:BA126" si="211">V92*$M126</f>
        <v>0</v>
      </c>
      <c r="W126" s="191">
        <f t="shared" si="211"/>
        <v>0</v>
      </c>
      <c r="X126" s="191">
        <f t="shared" si="211"/>
        <v>0</v>
      </c>
      <c r="Y126" s="191">
        <f t="shared" si="211"/>
        <v>0</v>
      </c>
      <c r="Z126" s="191">
        <f t="shared" si="211"/>
        <v>-150000</v>
      </c>
      <c r="AA126" s="191">
        <f t="shared" si="211"/>
        <v>-150000</v>
      </c>
      <c r="AB126" s="191">
        <f t="shared" si="211"/>
        <v>-150000</v>
      </c>
      <c r="AC126" s="191">
        <f t="shared" si="211"/>
        <v>-150000</v>
      </c>
      <c r="AD126" s="191">
        <f t="shared" si="211"/>
        <v>-300000</v>
      </c>
      <c r="AE126" s="191">
        <f t="shared" si="211"/>
        <v>-300000</v>
      </c>
      <c r="AF126" s="191">
        <f t="shared" si="211"/>
        <v>-300000</v>
      </c>
      <c r="AG126" s="191">
        <f t="shared" si="211"/>
        <v>-300000</v>
      </c>
      <c r="AH126" s="191">
        <f t="shared" si="211"/>
        <v>-300000</v>
      </c>
      <c r="AI126" s="191">
        <f t="shared" si="211"/>
        <v>-300000</v>
      </c>
      <c r="AJ126" s="191">
        <f t="shared" si="211"/>
        <v>-300000</v>
      </c>
      <c r="AK126" s="191">
        <f t="shared" si="211"/>
        <v>-300000</v>
      </c>
      <c r="AL126" s="191">
        <f t="shared" si="211"/>
        <v>-300000</v>
      </c>
      <c r="AM126" s="191">
        <f t="shared" si="211"/>
        <v>-300000</v>
      </c>
      <c r="AN126" s="191">
        <f t="shared" si="211"/>
        <v>-300000</v>
      </c>
      <c r="AO126" s="191">
        <f t="shared" si="211"/>
        <v>-300000</v>
      </c>
      <c r="AP126" s="191">
        <f t="shared" si="211"/>
        <v>-300000</v>
      </c>
      <c r="AQ126" s="191">
        <f t="shared" si="211"/>
        <v>-300000</v>
      </c>
      <c r="AR126" s="191">
        <f t="shared" si="211"/>
        <v>-300000</v>
      </c>
      <c r="AS126" s="191">
        <f t="shared" si="211"/>
        <v>-300000</v>
      </c>
      <c r="AT126" s="191">
        <f t="shared" si="211"/>
        <v>-300000</v>
      </c>
      <c r="AU126" s="191">
        <f t="shared" si="211"/>
        <v>-300000</v>
      </c>
      <c r="AV126" s="191">
        <f t="shared" si="211"/>
        <v>-300000</v>
      </c>
      <c r="AW126" s="191">
        <f t="shared" si="211"/>
        <v>-300000</v>
      </c>
      <c r="AX126" s="191">
        <f t="shared" si="211"/>
        <v>-300000</v>
      </c>
      <c r="AY126" s="191">
        <f t="shared" si="211"/>
        <v>-300000</v>
      </c>
      <c r="AZ126" s="191">
        <f t="shared" si="211"/>
        <v>-300000</v>
      </c>
      <c r="BA126" s="191">
        <f t="shared" si="211"/>
        <v>-300000</v>
      </c>
      <c r="BB126" s="191">
        <f t="shared" ref="BB126:CC126" si="212">BB92*$M126</f>
        <v>-300000</v>
      </c>
      <c r="BC126" s="191">
        <f t="shared" si="212"/>
        <v>-300000</v>
      </c>
      <c r="BD126" s="191">
        <f t="shared" si="212"/>
        <v>-300000</v>
      </c>
      <c r="BE126" s="191">
        <f t="shared" si="212"/>
        <v>-300000</v>
      </c>
      <c r="BF126" s="191">
        <f t="shared" si="212"/>
        <v>-300000</v>
      </c>
      <c r="BG126" s="191">
        <f t="shared" si="212"/>
        <v>-300000</v>
      </c>
      <c r="BH126" s="191">
        <f t="shared" si="212"/>
        <v>-300000</v>
      </c>
      <c r="BI126" s="191">
        <f t="shared" si="212"/>
        <v>-300000</v>
      </c>
      <c r="BJ126" s="191">
        <f t="shared" si="212"/>
        <v>-300000</v>
      </c>
      <c r="BK126" s="191">
        <f t="shared" si="212"/>
        <v>-300000</v>
      </c>
      <c r="BL126" s="191">
        <f t="shared" si="212"/>
        <v>-300000</v>
      </c>
      <c r="BM126" s="191">
        <f t="shared" si="212"/>
        <v>-300000</v>
      </c>
      <c r="BN126" s="191">
        <f t="shared" si="212"/>
        <v>-300000</v>
      </c>
      <c r="BO126" s="191">
        <f t="shared" si="212"/>
        <v>-300000</v>
      </c>
      <c r="BP126" s="191">
        <f t="shared" si="212"/>
        <v>-300000</v>
      </c>
      <c r="BQ126" s="191">
        <f t="shared" si="212"/>
        <v>-300000</v>
      </c>
      <c r="BR126" s="191">
        <f t="shared" si="212"/>
        <v>-300000</v>
      </c>
      <c r="BS126" s="191">
        <f t="shared" si="212"/>
        <v>-300000</v>
      </c>
      <c r="BT126" s="191">
        <f t="shared" si="212"/>
        <v>-300000</v>
      </c>
      <c r="BU126" s="191">
        <f t="shared" si="212"/>
        <v>-300000</v>
      </c>
      <c r="BV126" s="191">
        <f t="shared" si="212"/>
        <v>-300000</v>
      </c>
      <c r="BW126" s="191">
        <f t="shared" si="212"/>
        <v>-300000</v>
      </c>
      <c r="BX126" s="191">
        <f t="shared" si="212"/>
        <v>-300000</v>
      </c>
      <c r="BY126" s="191">
        <f t="shared" si="212"/>
        <v>-300000</v>
      </c>
      <c r="BZ126" s="191">
        <f t="shared" si="212"/>
        <v>-300000</v>
      </c>
      <c r="CA126" s="191">
        <f t="shared" si="212"/>
        <v>-300000</v>
      </c>
      <c r="CB126" s="191">
        <f t="shared" si="212"/>
        <v>-300000</v>
      </c>
      <c r="CC126" s="191">
        <f t="shared" si="212"/>
        <v>-300000</v>
      </c>
      <c r="CD126" s="110"/>
      <c r="CE126" s="219"/>
    </row>
    <row r="127" spans="1:83" s="45" customFormat="1" ht="15" customHeight="1" outlineLevel="1" x14ac:dyDescent="0.3">
      <c r="A127" s="111"/>
      <c r="B127" s="30"/>
      <c r="C127" s="110"/>
      <c r="D127" s="166" t="str">
        <f>D93</f>
        <v>Грузчик</v>
      </c>
      <c r="E127" s="24"/>
      <c r="F127" s="24"/>
      <c r="G127" s="24"/>
      <c r="H127" s="24"/>
      <c r="I127" s="31" t="str">
        <f>Ввод!$M$12</f>
        <v>руб</v>
      </c>
      <c r="J127" s="31"/>
      <c r="K127" s="31"/>
      <c r="L127" s="31"/>
      <c r="M127" s="95">
        <v>-100000</v>
      </c>
      <c r="N127" s="191">
        <f t="shared" ref="N127:N128" si="213">SUM(P127:T127)</f>
        <v>-21600000</v>
      </c>
      <c r="O127" s="249"/>
      <c r="P127" s="191">
        <f>SUMIF(Расчет!$V$4:$CC$4,Расчет!P$4,$V127:$CC127)</f>
        <v>-2400000</v>
      </c>
      <c r="Q127" s="191">
        <f>SUMIF(Расчет!$V$4:$CC$4,Расчет!Q$4,$V127:$CC127)</f>
        <v>-4800000</v>
      </c>
      <c r="R127" s="191">
        <f>SUMIF(Расчет!$V$4:$CC$4,Расчет!R$4,$V127:$CC127)</f>
        <v>-4800000</v>
      </c>
      <c r="S127" s="191">
        <f>SUMIF(Расчет!$V$4:$CC$4,Расчет!S$4,$V127:$CC127)</f>
        <v>-4800000</v>
      </c>
      <c r="T127" s="191">
        <f>SUMIF(Расчет!$V$4:$CC$4,Расчет!T$4,$V127:$CC127)</f>
        <v>-4800000</v>
      </c>
      <c r="U127" s="139"/>
      <c r="V127" s="191">
        <f t="shared" ref="V127:BA127" si="214">V93*$M127</f>
        <v>0</v>
      </c>
      <c r="W127" s="191">
        <f t="shared" si="214"/>
        <v>0</v>
      </c>
      <c r="X127" s="191">
        <f t="shared" si="214"/>
        <v>0</v>
      </c>
      <c r="Y127" s="191">
        <f t="shared" si="214"/>
        <v>0</v>
      </c>
      <c r="Z127" s="191">
        <f t="shared" si="214"/>
        <v>-200000</v>
      </c>
      <c r="AA127" s="191">
        <f t="shared" si="214"/>
        <v>-200000</v>
      </c>
      <c r="AB127" s="191">
        <f t="shared" si="214"/>
        <v>-200000</v>
      </c>
      <c r="AC127" s="191">
        <f t="shared" si="214"/>
        <v>-200000</v>
      </c>
      <c r="AD127" s="191">
        <f t="shared" si="214"/>
        <v>-400000</v>
      </c>
      <c r="AE127" s="191">
        <f t="shared" si="214"/>
        <v>-400000</v>
      </c>
      <c r="AF127" s="191">
        <f t="shared" si="214"/>
        <v>-400000</v>
      </c>
      <c r="AG127" s="191">
        <f t="shared" si="214"/>
        <v>-400000</v>
      </c>
      <c r="AH127" s="191">
        <f t="shared" si="214"/>
        <v>-400000</v>
      </c>
      <c r="AI127" s="191">
        <f t="shared" si="214"/>
        <v>-400000</v>
      </c>
      <c r="AJ127" s="191">
        <f t="shared" si="214"/>
        <v>-400000</v>
      </c>
      <c r="AK127" s="191">
        <f t="shared" si="214"/>
        <v>-400000</v>
      </c>
      <c r="AL127" s="191">
        <f t="shared" si="214"/>
        <v>-400000</v>
      </c>
      <c r="AM127" s="191">
        <f t="shared" si="214"/>
        <v>-400000</v>
      </c>
      <c r="AN127" s="191">
        <f t="shared" si="214"/>
        <v>-400000</v>
      </c>
      <c r="AO127" s="191">
        <f t="shared" si="214"/>
        <v>-400000</v>
      </c>
      <c r="AP127" s="191">
        <f t="shared" si="214"/>
        <v>-400000</v>
      </c>
      <c r="AQ127" s="191">
        <f t="shared" si="214"/>
        <v>-400000</v>
      </c>
      <c r="AR127" s="191">
        <f t="shared" si="214"/>
        <v>-400000</v>
      </c>
      <c r="AS127" s="191">
        <f t="shared" si="214"/>
        <v>-400000</v>
      </c>
      <c r="AT127" s="191">
        <f t="shared" si="214"/>
        <v>-400000</v>
      </c>
      <c r="AU127" s="191">
        <f t="shared" si="214"/>
        <v>-400000</v>
      </c>
      <c r="AV127" s="191">
        <f t="shared" si="214"/>
        <v>-400000</v>
      </c>
      <c r="AW127" s="191">
        <f t="shared" si="214"/>
        <v>-400000</v>
      </c>
      <c r="AX127" s="191">
        <f t="shared" si="214"/>
        <v>-400000</v>
      </c>
      <c r="AY127" s="191">
        <f t="shared" si="214"/>
        <v>-400000</v>
      </c>
      <c r="AZ127" s="191">
        <f t="shared" si="214"/>
        <v>-400000</v>
      </c>
      <c r="BA127" s="191">
        <f t="shared" si="214"/>
        <v>-400000</v>
      </c>
      <c r="BB127" s="191">
        <f t="shared" ref="BB127:CC127" si="215">BB93*$M127</f>
        <v>-400000</v>
      </c>
      <c r="BC127" s="191">
        <f t="shared" si="215"/>
        <v>-400000</v>
      </c>
      <c r="BD127" s="191">
        <f t="shared" si="215"/>
        <v>-400000</v>
      </c>
      <c r="BE127" s="191">
        <f t="shared" si="215"/>
        <v>-400000</v>
      </c>
      <c r="BF127" s="191">
        <f t="shared" si="215"/>
        <v>-400000</v>
      </c>
      <c r="BG127" s="191">
        <f t="shared" si="215"/>
        <v>-400000</v>
      </c>
      <c r="BH127" s="191">
        <f t="shared" si="215"/>
        <v>-400000</v>
      </c>
      <c r="BI127" s="191">
        <f t="shared" si="215"/>
        <v>-400000</v>
      </c>
      <c r="BJ127" s="191">
        <f t="shared" si="215"/>
        <v>-400000</v>
      </c>
      <c r="BK127" s="191">
        <f t="shared" si="215"/>
        <v>-400000</v>
      </c>
      <c r="BL127" s="191">
        <f t="shared" si="215"/>
        <v>-400000</v>
      </c>
      <c r="BM127" s="191">
        <f t="shared" si="215"/>
        <v>-400000</v>
      </c>
      <c r="BN127" s="191">
        <f t="shared" si="215"/>
        <v>-400000</v>
      </c>
      <c r="BO127" s="191">
        <f t="shared" si="215"/>
        <v>-400000</v>
      </c>
      <c r="BP127" s="191">
        <f t="shared" si="215"/>
        <v>-400000</v>
      </c>
      <c r="BQ127" s="191">
        <f t="shared" si="215"/>
        <v>-400000</v>
      </c>
      <c r="BR127" s="191">
        <f t="shared" si="215"/>
        <v>-400000</v>
      </c>
      <c r="BS127" s="191">
        <f t="shared" si="215"/>
        <v>-400000</v>
      </c>
      <c r="BT127" s="191">
        <f t="shared" si="215"/>
        <v>-400000</v>
      </c>
      <c r="BU127" s="191">
        <f t="shared" si="215"/>
        <v>-400000</v>
      </c>
      <c r="BV127" s="191">
        <f t="shared" si="215"/>
        <v>-400000</v>
      </c>
      <c r="BW127" s="191">
        <f t="shared" si="215"/>
        <v>-400000</v>
      </c>
      <c r="BX127" s="191">
        <f t="shared" si="215"/>
        <v>-400000</v>
      </c>
      <c r="BY127" s="191">
        <f t="shared" si="215"/>
        <v>-400000</v>
      </c>
      <c r="BZ127" s="191">
        <f t="shared" si="215"/>
        <v>-400000</v>
      </c>
      <c r="CA127" s="191">
        <f t="shared" si="215"/>
        <v>-400000</v>
      </c>
      <c r="CB127" s="191">
        <f t="shared" si="215"/>
        <v>-400000</v>
      </c>
      <c r="CC127" s="191">
        <f t="shared" si="215"/>
        <v>-400000</v>
      </c>
      <c r="CD127" s="110"/>
      <c r="CE127" s="219"/>
    </row>
    <row r="128" spans="1:83" s="45" customFormat="1" ht="15" customHeight="1" outlineLevel="1" x14ac:dyDescent="0.3">
      <c r="A128" s="111"/>
      <c r="B128" s="30"/>
      <c r="C128" s="110"/>
      <c r="D128" s="166" t="str">
        <f>D94</f>
        <v>Оператор службы доставки</v>
      </c>
      <c r="E128" s="24"/>
      <c r="F128" s="24"/>
      <c r="G128" s="24"/>
      <c r="H128" s="24"/>
      <c r="I128" s="31" t="str">
        <f>Ввод!$M$12</f>
        <v>руб</v>
      </c>
      <c r="J128" s="31"/>
      <c r="K128" s="31"/>
      <c r="L128" s="31"/>
      <c r="M128" s="95">
        <v>-90000</v>
      </c>
      <c r="N128" s="191">
        <f t="shared" si="213"/>
        <v>-5040000</v>
      </c>
      <c r="O128" s="249"/>
      <c r="P128" s="191">
        <f>SUMIF(Расчет!$V$4:$CC$4,Расчет!P$4,$V128:$CC128)</f>
        <v>-720000</v>
      </c>
      <c r="Q128" s="191">
        <f>SUMIF(Расчет!$V$4:$CC$4,Расчет!Q$4,$V128:$CC128)</f>
        <v>-1080000</v>
      </c>
      <c r="R128" s="191">
        <f>SUMIF(Расчет!$V$4:$CC$4,Расчет!R$4,$V128:$CC128)</f>
        <v>-1080000</v>
      </c>
      <c r="S128" s="191">
        <f>SUMIF(Расчет!$V$4:$CC$4,Расчет!S$4,$V128:$CC128)</f>
        <v>-1080000</v>
      </c>
      <c r="T128" s="191">
        <f>SUMIF(Расчет!$V$4:$CC$4,Расчет!T$4,$V128:$CC128)</f>
        <v>-1080000</v>
      </c>
      <c r="U128" s="139"/>
      <c r="V128" s="191">
        <f t="shared" ref="V128:BA128" si="216">V94*$M128</f>
        <v>0</v>
      </c>
      <c r="W128" s="191">
        <f t="shared" si="216"/>
        <v>0</v>
      </c>
      <c r="X128" s="191">
        <f t="shared" si="216"/>
        <v>0</v>
      </c>
      <c r="Y128" s="191">
        <f t="shared" si="216"/>
        <v>0</v>
      </c>
      <c r="Z128" s="191">
        <f t="shared" si="216"/>
        <v>-90000</v>
      </c>
      <c r="AA128" s="191">
        <f t="shared" si="216"/>
        <v>-90000</v>
      </c>
      <c r="AB128" s="191">
        <f t="shared" si="216"/>
        <v>-90000</v>
      </c>
      <c r="AC128" s="191">
        <f t="shared" si="216"/>
        <v>-90000</v>
      </c>
      <c r="AD128" s="191">
        <f t="shared" si="216"/>
        <v>-90000</v>
      </c>
      <c r="AE128" s="191">
        <f t="shared" si="216"/>
        <v>-90000</v>
      </c>
      <c r="AF128" s="191">
        <f t="shared" si="216"/>
        <v>-90000</v>
      </c>
      <c r="AG128" s="191">
        <f t="shared" si="216"/>
        <v>-90000</v>
      </c>
      <c r="AH128" s="191">
        <f t="shared" si="216"/>
        <v>-90000</v>
      </c>
      <c r="AI128" s="191">
        <f t="shared" si="216"/>
        <v>-90000</v>
      </c>
      <c r="AJ128" s="191">
        <f t="shared" si="216"/>
        <v>-90000</v>
      </c>
      <c r="AK128" s="191">
        <f t="shared" si="216"/>
        <v>-90000</v>
      </c>
      <c r="AL128" s="191">
        <f t="shared" si="216"/>
        <v>-90000</v>
      </c>
      <c r="AM128" s="191">
        <f t="shared" si="216"/>
        <v>-90000</v>
      </c>
      <c r="AN128" s="191">
        <f t="shared" si="216"/>
        <v>-90000</v>
      </c>
      <c r="AO128" s="191">
        <f t="shared" si="216"/>
        <v>-90000</v>
      </c>
      <c r="AP128" s="191">
        <f t="shared" si="216"/>
        <v>-90000</v>
      </c>
      <c r="AQ128" s="191">
        <f t="shared" si="216"/>
        <v>-90000</v>
      </c>
      <c r="AR128" s="191">
        <f t="shared" si="216"/>
        <v>-90000</v>
      </c>
      <c r="AS128" s="191">
        <f t="shared" si="216"/>
        <v>-90000</v>
      </c>
      <c r="AT128" s="191">
        <f t="shared" si="216"/>
        <v>-90000</v>
      </c>
      <c r="AU128" s="191">
        <f t="shared" si="216"/>
        <v>-90000</v>
      </c>
      <c r="AV128" s="191">
        <f t="shared" si="216"/>
        <v>-90000</v>
      </c>
      <c r="AW128" s="191">
        <f t="shared" si="216"/>
        <v>-90000</v>
      </c>
      <c r="AX128" s="191">
        <f t="shared" si="216"/>
        <v>-90000</v>
      </c>
      <c r="AY128" s="191">
        <f t="shared" si="216"/>
        <v>-90000</v>
      </c>
      <c r="AZ128" s="191">
        <f t="shared" si="216"/>
        <v>-90000</v>
      </c>
      <c r="BA128" s="191">
        <f t="shared" si="216"/>
        <v>-90000</v>
      </c>
      <c r="BB128" s="191">
        <f t="shared" ref="BB128:CC128" si="217">BB94*$M128</f>
        <v>-90000</v>
      </c>
      <c r="BC128" s="191">
        <f t="shared" si="217"/>
        <v>-90000</v>
      </c>
      <c r="BD128" s="191">
        <f t="shared" si="217"/>
        <v>-90000</v>
      </c>
      <c r="BE128" s="191">
        <f t="shared" si="217"/>
        <v>-90000</v>
      </c>
      <c r="BF128" s="191">
        <f t="shared" si="217"/>
        <v>-90000</v>
      </c>
      <c r="BG128" s="191">
        <f t="shared" si="217"/>
        <v>-90000</v>
      </c>
      <c r="BH128" s="191">
        <f t="shared" si="217"/>
        <v>-90000</v>
      </c>
      <c r="BI128" s="191">
        <f t="shared" si="217"/>
        <v>-90000</v>
      </c>
      <c r="BJ128" s="191">
        <f t="shared" si="217"/>
        <v>-90000</v>
      </c>
      <c r="BK128" s="191">
        <f t="shared" si="217"/>
        <v>-90000</v>
      </c>
      <c r="BL128" s="191">
        <f t="shared" si="217"/>
        <v>-90000</v>
      </c>
      <c r="BM128" s="191">
        <f t="shared" si="217"/>
        <v>-90000</v>
      </c>
      <c r="BN128" s="191">
        <f t="shared" si="217"/>
        <v>-90000</v>
      </c>
      <c r="BO128" s="191">
        <f t="shared" si="217"/>
        <v>-90000</v>
      </c>
      <c r="BP128" s="191">
        <f t="shared" si="217"/>
        <v>-90000</v>
      </c>
      <c r="BQ128" s="191">
        <f t="shared" si="217"/>
        <v>-90000</v>
      </c>
      <c r="BR128" s="191">
        <f t="shared" si="217"/>
        <v>-90000</v>
      </c>
      <c r="BS128" s="191">
        <f t="shared" si="217"/>
        <v>-90000</v>
      </c>
      <c r="BT128" s="191">
        <f t="shared" si="217"/>
        <v>-90000</v>
      </c>
      <c r="BU128" s="191">
        <f t="shared" si="217"/>
        <v>-90000</v>
      </c>
      <c r="BV128" s="191">
        <f t="shared" si="217"/>
        <v>-90000</v>
      </c>
      <c r="BW128" s="191">
        <f t="shared" si="217"/>
        <v>-90000</v>
      </c>
      <c r="BX128" s="191">
        <f t="shared" si="217"/>
        <v>-90000</v>
      </c>
      <c r="BY128" s="191">
        <f t="shared" si="217"/>
        <v>-90000</v>
      </c>
      <c r="BZ128" s="191">
        <f t="shared" si="217"/>
        <v>-90000</v>
      </c>
      <c r="CA128" s="191">
        <f t="shared" si="217"/>
        <v>-90000</v>
      </c>
      <c r="CB128" s="191">
        <f t="shared" si="217"/>
        <v>-90000</v>
      </c>
      <c r="CC128" s="191">
        <f t="shared" si="217"/>
        <v>-90000</v>
      </c>
      <c r="CD128" s="110"/>
      <c r="CE128" s="219"/>
    </row>
    <row r="129" spans="1:83" s="72" customFormat="1" ht="15" customHeight="1" outlineLevel="1" x14ac:dyDescent="0.3">
      <c r="A129" s="74"/>
      <c r="B129" s="73"/>
      <c r="D129" s="134" t="s">
        <v>26</v>
      </c>
      <c r="E129" s="28"/>
      <c r="F129" s="28"/>
      <c r="G129" s="28"/>
      <c r="H129" s="28"/>
      <c r="I129" s="6" t="str">
        <f>Ввод!$M$12</f>
        <v>руб</v>
      </c>
      <c r="J129" s="6"/>
      <c r="K129" s="6"/>
      <c r="L129" s="6"/>
      <c r="M129" s="235"/>
      <c r="N129" s="225">
        <f>SUM(P129:T129)</f>
        <v>-49560000</v>
      </c>
      <c r="O129" s="143"/>
      <c r="P129" s="225">
        <f>SUMIF(Расчет!$V$4:$CC$4,Расчет!P$4,$V129:$CC129)</f>
        <v>-5880000</v>
      </c>
      <c r="Q129" s="225">
        <f>SUMIF(Расчет!$V$4:$CC$4,Расчет!Q$4,$V129:$CC129)</f>
        <v>-10920000</v>
      </c>
      <c r="R129" s="225">
        <f>SUMIF(Расчет!$V$4:$CC$4,Расчет!R$4,$V129:$CC129)</f>
        <v>-10920000</v>
      </c>
      <c r="S129" s="225">
        <f>SUMIF(Расчет!$V$4:$CC$4,Расчет!S$4,$V129:$CC129)</f>
        <v>-10920000</v>
      </c>
      <c r="T129" s="225">
        <f>SUMIF(Расчет!$V$4:$CC$4,Расчет!T$4,$V129:$CC129)</f>
        <v>-10920000</v>
      </c>
      <c r="U129" s="227"/>
      <c r="V129" s="225">
        <f t="shared" ref="V129:BA129" si="218">SUM(V125:V128)</f>
        <v>0</v>
      </c>
      <c r="W129" s="225">
        <f t="shared" si="218"/>
        <v>0</v>
      </c>
      <c r="X129" s="225">
        <f t="shared" si="218"/>
        <v>0</v>
      </c>
      <c r="Y129" s="225">
        <f t="shared" si="218"/>
        <v>0</v>
      </c>
      <c r="Z129" s="225">
        <f t="shared" si="218"/>
        <v>-560000</v>
      </c>
      <c r="AA129" s="225">
        <f t="shared" si="218"/>
        <v>-560000</v>
      </c>
      <c r="AB129" s="225">
        <f t="shared" si="218"/>
        <v>-560000</v>
      </c>
      <c r="AC129" s="225">
        <f t="shared" si="218"/>
        <v>-560000</v>
      </c>
      <c r="AD129" s="225">
        <f t="shared" si="218"/>
        <v>-910000</v>
      </c>
      <c r="AE129" s="225">
        <f t="shared" si="218"/>
        <v>-910000</v>
      </c>
      <c r="AF129" s="225">
        <f t="shared" si="218"/>
        <v>-910000</v>
      </c>
      <c r="AG129" s="225">
        <f t="shared" si="218"/>
        <v>-910000</v>
      </c>
      <c r="AH129" s="225">
        <f t="shared" si="218"/>
        <v>-910000</v>
      </c>
      <c r="AI129" s="225">
        <f t="shared" si="218"/>
        <v>-910000</v>
      </c>
      <c r="AJ129" s="225">
        <f t="shared" si="218"/>
        <v>-910000</v>
      </c>
      <c r="AK129" s="225">
        <f t="shared" si="218"/>
        <v>-910000</v>
      </c>
      <c r="AL129" s="225">
        <f t="shared" si="218"/>
        <v>-910000</v>
      </c>
      <c r="AM129" s="225">
        <f t="shared" si="218"/>
        <v>-910000</v>
      </c>
      <c r="AN129" s="225">
        <f t="shared" si="218"/>
        <v>-910000</v>
      </c>
      <c r="AO129" s="225">
        <f t="shared" si="218"/>
        <v>-910000</v>
      </c>
      <c r="AP129" s="225">
        <f t="shared" si="218"/>
        <v>-910000</v>
      </c>
      <c r="AQ129" s="225">
        <f t="shared" si="218"/>
        <v>-910000</v>
      </c>
      <c r="AR129" s="225">
        <f t="shared" si="218"/>
        <v>-910000</v>
      </c>
      <c r="AS129" s="225">
        <f t="shared" si="218"/>
        <v>-910000</v>
      </c>
      <c r="AT129" s="225">
        <f t="shared" si="218"/>
        <v>-910000</v>
      </c>
      <c r="AU129" s="225">
        <f t="shared" si="218"/>
        <v>-910000</v>
      </c>
      <c r="AV129" s="225">
        <f t="shared" si="218"/>
        <v>-910000</v>
      </c>
      <c r="AW129" s="225">
        <f t="shared" si="218"/>
        <v>-910000</v>
      </c>
      <c r="AX129" s="225">
        <f t="shared" si="218"/>
        <v>-910000</v>
      </c>
      <c r="AY129" s="225">
        <f t="shared" si="218"/>
        <v>-910000</v>
      </c>
      <c r="AZ129" s="225">
        <f t="shared" si="218"/>
        <v>-910000</v>
      </c>
      <c r="BA129" s="225">
        <f t="shared" si="218"/>
        <v>-910000</v>
      </c>
      <c r="BB129" s="225">
        <f t="shared" ref="BB129:CC129" si="219">SUM(BB125:BB128)</f>
        <v>-910000</v>
      </c>
      <c r="BC129" s="225">
        <f t="shared" si="219"/>
        <v>-910000</v>
      </c>
      <c r="BD129" s="225">
        <f t="shared" si="219"/>
        <v>-910000</v>
      </c>
      <c r="BE129" s="225">
        <f t="shared" si="219"/>
        <v>-910000</v>
      </c>
      <c r="BF129" s="225">
        <f t="shared" si="219"/>
        <v>-910000</v>
      </c>
      <c r="BG129" s="225">
        <f t="shared" si="219"/>
        <v>-910000</v>
      </c>
      <c r="BH129" s="225">
        <f t="shared" si="219"/>
        <v>-910000</v>
      </c>
      <c r="BI129" s="225">
        <f t="shared" si="219"/>
        <v>-910000</v>
      </c>
      <c r="BJ129" s="225">
        <f t="shared" si="219"/>
        <v>-910000</v>
      </c>
      <c r="BK129" s="225">
        <f t="shared" si="219"/>
        <v>-910000</v>
      </c>
      <c r="BL129" s="225">
        <f t="shared" si="219"/>
        <v>-910000</v>
      </c>
      <c r="BM129" s="225">
        <f t="shared" si="219"/>
        <v>-910000</v>
      </c>
      <c r="BN129" s="225">
        <f t="shared" si="219"/>
        <v>-910000</v>
      </c>
      <c r="BO129" s="225">
        <f t="shared" si="219"/>
        <v>-910000</v>
      </c>
      <c r="BP129" s="225">
        <f t="shared" si="219"/>
        <v>-910000</v>
      </c>
      <c r="BQ129" s="225">
        <f t="shared" si="219"/>
        <v>-910000</v>
      </c>
      <c r="BR129" s="225">
        <f t="shared" si="219"/>
        <v>-910000</v>
      </c>
      <c r="BS129" s="225">
        <f t="shared" si="219"/>
        <v>-910000</v>
      </c>
      <c r="BT129" s="225">
        <f t="shared" si="219"/>
        <v>-910000</v>
      </c>
      <c r="BU129" s="225">
        <f t="shared" si="219"/>
        <v>-910000</v>
      </c>
      <c r="BV129" s="225">
        <f t="shared" si="219"/>
        <v>-910000</v>
      </c>
      <c r="BW129" s="225">
        <f t="shared" si="219"/>
        <v>-910000</v>
      </c>
      <c r="BX129" s="225">
        <f t="shared" si="219"/>
        <v>-910000</v>
      </c>
      <c r="BY129" s="225">
        <f t="shared" si="219"/>
        <v>-910000</v>
      </c>
      <c r="BZ129" s="225">
        <f t="shared" si="219"/>
        <v>-910000</v>
      </c>
      <c r="CA129" s="225">
        <f t="shared" si="219"/>
        <v>-910000</v>
      </c>
      <c r="CB129" s="225">
        <f t="shared" si="219"/>
        <v>-910000</v>
      </c>
      <c r="CC129" s="225">
        <f t="shared" si="219"/>
        <v>-910000</v>
      </c>
      <c r="CE129" s="74"/>
    </row>
    <row r="130" spans="1:83" s="45" customFormat="1" ht="15" customHeight="1" outlineLevel="1" x14ac:dyDescent="0.3">
      <c r="A130" s="111"/>
      <c r="B130" s="30"/>
      <c r="C130" s="110"/>
      <c r="D130" s="131"/>
      <c r="E130" s="114"/>
      <c r="F130" s="114"/>
      <c r="G130" s="114"/>
      <c r="H130" s="114"/>
      <c r="I130" s="6"/>
      <c r="J130" s="6"/>
      <c r="K130" s="6"/>
      <c r="L130" s="6"/>
      <c r="M130" s="49"/>
      <c r="N130" s="5"/>
      <c r="O130" s="110"/>
      <c r="P130" s="5"/>
      <c r="Q130" s="5"/>
      <c r="R130" s="5"/>
      <c r="S130" s="5"/>
      <c r="T130" s="5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97"/>
      <c r="AK130" s="97"/>
      <c r="AL130" s="97"/>
      <c r="AM130" s="97"/>
      <c r="AN130" s="97"/>
      <c r="AO130" s="97"/>
      <c r="AP130" s="97"/>
      <c r="AQ130" s="97"/>
      <c r="AR130" s="97"/>
      <c r="AS130" s="97"/>
      <c r="AT130" s="97"/>
      <c r="AU130" s="97"/>
      <c r="AV130" s="97"/>
      <c r="AW130" s="97"/>
      <c r="AX130" s="97"/>
      <c r="AY130" s="97"/>
      <c r="AZ130" s="97"/>
      <c r="BA130" s="97"/>
      <c r="BB130" s="97"/>
      <c r="BC130" s="97"/>
      <c r="BD130" s="97"/>
      <c r="BE130" s="97"/>
      <c r="BF130" s="97"/>
      <c r="BG130" s="97"/>
      <c r="BH130" s="97"/>
      <c r="BI130" s="97"/>
      <c r="BJ130" s="97"/>
      <c r="BK130" s="97"/>
      <c r="BL130" s="97"/>
      <c r="BM130" s="97"/>
      <c r="BN130" s="97"/>
      <c r="BO130" s="97"/>
      <c r="BP130" s="97"/>
      <c r="BQ130" s="97"/>
      <c r="BR130" s="97"/>
      <c r="BS130" s="97"/>
      <c r="BT130" s="97"/>
      <c r="BU130" s="97"/>
      <c r="BV130" s="97"/>
      <c r="BW130" s="97"/>
      <c r="BX130" s="97"/>
      <c r="BY130" s="97"/>
      <c r="BZ130" s="97"/>
      <c r="CA130" s="97"/>
      <c r="CB130" s="97"/>
      <c r="CC130" s="97"/>
      <c r="CD130" s="110"/>
      <c r="CE130" s="219"/>
    </row>
    <row r="131" spans="1:83" s="45" customFormat="1" ht="15" customHeight="1" outlineLevel="1" x14ac:dyDescent="0.3">
      <c r="A131" s="111"/>
      <c r="B131" s="30"/>
      <c r="C131" s="110"/>
      <c r="D131" s="288" t="str">
        <f t="shared" ref="D131:D138" si="220">D97</f>
        <v>Администрация</v>
      </c>
      <c r="E131" s="28"/>
      <c r="F131" s="28"/>
      <c r="G131" s="28"/>
      <c r="H131" s="28"/>
      <c r="I131" s="6"/>
      <c r="J131" s="6"/>
      <c r="K131" s="6"/>
      <c r="L131" s="6"/>
      <c r="M131" s="5" t="s">
        <v>51</v>
      </c>
      <c r="N131" s="5"/>
      <c r="O131" s="110"/>
      <c r="P131" s="5"/>
      <c r="Q131" s="5"/>
      <c r="R131" s="5"/>
      <c r="S131" s="5"/>
      <c r="T131" s="5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97"/>
      <c r="AK131" s="97"/>
      <c r="AL131" s="97"/>
      <c r="AM131" s="97"/>
      <c r="AN131" s="97"/>
      <c r="AO131" s="97"/>
      <c r="AP131" s="97"/>
      <c r="AQ131" s="97"/>
      <c r="AR131" s="97"/>
      <c r="AS131" s="97"/>
      <c r="AT131" s="97"/>
      <c r="AU131" s="97"/>
      <c r="AV131" s="97"/>
      <c r="AW131" s="97"/>
      <c r="AX131" s="97"/>
      <c r="AY131" s="97"/>
      <c r="AZ131" s="97"/>
      <c r="BA131" s="97"/>
      <c r="BB131" s="97"/>
      <c r="BC131" s="97"/>
      <c r="BD131" s="97"/>
      <c r="BE131" s="97"/>
      <c r="BF131" s="97"/>
      <c r="BG131" s="97"/>
      <c r="BH131" s="97"/>
      <c r="BI131" s="97"/>
      <c r="BJ131" s="97"/>
      <c r="BK131" s="97"/>
      <c r="BL131" s="97"/>
      <c r="BM131" s="97"/>
      <c r="BN131" s="97"/>
      <c r="BO131" s="97"/>
      <c r="BP131" s="97"/>
      <c r="BQ131" s="97"/>
      <c r="BR131" s="97"/>
      <c r="BS131" s="97"/>
      <c r="BT131" s="97"/>
      <c r="BU131" s="97"/>
      <c r="BV131" s="97"/>
      <c r="BW131" s="97"/>
      <c r="BX131" s="97"/>
      <c r="BY131" s="97"/>
      <c r="BZ131" s="97"/>
      <c r="CA131" s="97"/>
      <c r="CB131" s="97"/>
      <c r="CC131" s="97"/>
      <c r="CD131" s="110"/>
      <c r="CE131" s="219"/>
    </row>
    <row r="132" spans="1:83" s="45" customFormat="1" ht="15" customHeight="1" outlineLevel="1" x14ac:dyDescent="0.3">
      <c r="A132" s="111"/>
      <c r="B132" s="30"/>
      <c r="C132" s="110"/>
      <c r="D132" s="14" t="str">
        <f t="shared" si="220"/>
        <v>Генеральный директор</v>
      </c>
      <c r="E132" s="24"/>
      <c r="F132" s="24"/>
      <c r="G132" s="24"/>
      <c r="H132" s="24"/>
      <c r="I132" s="31" t="str">
        <f>Ввод!$M$12</f>
        <v>руб</v>
      </c>
      <c r="J132" s="31"/>
      <c r="K132" s="31"/>
      <c r="L132" s="31"/>
      <c r="M132" s="95">
        <v>-250000</v>
      </c>
      <c r="N132" s="191">
        <f>SUM(P132:T132)</f>
        <v>-15000000</v>
      </c>
      <c r="O132" s="249"/>
      <c r="P132" s="191">
        <f>SUMIF(Расчет!$V$4:$CC$4,Расчет!P$4,$V132:$CC132)</f>
        <v>-3000000</v>
      </c>
      <c r="Q132" s="191">
        <f>SUMIF(Расчет!$V$4:$CC$4,Расчет!Q$4,$V132:$CC132)</f>
        <v>-3000000</v>
      </c>
      <c r="R132" s="191">
        <f>SUMIF(Расчет!$V$4:$CC$4,Расчет!R$4,$V132:$CC132)</f>
        <v>-3000000</v>
      </c>
      <c r="S132" s="191">
        <f>SUMIF(Расчет!$V$4:$CC$4,Расчет!S$4,$V132:$CC132)</f>
        <v>-3000000</v>
      </c>
      <c r="T132" s="191">
        <f>SUMIF(Расчет!$V$4:$CC$4,Расчет!T$4,$V132:$CC132)</f>
        <v>-3000000</v>
      </c>
      <c r="U132" s="139"/>
      <c r="V132" s="191">
        <f t="shared" ref="V132:BA132" si="221">V98*$M132</f>
        <v>-250000</v>
      </c>
      <c r="W132" s="191">
        <f t="shared" si="221"/>
        <v>-250000</v>
      </c>
      <c r="X132" s="191">
        <f t="shared" si="221"/>
        <v>-250000</v>
      </c>
      <c r="Y132" s="191">
        <f t="shared" si="221"/>
        <v>-250000</v>
      </c>
      <c r="Z132" s="191">
        <f t="shared" si="221"/>
        <v>-250000</v>
      </c>
      <c r="AA132" s="191">
        <f t="shared" si="221"/>
        <v>-250000</v>
      </c>
      <c r="AB132" s="191">
        <f t="shared" si="221"/>
        <v>-250000</v>
      </c>
      <c r="AC132" s="191">
        <f t="shared" si="221"/>
        <v>-250000</v>
      </c>
      <c r="AD132" s="191">
        <f t="shared" si="221"/>
        <v>-250000</v>
      </c>
      <c r="AE132" s="191">
        <f t="shared" si="221"/>
        <v>-250000</v>
      </c>
      <c r="AF132" s="191">
        <f t="shared" si="221"/>
        <v>-250000</v>
      </c>
      <c r="AG132" s="191">
        <f t="shared" si="221"/>
        <v>-250000</v>
      </c>
      <c r="AH132" s="191">
        <f t="shared" si="221"/>
        <v>-250000</v>
      </c>
      <c r="AI132" s="191">
        <f t="shared" si="221"/>
        <v>-250000</v>
      </c>
      <c r="AJ132" s="191">
        <f t="shared" si="221"/>
        <v>-250000</v>
      </c>
      <c r="AK132" s="191">
        <f t="shared" si="221"/>
        <v>-250000</v>
      </c>
      <c r="AL132" s="191">
        <f t="shared" si="221"/>
        <v>-250000</v>
      </c>
      <c r="AM132" s="191">
        <f t="shared" si="221"/>
        <v>-250000</v>
      </c>
      <c r="AN132" s="191">
        <f t="shared" si="221"/>
        <v>-250000</v>
      </c>
      <c r="AO132" s="191">
        <f t="shared" si="221"/>
        <v>-250000</v>
      </c>
      <c r="AP132" s="191">
        <f t="shared" si="221"/>
        <v>-250000</v>
      </c>
      <c r="AQ132" s="191">
        <f t="shared" si="221"/>
        <v>-250000</v>
      </c>
      <c r="AR132" s="191">
        <f t="shared" si="221"/>
        <v>-250000</v>
      </c>
      <c r="AS132" s="191">
        <f t="shared" si="221"/>
        <v>-250000</v>
      </c>
      <c r="AT132" s="191">
        <f t="shared" si="221"/>
        <v>-250000</v>
      </c>
      <c r="AU132" s="191">
        <f t="shared" si="221"/>
        <v>-250000</v>
      </c>
      <c r="AV132" s="191">
        <f t="shared" si="221"/>
        <v>-250000</v>
      </c>
      <c r="AW132" s="191">
        <f t="shared" si="221"/>
        <v>-250000</v>
      </c>
      <c r="AX132" s="191">
        <f t="shared" si="221"/>
        <v>-250000</v>
      </c>
      <c r="AY132" s="191">
        <f t="shared" si="221"/>
        <v>-250000</v>
      </c>
      <c r="AZ132" s="191">
        <f t="shared" si="221"/>
        <v>-250000</v>
      </c>
      <c r="BA132" s="191">
        <f t="shared" si="221"/>
        <v>-250000</v>
      </c>
      <c r="BB132" s="191">
        <f t="shared" ref="BB132:CC132" si="222">BB98*$M132</f>
        <v>-250000</v>
      </c>
      <c r="BC132" s="191">
        <f t="shared" si="222"/>
        <v>-250000</v>
      </c>
      <c r="BD132" s="191">
        <f t="shared" si="222"/>
        <v>-250000</v>
      </c>
      <c r="BE132" s="191">
        <f t="shared" si="222"/>
        <v>-250000</v>
      </c>
      <c r="BF132" s="191">
        <f t="shared" si="222"/>
        <v>-250000</v>
      </c>
      <c r="BG132" s="191">
        <f t="shared" si="222"/>
        <v>-250000</v>
      </c>
      <c r="BH132" s="191">
        <f t="shared" si="222"/>
        <v>-250000</v>
      </c>
      <c r="BI132" s="191">
        <f t="shared" si="222"/>
        <v>-250000</v>
      </c>
      <c r="BJ132" s="191">
        <f t="shared" si="222"/>
        <v>-250000</v>
      </c>
      <c r="BK132" s="191">
        <f t="shared" si="222"/>
        <v>-250000</v>
      </c>
      <c r="BL132" s="191">
        <f t="shared" si="222"/>
        <v>-250000</v>
      </c>
      <c r="BM132" s="191">
        <f t="shared" si="222"/>
        <v>-250000</v>
      </c>
      <c r="BN132" s="191">
        <f t="shared" si="222"/>
        <v>-250000</v>
      </c>
      <c r="BO132" s="191">
        <f t="shared" si="222"/>
        <v>-250000</v>
      </c>
      <c r="BP132" s="191">
        <f t="shared" si="222"/>
        <v>-250000</v>
      </c>
      <c r="BQ132" s="191">
        <f t="shared" si="222"/>
        <v>-250000</v>
      </c>
      <c r="BR132" s="191">
        <f t="shared" si="222"/>
        <v>-250000</v>
      </c>
      <c r="BS132" s="191">
        <f t="shared" si="222"/>
        <v>-250000</v>
      </c>
      <c r="BT132" s="191">
        <f t="shared" si="222"/>
        <v>-250000</v>
      </c>
      <c r="BU132" s="191">
        <f t="shared" si="222"/>
        <v>-250000</v>
      </c>
      <c r="BV132" s="191">
        <f t="shared" si="222"/>
        <v>-250000</v>
      </c>
      <c r="BW132" s="191">
        <f t="shared" si="222"/>
        <v>-250000</v>
      </c>
      <c r="BX132" s="191">
        <f t="shared" si="222"/>
        <v>-250000</v>
      </c>
      <c r="BY132" s="191">
        <f t="shared" si="222"/>
        <v>-250000</v>
      </c>
      <c r="BZ132" s="191">
        <f t="shared" si="222"/>
        <v>-250000</v>
      </c>
      <c r="CA132" s="191">
        <f t="shared" si="222"/>
        <v>-250000</v>
      </c>
      <c r="CB132" s="191">
        <f t="shared" si="222"/>
        <v>-250000</v>
      </c>
      <c r="CC132" s="191">
        <f t="shared" si="222"/>
        <v>-250000</v>
      </c>
      <c r="CD132" s="110"/>
      <c r="CE132" s="219"/>
    </row>
    <row r="133" spans="1:83" s="45" customFormat="1" ht="15" customHeight="1" outlineLevel="1" x14ac:dyDescent="0.3">
      <c r="A133" s="111"/>
      <c r="B133" s="30"/>
      <c r="C133" s="110"/>
      <c r="D133" s="14" t="str">
        <f t="shared" si="220"/>
        <v>Финансовый директор</v>
      </c>
      <c r="E133" s="24"/>
      <c r="F133" s="24"/>
      <c r="G133" s="24"/>
      <c r="H133" s="24"/>
      <c r="I133" s="31" t="str">
        <f>Ввод!$M$12</f>
        <v>руб</v>
      </c>
      <c r="J133" s="31"/>
      <c r="K133" s="31"/>
      <c r="L133" s="31"/>
      <c r="M133" s="95">
        <v>-200000</v>
      </c>
      <c r="N133" s="191">
        <f>SUM(P133:T133)</f>
        <v>-12000000</v>
      </c>
      <c r="O133" s="249"/>
      <c r="P133" s="191">
        <f>SUMIF(Расчет!$V$4:$CC$4,Расчет!P$4,$V133:$CC133)</f>
        <v>-2400000</v>
      </c>
      <c r="Q133" s="191">
        <f>SUMIF(Расчет!$V$4:$CC$4,Расчет!Q$4,$V133:$CC133)</f>
        <v>-2400000</v>
      </c>
      <c r="R133" s="191">
        <f>SUMIF(Расчет!$V$4:$CC$4,Расчет!R$4,$V133:$CC133)</f>
        <v>-2400000</v>
      </c>
      <c r="S133" s="191">
        <f>SUMIF(Расчет!$V$4:$CC$4,Расчет!S$4,$V133:$CC133)</f>
        <v>-2400000</v>
      </c>
      <c r="T133" s="191">
        <f>SUMIF(Расчет!$V$4:$CC$4,Расчет!T$4,$V133:$CC133)</f>
        <v>-2400000</v>
      </c>
      <c r="U133" s="139"/>
      <c r="V133" s="191">
        <f t="shared" ref="V133:BA133" si="223">V99*$M133</f>
        <v>-200000</v>
      </c>
      <c r="W133" s="191">
        <f t="shared" si="223"/>
        <v>-200000</v>
      </c>
      <c r="X133" s="191">
        <f t="shared" si="223"/>
        <v>-200000</v>
      </c>
      <c r="Y133" s="191">
        <f t="shared" si="223"/>
        <v>-200000</v>
      </c>
      <c r="Z133" s="191">
        <f t="shared" si="223"/>
        <v>-200000</v>
      </c>
      <c r="AA133" s="191">
        <f t="shared" si="223"/>
        <v>-200000</v>
      </c>
      <c r="AB133" s="191">
        <f t="shared" si="223"/>
        <v>-200000</v>
      </c>
      <c r="AC133" s="191">
        <f t="shared" si="223"/>
        <v>-200000</v>
      </c>
      <c r="AD133" s="191">
        <f t="shared" si="223"/>
        <v>-200000</v>
      </c>
      <c r="AE133" s="191">
        <f t="shared" si="223"/>
        <v>-200000</v>
      </c>
      <c r="AF133" s="191">
        <f t="shared" si="223"/>
        <v>-200000</v>
      </c>
      <c r="AG133" s="191">
        <f t="shared" si="223"/>
        <v>-200000</v>
      </c>
      <c r="AH133" s="191">
        <f t="shared" si="223"/>
        <v>-200000</v>
      </c>
      <c r="AI133" s="191">
        <f t="shared" si="223"/>
        <v>-200000</v>
      </c>
      <c r="AJ133" s="191">
        <f t="shared" si="223"/>
        <v>-200000</v>
      </c>
      <c r="AK133" s="191">
        <f t="shared" si="223"/>
        <v>-200000</v>
      </c>
      <c r="AL133" s="191">
        <f t="shared" si="223"/>
        <v>-200000</v>
      </c>
      <c r="AM133" s="191">
        <f t="shared" si="223"/>
        <v>-200000</v>
      </c>
      <c r="AN133" s="191">
        <f t="shared" si="223"/>
        <v>-200000</v>
      </c>
      <c r="AO133" s="191">
        <f t="shared" si="223"/>
        <v>-200000</v>
      </c>
      <c r="AP133" s="191">
        <f t="shared" si="223"/>
        <v>-200000</v>
      </c>
      <c r="AQ133" s="191">
        <f t="shared" si="223"/>
        <v>-200000</v>
      </c>
      <c r="AR133" s="191">
        <f t="shared" si="223"/>
        <v>-200000</v>
      </c>
      <c r="AS133" s="191">
        <f t="shared" si="223"/>
        <v>-200000</v>
      </c>
      <c r="AT133" s="191">
        <f t="shared" si="223"/>
        <v>-200000</v>
      </c>
      <c r="AU133" s="191">
        <f t="shared" si="223"/>
        <v>-200000</v>
      </c>
      <c r="AV133" s="191">
        <f t="shared" si="223"/>
        <v>-200000</v>
      </c>
      <c r="AW133" s="191">
        <f t="shared" si="223"/>
        <v>-200000</v>
      </c>
      <c r="AX133" s="191">
        <f t="shared" si="223"/>
        <v>-200000</v>
      </c>
      <c r="AY133" s="191">
        <f t="shared" si="223"/>
        <v>-200000</v>
      </c>
      <c r="AZ133" s="191">
        <f t="shared" si="223"/>
        <v>-200000</v>
      </c>
      <c r="BA133" s="191">
        <f t="shared" si="223"/>
        <v>-200000</v>
      </c>
      <c r="BB133" s="191">
        <f t="shared" ref="BB133:CC133" si="224">BB99*$M133</f>
        <v>-200000</v>
      </c>
      <c r="BC133" s="191">
        <f t="shared" si="224"/>
        <v>-200000</v>
      </c>
      <c r="BD133" s="191">
        <f t="shared" si="224"/>
        <v>-200000</v>
      </c>
      <c r="BE133" s="191">
        <f t="shared" si="224"/>
        <v>-200000</v>
      </c>
      <c r="BF133" s="191">
        <f t="shared" si="224"/>
        <v>-200000</v>
      </c>
      <c r="BG133" s="191">
        <f t="shared" si="224"/>
        <v>-200000</v>
      </c>
      <c r="BH133" s="191">
        <f t="shared" si="224"/>
        <v>-200000</v>
      </c>
      <c r="BI133" s="191">
        <f t="shared" si="224"/>
        <v>-200000</v>
      </c>
      <c r="BJ133" s="191">
        <f t="shared" si="224"/>
        <v>-200000</v>
      </c>
      <c r="BK133" s="191">
        <f t="shared" si="224"/>
        <v>-200000</v>
      </c>
      <c r="BL133" s="191">
        <f t="shared" si="224"/>
        <v>-200000</v>
      </c>
      <c r="BM133" s="191">
        <f t="shared" si="224"/>
        <v>-200000</v>
      </c>
      <c r="BN133" s="191">
        <f t="shared" si="224"/>
        <v>-200000</v>
      </c>
      <c r="BO133" s="191">
        <f t="shared" si="224"/>
        <v>-200000</v>
      </c>
      <c r="BP133" s="191">
        <f t="shared" si="224"/>
        <v>-200000</v>
      </c>
      <c r="BQ133" s="191">
        <f t="shared" si="224"/>
        <v>-200000</v>
      </c>
      <c r="BR133" s="191">
        <f t="shared" si="224"/>
        <v>-200000</v>
      </c>
      <c r="BS133" s="191">
        <f t="shared" si="224"/>
        <v>-200000</v>
      </c>
      <c r="BT133" s="191">
        <f t="shared" si="224"/>
        <v>-200000</v>
      </c>
      <c r="BU133" s="191">
        <f t="shared" si="224"/>
        <v>-200000</v>
      </c>
      <c r="BV133" s="191">
        <f t="shared" si="224"/>
        <v>-200000</v>
      </c>
      <c r="BW133" s="191">
        <f t="shared" si="224"/>
        <v>-200000</v>
      </c>
      <c r="BX133" s="191">
        <f t="shared" si="224"/>
        <v>-200000</v>
      </c>
      <c r="BY133" s="191">
        <f t="shared" si="224"/>
        <v>-200000</v>
      </c>
      <c r="BZ133" s="191">
        <f t="shared" si="224"/>
        <v>-200000</v>
      </c>
      <c r="CA133" s="191">
        <f t="shared" si="224"/>
        <v>-200000</v>
      </c>
      <c r="CB133" s="191">
        <f t="shared" si="224"/>
        <v>-200000</v>
      </c>
      <c r="CC133" s="191">
        <f t="shared" si="224"/>
        <v>-200000</v>
      </c>
      <c r="CD133" s="110"/>
      <c r="CE133" s="219"/>
    </row>
    <row r="134" spans="1:83" s="45" customFormat="1" ht="15" customHeight="1" outlineLevel="1" x14ac:dyDescent="0.3">
      <c r="A134" s="111"/>
      <c r="B134" s="30"/>
      <c r="C134" s="110"/>
      <c r="D134" s="14" t="str">
        <f t="shared" si="220"/>
        <v>Главный бухгалтер</v>
      </c>
      <c r="E134" s="24"/>
      <c r="F134" s="24"/>
      <c r="G134" s="24"/>
      <c r="H134" s="24"/>
      <c r="I134" s="31" t="str">
        <f>Ввод!$M$12</f>
        <v>руб</v>
      </c>
      <c r="J134" s="31"/>
      <c r="K134" s="31"/>
      <c r="L134" s="31"/>
      <c r="M134" s="95">
        <v>-150000</v>
      </c>
      <c r="N134" s="191">
        <f>SUM(P134:T134)</f>
        <v>-9000000</v>
      </c>
      <c r="O134" s="249"/>
      <c r="P134" s="191">
        <f>SUMIF(Расчет!$V$4:$CC$4,Расчет!P$4,$V134:$CC134)</f>
        <v>-1800000</v>
      </c>
      <c r="Q134" s="191">
        <f>SUMIF(Расчет!$V$4:$CC$4,Расчет!Q$4,$V134:$CC134)</f>
        <v>-1800000</v>
      </c>
      <c r="R134" s="191">
        <f>SUMIF(Расчет!$V$4:$CC$4,Расчет!R$4,$V134:$CC134)</f>
        <v>-1800000</v>
      </c>
      <c r="S134" s="191">
        <f>SUMIF(Расчет!$V$4:$CC$4,Расчет!S$4,$V134:$CC134)</f>
        <v>-1800000</v>
      </c>
      <c r="T134" s="191">
        <f>SUMIF(Расчет!$V$4:$CC$4,Расчет!T$4,$V134:$CC134)</f>
        <v>-1800000</v>
      </c>
      <c r="U134" s="139"/>
      <c r="V134" s="191">
        <f t="shared" ref="V134:BA134" si="225">V100*$M134</f>
        <v>-150000</v>
      </c>
      <c r="W134" s="191">
        <f t="shared" si="225"/>
        <v>-150000</v>
      </c>
      <c r="X134" s="191">
        <f t="shared" si="225"/>
        <v>-150000</v>
      </c>
      <c r="Y134" s="191">
        <f t="shared" si="225"/>
        <v>-150000</v>
      </c>
      <c r="Z134" s="191">
        <f t="shared" si="225"/>
        <v>-150000</v>
      </c>
      <c r="AA134" s="191">
        <f t="shared" si="225"/>
        <v>-150000</v>
      </c>
      <c r="AB134" s="191">
        <f t="shared" si="225"/>
        <v>-150000</v>
      </c>
      <c r="AC134" s="191">
        <f t="shared" si="225"/>
        <v>-150000</v>
      </c>
      <c r="AD134" s="191">
        <f t="shared" si="225"/>
        <v>-150000</v>
      </c>
      <c r="AE134" s="191">
        <f t="shared" si="225"/>
        <v>-150000</v>
      </c>
      <c r="AF134" s="191">
        <f t="shared" si="225"/>
        <v>-150000</v>
      </c>
      <c r="AG134" s="191">
        <f t="shared" si="225"/>
        <v>-150000</v>
      </c>
      <c r="AH134" s="191">
        <f t="shared" si="225"/>
        <v>-150000</v>
      </c>
      <c r="AI134" s="191">
        <f t="shared" si="225"/>
        <v>-150000</v>
      </c>
      <c r="AJ134" s="191">
        <f t="shared" si="225"/>
        <v>-150000</v>
      </c>
      <c r="AK134" s="191">
        <f t="shared" si="225"/>
        <v>-150000</v>
      </c>
      <c r="AL134" s="191">
        <f t="shared" si="225"/>
        <v>-150000</v>
      </c>
      <c r="AM134" s="191">
        <f t="shared" si="225"/>
        <v>-150000</v>
      </c>
      <c r="AN134" s="191">
        <f t="shared" si="225"/>
        <v>-150000</v>
      </c>
      <c r="AO134" s="191">
        <f t="shared" si="225"/>
        <v>-150000</v>
      </c>
      <c r="AP134" s="191">
        <f t="shared" si="225"/>
        <v>-150000</v>
      </c>
      <c r="AQ134" s="191">
        <f t="shared" si="225"/>
        <v>-150000</v>
      </c>
      <c r="AR134" s="191">
        <f t="shared" si="225"/>
        <v>-150000</v>
      </c>
      <c r="AS134" s="191">
        <f t="shared" si="225"/>
        <v>-150000</v>
      </c>
      <c r="AT134" s="191">
        <f t="shared" si="225"/>
        <v>-150000</v>
      </c>
      <c r="AU134" s="191">
        <f t="shared" si="225"/>
        <v>-150000</v>
      </c>
      <c r="AV134" s="191">
        <f t="shared" si="225"/>
        <v>-150000</v>
      </c>
      <c r="AW134" s="191">
        <f t="shared" si="225"/>
        <v>-150000</v>
      </c>
      <c r="AX134" s="191">
        <f t="shared" si="225"/>
        <v>-150000</v>
      </c>
      <c r="AY134" s="191">
        <f t="shared" si="225"/>
        <v>-150000</v>
      </c>
      <c r="AZ134" s="191">
        <f t="shared" si="225"/>
        <v>-150000</v>
      </c>
      <c r="BA134" s="191">
        <f t="shared" si="225"/>
        <v>-150000</v>
      </c>
      <c r="BB134" s="191">
        <f t="shared" ref="BB134:CC134" si="226">BB100*$M134</f>
        <v>-150000</v>
      </c>
      <c r="BC134" s="191">
        <f t="shared" si="226"/>
        <v>-150000</v>
      </c>
      <c r="BD134" s="191">
        <f t="shared" si="226"/>
        <v>-150000</v>
      </c>
      <c r="BE134" s="191">
        <f t="shared" si="226"/>
        <v>-150000</v>
      </c>
      <c r="BF134" s="191">
        <f t="shared" si="226"/>
        <v>-150000</v>
      </c>
      <c r="BG134" s="191">
        <f t="shared" si="226"/>
        <v>-150000</v>
      </c>
      <c r="BH134" s="191">
        <f t="shared" si="226"/>
        <v>-150000</v>
      </c>
      <c r="BI134" s="191">
        <f t="shared" si="226"/>
        <v>-150000</v>
      </c>
      <c r="BJ134" s="191">
        <f t="shared" si="226"/>
        <v>-150000</v>
      </c>
      <c r="BK134" s="191">
        <f t="shared" si="226"/>
        <v>-150000</v>
      </c>
      <c r="BL134" s="191">
        <f t="shared" si="226"/>
        <v>-150000</v>
      </c>
      <c r="BM134" s="191">
        <f t="shared" si="226"/>
        <v>-150000</v>
      </c>
      <c r="BN134" s="191">
        <f t="shared" si="226"/>
        <v>-150000</v>
      </c>
      <c r="BO134" s="191">
        <f t="shared" si="226"/>
        <v>-150000</v>
      </c>
      <c r="BP134" s="191">
        <f t="shared" si="226"/>
        <v>-150000</v>
      </c>
      <c r="BQ134" s="191">
        <f t="shared" si="226"/>
        <v>-150000</v>
      </c>
      <c r="BR134" s="191">
        <f t="shared" si="226"/>
        <v>-150000</v>
      </c>
      <c r="BS134" s="191">
        <f t="shared" si="226"/>
        <v>-150000</v>
      </c>
      <c r="BT134" s="191">
        <f t="shared" si="226"/>
        <v>-150000</v>
      </c>
      <c r="BU134" s="191">
        <f t="shared" si="226"/>
        <v>-150000</v>
      </c>
      <c r="BV134" s="191">
        <f t="shared" si="226"/>
        <v>-150000</v>
      </c>
      <c r="BW134" s="191">
        <f t="shared" si="226"/>
        <v>-150000</v>
      </c>
      <c r="BX134" s="191">
        <f t="shared" si="226"/>
        <v>-150000</v>
      </c>
      <c r="BY134" s="191">
        <f t="shared" si="226"/>
        <v>-150000</v>
      </c>
      <c r="BZ134" s="191">
        <f t="shared" si="226"/>
        <v>-150000</v>
      </c>
      <c r="CA134" s="191">
        <f t="shared" si="226"/>
        <v>-150000</v>
      </c>
      <c r="CB134" s="191">
        <f t="shared" si="226"/>
        <v>-150000</v>
      </c>
      <c r="CC134" s="191">
        <f t="shared" si="226"/>
        <v>-150000</v>
      </c>
      <c r="CD134" s="110"/>
      <c r="CE134" s="219"/>
    </row>
    <row r="135" spans="1:83" s="45" customFormat="1" ht="15" customHeight="1" outlineLevel="1" x14ac:dyDescent="0.3">
      <c r="A135" s="111"/>
      <c r="B135" s="30"/>
      <c r="C135" s="110"/>
      <c r="D135" s="14" t="str">
        <f t="shared" si="220"/>
        <v>Бухгалтер</v>
      </c>
      <c r="E135" s="24"/>
      <c r="F135" s="24"/>
      <c r="G135" s="24"/>
      <c r="H135" s="24"/>
      <c r="I135" s="31" t="str">
        <f>Ввод!$M$12</f>
        <v>руб</v>
      </c>
      <c r="J135" s="31"/>
      <c r="K135" s="31"/>
      <c r="L135" s="31"/>
      <c r="M135" s="95">
        <v>-100000</v>
      </c>
      <c r="N135" s="191">
        <f>SUM(P135:T135)</f>
        <v>-6000000</v>
      </c>
      <c r="O135" s="249"/>
      <c r="P135" s="191">
        <f>SUMIF(Расчет!$V$4:$CC$4,Расчет!P$4,$V135:$CC135)</f>
        <v>-1200000</v>
      </c>
      <c r="Q135" s="191">
        <f>SUMIF(Расчет!$V$4:$CC$4,Расчет!Q$4,$V135:$CC135)</f>
        <v>-1200000</v>
      </c>
      <c r="R135" s="191">
        <f>SUMIF(Расчет!$V$4:$CC$4,Расчет!R$4,$V135:$CC135)</f>
        <v>-1200000</v>
      </c>
      <c r="S135" s="191">
        <f>SUMIF(Расчет!$V$4:$CC$4,Расчет!S$4,$V135:$CC135)</f>
        <v>-1200000</v>
      </c>
      <c r="T135" s="191">
        <f>SUMIF(Расчет!$V$4:$CC$4,Расчет!T$4,$V135:$CC135)</f>
        <v>-1200000</v>
      </c>
      <c r="U135" s="139"/>
      <c r="V135" s="191">
        <f t="shared" ref="V135:BA135" si="227">V101*$M135</f>
        <v>-100000</v>
      </c>
      <c r="W135" s="191">
        <f t="shared" si="227"/>
        <v>-100000</v>
      </c>
      <c r="X135" s="191">
        <f t="shared" si="227"/>
        <v>-100000</v>
      </c>
      <c r="Y135" s="191">
        <f t="shared" si="227"/>
        <v>-100000</v>
      </c>
      <c r="Z135" s="191">
        <f t="shared" si="227"/>
        <v>-100000</v>
      </c>
      <c r="AA135" s="191">
        <f t="shared" si="227"/>
        <v>-100000</v>
      </c>
      <c r="AB135" s="191">
        <f t="shared" si="227"/>
        <v>-100000</v>
      </c>
      <c r="AC135" s="191">
        <f t="shared" si="227"/>
        <v>-100000</v>
      </c>
      <c r="AD135" s="191">
        <f t="shared" si="227"/>
        <v>-100000</v>
      </c>
      <c r="AE135" s="191">
        <f t="shared" si="227"/>
        <v>-100000</v>
      </c>
      <c r="AF135" s="191">
        <f t="shared" si="227"/>
        <v>-100000</v>
      </c>
      <c r="AG135" s="191">
        <f t="shared" si="227"/>
        <v>-100000</v>
      </c>
      <c r="AH135" s="191">
        <f t="shared" si="227"/>
        <v>-100000</v>
      </c>
      <c r="AI135" s="191">
        <f t="shared" si="227"/>
        <v>-100000</v>
      </c>
      <c r="AJ135" s="191">
        <f t="shared" si="227"/>
        <v>-100000</v>
      </c>
      <c r="AK135" s="191">
        <f t="shared" si="227"/>
        <v>-100000</v>
      </c>
      <c r="AL135" s="191">
        <f t="shared" si="227"/>
        <v>-100000</v>
      </c>
      <c r="AM135" s="191">
        <f t="shared" si="227"/>
        <v>-100000</v>
      </c>
      <c r="AN135" s="191">
        <f t="shared" si="227"/>
        <v>-100000</v>
      </c>
      <c r="AO135" s="191">
        <f t="shared" si="227"/>
        <v>-100000</v>
      </c>
      <c r="AP135" s="191">
        <f t="shared" si="227"/>
        <v>-100000</v>
      </c>
      <c r="AQ135" s="191">
        <f t="shared" si="227"/>
        <v>-100000</v>
      </c>
      <c r="AR135" s="191">
        <f t="shared" si="227"/>
        <v>-100000</v>
      </c>
      <c r="AS135" s="191">
        <f t="shared" si="227"/>
        <v>-100000</v>
      </c>
      <c r="AT135" s="191">
        <f t="shared" si="227"/>
        <v>-100000</v>
      </c>
      <c r="AU135" s="191">
        <f t="shared" si="227"/>
        <v>-100000</v>
      </c>
      <c r="AV135" s="191">
        <f t="shared" si="227"/>
        <v>-100000</v>
      </c>
      <c r="AW135" s="191">
        <f t="shared" si="227"/>
        <v>-100000</v>
      </c>
      <c r="AX135" s="191">
        <f t="shared" si="227"/>
        <v>-100000</v>
      </c>
      <c r="AY135" s="191">
        <f t="shared" si="227"/>
        <v>-100000</v>
      </c>
      <c r="AZ135" s="191">
        <f t="shared" si="227"/>
        <v>-100000</v>
      </c>
      <c r="BA135" s="191">
        <f t="shared" si="227"/>
        <v>-100000</v>
      </c>
      <c r="BB135" s="191">
        <f t="shared" ref="BB135:CC135" si="228">BB101*$M135</f>
        <v>-100000</v>
      </c>
      <c r="BC135" s="191">
        <f t="shared" si="228"/>
        <v>-100000</v>
      </c>
      <c r="BD135" s="191">
        <f t="shared" si="228"/>
        <v>-100000</v>
      </c>
      <c r="BE135" s="191">
        <f t="shared" si="228"/>
        <v>-100000</v>
      </c>
      <c r="BF135" s="191">
        <f t="shared" si="228"/>
        <v>-100000</v>
      </c>
      <c r="BG135" s="191">
        <f t="shared" si="228"/>
        <v>-100000</v>
      </c>
      <c r="BH135" s="191">
        <f t="shared" si="228"/>
        <v>-100000</v>
      </c>
      <c r="BI135" s="191">
        <f t="shared" si="228"/>
        <v>-100000</v>
      </c>
      <c r="BJ135" s="191">
        <f t="shared" si="228"/>
        <v>-100000</v>
      </c>
      <c r="BK135" s="191">
        <f t="shared" si="228"/>
        <v>-100000</v>
      </c>
      <c r="BL135" s="191">
        <f t="shared" si="228"/>
        <v>-100000</v>
      </c>
      <c r="BM135" s="191">
        <f t="shared" si="228"/>
        <v>-100000</v>
      </c>
      <c r="BN135" s="191">
        <f t="shared" si="228"/>
        <v>-100000</v>
      </c>
      <c r="BO135" s="191">
        <f t="shared" si="228"/>
        <v>-100000</v>
      </c>
      <c r="BP135" s="191">
        <f t="shared" si="228"/>
        <v>-100000</v>
      </c>
      <c r="BQ135" s="191">
        <f t="shared" si="228"/>
        <v>-100000</v>
      </c>
      <c r="BR135" s="191">
        <f t="shared" si="228"/>
        <v>-100000</v>
      </c>
      <c r="BS135" s="191">
        <f t="shared" si="228"/>
        <v>-100000</v>
      </c>
      <c r="BT135" s="191">
        <f t="shared" si="228"/>
        <v>-100000</v>
      </c>
      <c r="BU135" s="191">
        <f t="shared" si="228"/>
        <v>-100000</v>
      </c>
      <c r="BV135" s="191">
        <f t="shared" si="228"/>
        <v>-100000</v>
      </c>
      <c r="BW135" s="191">
        <f t="shared" si="228"/>
        <v>-100000</v>
      </c>
      <c r="BX135" s="191">
        <f t="shared" si="228"/>
        <v>-100000</v>
      </c>
      <c r="BY135" s="191">
        <f t="shared" si="228"/>
        <v>-100000</v>
      </c>
      <c r="BZ135" s="191">
        <f t="shared" si="228"/>
        <v>-100000</v>
      </c>
      <c r="CA135" s="191">
        <f t="shared" si="228"/>
        <v>-100000</v>
      </c>
      <c r="CB135" s="191">
        <f t="shared" si="228"/>
        <v>-100000</v>
      </c>
      <c r="CC135" s="191">
        <f t="shared" si="228"/>
        <v>-100000</v>
      </c>
      <c r="CD135" s="110"/>
      <c r="CE135" s="219"/>
    </row>
    <row r="136" spans="1:83" s="45" customFormat="1" ht="15" customHeight="1" outlineLevel="1" x14ac:dyDescent="0.3">
      <c r="A136" s="111"/>
      <c r="B136" s="30"/>
      <c r="C136" s="110"/>
      <c r="D136" s="14" t="str">
        <f t="shared" si="220"/>
        <v>Главный менеджер продаж</v>
      </c>
      <c r="E136" s="24"/>
      <c r="F136" s="24"/>
      <c r="G136" s="24"/>
      <c r="H136" s="24"/>
      <c r="I136" s="31" t="str">
        <f>Ввод!$M$12</f>
        <v>руб</v>
      </c>
      <c r="J136" s="31"/>
      <c r="K136" s="31"/>
      <c r="L136" s="31"/>
      <c r="M136" s="95">
        <v>-150000</v>
      </c>
      <c r="N136" s="191">
        <f t="shared" ref="N136:N138" si="229">SUM(P136:T136)</f>
        <v>-9000000</v>
      </c>
      <c r="O136" s="249"/>
      <c r="P136" s="191">
        <f>SUMIF(Расчет!$V$4:$CC$4,Расчет!P$4,$V136:$CC136)</f>
        <v>-1800000</v>
      </c>
      <c r="Q136" s="191">
        <f>SUMIF(Расчет!$V$4:$CC$4,Расчет!Q$4,$V136:$CC136)</f>
        <v>-1800000</v>
      </c>
      <c r="R136" s="191">
        <f>SUMIF(Расчет!$V$4:$CC$4,Расчет!R$4,$V136:$CC136)</f>
        <v>-1800000</v>
      </c>
      <c r="S136" s="191">
        <f>SUMIF(Расчет!$V$4:$CC$4,Расчет!S$4,$V136:$CC136)</f>
        <v>-1800000</v>
      </c>
      <c r="T136" s="191">
        <f>SUMIF(Расчет!$V$4:$CC$4,Расчет!T$4,$V136:$CC136)</f>
        <v>-1800000</v>
      </c>
      <c r="U136" s="139"/>
      <c r="V136" s="191">
        <f t="shared" ref="V136:BA136" si="230">V102*$M136</f>
        <v>-150000</v>
      </c>
      <c r="W136" s="191">
        <f t="shared" si="230"/>
        <v>-150000</v>
      </c>
      <c r="X136" s="191">
        <f t="shared" si="230"/>
        <v>-150000</v>
      </c>
      <c r="Y136" s="191">
        <f t="shared" si="230"/>
        <v>-150000</v>
      </c>
      <c r="Z136" s="191">
        <f t="shared" si="230"/>
        <v>-150000</v>
      </c>
      <c r="AA136" s="191">
        <f t="shared" si="230"/>
        <v>-150000</v>
      </c>
      <c r="AB136" s="191">
        <f t="shared" si="230"/>
        <v>-150000</v>
      </c>
      <c r="AC136" s="191">
        <f t="shared" si="230"/>
        <v>-150000</v>
      </c>
      <c r="AD136" s="191">
        <f t="shared" si="230"/>
        <v>-150000</v>
      </c>
      <c r="AE136" s="191">
        <f t="shared" si="230"/>
        <v>-150000</v>
      </c>
      <c r="AF136" s="191">
        <f t="shared" si="230"/>
        <v>-150000</v>
      </c>
      <c r="AG136" s="191">
        <f t="shared" si="230"/>
        <v>-150000</v>
      </c>
      <c r="AH136" s="191">
        <f t="shared" si="230"/>
        <v>-150000</v>
      </c>
      <c r="AI136" s="191">
        <f t="shared" si="230"/>
        <v>-150000</v>
      </c>
      <c r="AJ136" s="191">
        <f t="shared" si="230"/>
        <v>-150000</v>
      </c>
      <c r="AK136" s="191">
        <f t="shared" si="230"/>
        <v>-150000</v>
      </c>
      <c r="AL136" s="191">
        <f t="shared" si="230"/>
        <v>-150000</v>
      </c>
      <c r="AM136" s="191">
        <f t="shared" si="230"/>
        <v>-150000</v>
      </c>
      <c r="AN136" s="191">
        <f t="shared" si="230"/>
        <v>-150000</v>
      </c>
      <c r="AO136" s="191">
        <f t="shared" si="230"/>
        <v>-150000</v>
      </c>
      <c r="AP136" s="191">
        <f t="shared" si="230"/>
        <v>-150000</v>
      </c>
      <c r="AQ136" s="191">
        <f t="shared" si="230"/>
        <v>-150000</v>
      </c>
      <c r="AR136" s="191">
        <f t="shared" si="230"/>
        <v>-150000</v>
      </c>
      <c r="AS136" s="191">
        <f t="shared" si="230"/>
        <v>-150000</v>
      </c>
      <c r="AT136" s="191">
        <f t="shared" si="230"/>
        <v>-150000</v>
      </c>
      <c r="AU136" s="191">
        <f t="shared" si="230"/>
        <v>-150000</v>
      </c>
      <c r="AV136" s="191">
        <f t="shared" si="230"/>
        <v>-150000</v>
      </c>
      <c r="AW136" s="191">
        <f t="shared" si="230"/>
        <v>-150000</v>
      </c>
      <c r="AX136" s="191">
        <f t="shared" si="230"/>
        <v>-150000</v>
      </c>
      <c r="AY136" s="191">
        <f t="shared" si="230"/>
        <v>-150000</v>
      </c>
      <c r="AZ136" s="191">
        <f t="shared" si="230"/>
        <v>-150000</v>
      </c>
      <c r="BA136" s="191">
        <f t="shared" si="230"/>
        <v>-150000</v>
      </c>
      <c r="BB136" s="191">
        <f t="shared" ref="BB136:CC136" si="231">BB102*$M136</f>
        <v>-150000</v>
      </c>
      <c r="BC136" s="191">
        <f t="shared" si="231"/>
        <v>-150000</v>
      </c>
      <c r="BD136" s="191">
        <f t="shared" si="231"/>
        <v>-150000</v>
      </c>
      <c r="BE136" s="191">
        <f t="shared" si="231"/>
        <v>-150000</v>
      </c>
      <c r="BF136" s="191">
        <f t="shared" si="231"/>
        <v>-150000</v>
      </c>
      <c r="BG136" s="191">
        <f t="shared" si="231"/>
        <v>-150000</v>
      </c>
      <c r="BH136" s="191">
        <f t="shared" si="231"/>
        <v>-150000</v>
      </c>
      <c r="BI136" s="191">
        <f t="shared" si="231"/>
        <v>-150000</v>
      </c>
      <c r="BJ136" s="191">
        <f t="shared" si="231"/>
        <v>-150000</v>
      </c>
      <c r="BK136" s="191">
        <f t="shared" si="231"/>
        <v>-150000</v>
      </c>
      <c r="BL136" s="191">
        <f t="shared" si="231"/>
        <v>-150000</v>
      </c>
      <c r="BM136" s="191">
        <f t="shared" si="231"/>
        <v>-150000</v>
      </c>
      <c r="BN136" s="191">
        <f t="shared" si="231"/>
        <v>-150000</v>
      </c>
      <c r="BO136" s="191">
        <f t="shared" si="231"/>
        <v>-150000</v>
      </c>
      <c r="BP136" s="191">
        <f t="shared" si="231"/>
        <v>-150000</v>
      </c>
      <c r="BQ136" s="191">
        <f t="shared" si="231"/>
        <v>-150000</v>
      </c>
      <c r="BR136" s="191">
        <f t="shared" si="231"/>
        <v>-150000</v>
      </c>
      <c r="BS136" s="191">
        <f t="shared" si="231"/>
        <v>-150000</v>
      </c>
      <c r="BT136" s="191">
        <f t="shared" si="231"/>
        <v>-150000</v>
      </c>
      <c r="BU136" s="191">
        <f t="shared" si="231"/>
        <v>-150000</v>
      </c>
      <c r="BV136" s="191">
        <f t="shared" si="231"/>
        <v>-150000</v>
      </c>
      <c r="BW136" s="191">
        <f t="shared" si="231"/>
        <v>-150000</v>
      </c>
      <c r="BX136" s="191">
        <f t="shared" si="231"/>
        <v>-150000</v>
      </c>
      <c r="BY136" s="191">
        <f t="shared" si="231"/>
        <v>-150000</v>
      </c>
      <c r="BZ136" s="191">
        <f t="shared" si="231"/>
        <v>-150000</v>
      </c>
      <c r="CA136" s="191">
        <f t="shared" si="231"/>
        <v>-150000</v>
      </c>
      <c r="CB136" s="191">
        <f t="shared" si="231"/>
        <v>-150000</v>
      </c>
      <c r="CC136" s="191">
        <f t="shared" si="231"/>
        <v>-150000</v>
      </c>
      <c r="CD136" s="110"/>
      <c r="CE136" s="219"/>
    </row>
    <row r="137" spans="1:83" s="45" customFormat="1" ht="15" customHeight="1" outlineLevel="1" x14ac:dyDescent="0.3">
      <c r="A137" s="111"/>
      <c r="B137" s="30"/>
      <c r="C137" s="110"/>
      <c r="D137" s="14" t="str">
        <f t="shared" si="220"/>
        <v>Менеджер продаж</v>
      </c>
      <c r="E137" s="24"/>
      <c r="F137" s="24"/>
      <c r="G137" s="24"/>
      <c r="H137" s="24"/>
      <c r="I137" s="31" t="str">
        <f>Ввод!$M$12</f>
        <v>руб</v>
      </c>
      <c r="J137" s="31"/>
      <c r="K137" s="31"/>
      <c r="L137" s="31"/>
      <c r="M137" s="95">
        <v>-120000</v>
      </c>
      <c r="N137" s="191">
        <f t="shared" si="229"/>
        <v>-26400000</v>
      </c>
      <c r="O137" s="249"/>
      <c r="P137" s="191">
        <f>SUMIF(Расчет!$V$4:$CC$4,Расчет!P$4,$V137:$CC137)</f>
        <v>-3360000</v>
      </c>
      <c r="Q137" s="191">
        <f>SUMIF(Расчет!$V$4:$CC$4,Расчет!Q$4,$V137:$CC137)</f>
        <v>-5760000</v>
      </c>
      <c r="R137" s="191">
        <f>SUMIF(Расчет!$V$4:$CC$4,Расчет!R$4,$V137:$CC137)</f>
        <v>-5760000</v>
      </c>
      <c r="S137" s="191">
        <f>SUMIF(Расчет!$V$4:$CC$4,Расчет!S$4,$V137:$CC137)</f>
        <v>-5760000</v>
      </c>
      <c r="T137" s="191">
        <f>SUMIF(Расчет!$V$4:$CC$4,Расчет!T$4,$V137:$CC137)</f>
        <v>-5760000</v>
      </c>
      <c r="U137" s="139"/>
      <c r="V137" s="191">
        <f t="shared" ref="V137:BA137" si="232">V103*$M137</f>
        <v>0</v>
      </c>
      <c r="W137" s="191">
        <f t="shared" si="232"/>
        <v>0</v>
      </c>
      <c r="X137" s="191">
        <f t="shared" si="232"/>
        <v>0</v>
      </c>
      <c r="Y137" s="191">
        <f t="shared" si="232"/>
        <v>-240000</v>
      </c>
      <c r="Z137" s="191">
        <f t="shared" si="232"/>
        <v>-240000</v>
      </c>
      <c r="AA137" s="191">
        <f t="shared" si="232"/>
        <v>-240000</v>
      </c>
      <c r="AB137" s="191">
        <f t="shared" si="232"/>
        <v>-240000</v>
      </c>
      <c r="AC137" s="191">
        <f t="shared" si="232"/>
        <v>-480000</v>
      </c>
      <c r="AD137" s="191">
        <f t="shared" si="232"/>
        <v>-480000</v>
      </c>
      <c r="AE137" s="191">
        <f t="shared" si="232"/>
        <v>-480000</v>
      </c>
      <c r="AF137" s="191">
        <f t="shared" si="232"/>
        <v>-480000</v>
      </c>
      <c r="AG137" s="191">
        <f t="shared" si="232"/>
        <v>-480000</v>
      </c>
      <c r="AH137" s="191">
        <f t="shared" si="232"/>
        <v>-480000</v>
      </c>
      <c r="AI137" s="191">
        <f t="shared" si="232"/>
        <v>-480000</v>
      </c>
      <c r="AJ137" s="191">
        <f t="shared" si="232"/>
        <v>-480000</v>
      </c>
      <c r="AK137" s="191">
        <f t="shared" si="232"/>
        <v>-480000</v>
      </c>
      <c r="AL137" s="191">
        <f t="shared" si="232"/>
        <v>-480000</v>
      </c>
      <c r="AM137" s="191">
        <f t="shared" si="232"/>
        <v>-480000</v>
      </c>
      <c r="AN137" s="191">
        <f t="shared" si="232"/>
        <v>-480000</v>
      </c>
      <c r="AO137" s="191">
        <f t="shared" si="232"/>
        <v>-480000</v>
      </c>
      <c r="AP137" s="191">
        <f t="shared" si="232"/>
        <v>-480000</v>
      </c>
      <c r="AQ137" s="191">
        <f t="shared" si="232"/>
        <v>-480000</v>
      </c>
      <c r="AR137" s="191">
        <f t="shared" si="232"/>
        <v>-480000</v>
      </c>
      <c r="AS137" s="191">
        <f t="shared" si="232"/>
        <v>-480000</v>
      </c>
      <c r="AT137" s="191">
        <f t="shared" si="232"/>
        <v>-480000</v>
      </c>
      <c r="AU137" s="191">
        <f t="shared" si="232"/>
        <v>-480000</v>
      </c>
      <c r="AV137" s="191">
        <f t="shared" si="232"/>
        <v>-480000</v>
      </c>
      <c r="AW137" s="191">
        <f t="shared" si="232"/>
        <v>-480000</v>
      </c>
      <c r="AX137" s="191">
        <f t="shared" si="232"/>
        <v>-480000</v>
      </c>
      <c r="AY137" s="191">
        <f t="shared" si="232"/>
        <v>-480000</v>
      </c>
      <c r="AZ137" s="191">
        <f t="shared" si="232"/>
        <v>-480000</v>
      </c>
      <c r="BA137" s="191">
        <f t="shared" si="232"/>
        <v>-480000</v>
      </c>
      <c r="BB137" s="191">
        <f t="shared" ref="BB137:CC137" si="233">BB103*$M137</f>
        <v>-480000</v>
      </c>
      <c r="BC137" s="191">
        <f t="shared" si="233"/>
        <v>-480000</v>
      </c>
      <c r="BD137" s="191">
        <f t="shared" si="233"/>
        <v>-480000</v>
      </c>
      <c r="BE137" s="191">
        <f t="shared" si="233"/>
        <v>-480000</v>
      </c>
      <c r="BF137" s="191">
        <f t="shared" si="233"/>
        <v>-480000</v>
      </c>
      <c r="BG137" s="191">
        <f t="shared" si="233"/>
        <v>-480000</v>
      </c>
      <c r="BH137" s="191">
        <f t="shared" si="233"/>
        <v>-480000</v>
      </c>
      <c r="BI137" s="191">
        <f t="shared" si="233"/>
        <v>-480000</v>
      </c>
      <c r="BJ137" s="191">
        <f t="shared" si="233"/>
        <v>-480000</v>
      </c>
      <c r="BK137" s="191">
        <f t="shared" si="233"/>
        <v>-480000</v>
      </c>
      <c r="BL137" s="191">
        <f t="shared" si="233"/>
        <v>-480000</v>
      </c>
      <c r="BM137" s="191">
        <f t="shared" si="233"/>
        <v>-480000</v>
      </c>
      <c r="BN137" s="191">
        <f t="shared" si="233"/>
        <v>-480000</v>
      </c>
      <c r="BO137" s="191">
        <f t="shared" si="233"/>
        <v>-480000</v>
      </c>
      <c r="BP137" s="191">
        <f t="shared" si="233"/>
        <v>-480000</v>
      </c>
      <c r="BQ137" s="191">
        <f t="shared" si="233"/>
        <v>-480000</v>
      </c>
      <c r="BR137" s="191">
        <f t="shared" si="233"/>
        <v>-480000</v>
      </c>
      <c r="BS137" s="191">
        <f t="shared" si="233"/>
        <v>-480000</v>
      </c>
      <c r="BT137" s="191">
        <f t="shared" si="233"/>
        <v>-480000</v>
      </c>
      <c r="BU137" s="191">
        <f t="shared" si="233"/>
        <v>-480000</v>
      </c>
      <c r="BV137" s="191">
        <f t="shared" si="233"/>
        <v>-480000</v>
      </c>
      <c r="BW137" s="191">
        <f t="shared" si="233"/>
        <v>-480000</v>
      </c>
      <c r="BX137" s="191">
        <f t="shared" si="233"/>
        <v>-480000</v>
      </c>
      <c r="BY137" s="191">
        <f t="shared" si="233"/>
        <v>-480000</v>
      </c>
      <c r="BZ137" s="191">
        <f t="shared" si="233"/>
        <v>-480000</v>
      </c>
      <c r="CA137" s="191">
        <f t="shared" si="233"/>
        <v>-480000</v>
      </c>
      <c r="CB137" s="191">
        <f t="shared" si="233"/>
        <v>-480000</v>
      </c>
      <c r="CC137" s="191">
        <f t="shared" si="233"/>
        <v>-480000</v>
      </c>
      <c r="CD137" s="110"/>
      <c r="CE137" s="219"/>
    </row>
    <row r="138" spans="1:83" s="45" customFormat="1" ht="15" customHeight="1" outlineLevel="1" x14ac:dyDescent="0.3">
      <c r="A138" s="111"/>
      <c r="B138" s="30"/>
      <c r="C138" s="110"/>
      <c r="D138" s="14" t="str">
        <f t="shared" si="220"/>
        <v>Маркетолог</v>
      </c>
      <c r="E138" s="24"/>
      <c r="F138" s="24"/>
      <c r="G138" s="24"/>
      <c r="H138" s="24"/>
      <c r="I138" s="31" t="str">
        <f>Ввод!$M$12</f>
        <v>руб</v>
      </c>
      <c r="J138" s="31"/>
      <c r="K138" s="31"/>
      <c r="L138" s="31"/>
      <c r="M138" s="95">
        <v>-120000</v>
      </c>
      <c r="N138" s="191">
        <f t="shared" si="229"/>
        <v>-7200000</v>
      </c>
      <c r="O138" s="249"/>
      <c r="P138" s="191">
        <f>SUMIF(Расчет!$V$4:$CC$4,Расчет!P$4,$V138:$CC138)</f>
        <v>-1440000</v>
      </c>
      <c r="Q138" s="191">
        <f>SUMIF(Расчет!$V$4:$CC$4,Расчет!Q$4,$V138:$CC138)</f>
        <v>-1440000</v>
      </c>
      <c r="R138" s="191">
        <f>SUMIF(Расчет!$V$4:$CC$4,Расчет!R$4,$V138:$CC138)</f>
        <v>-1440000</v>
      </c>
      <c r="S138" s="191">
        <f>SUMIF(Расчет!$V$4:$CC$4,Расчет!S$4,$V138:$CC138)</f>
        <v>-1440000</v>
      </c>
      <c r="T138" s="191">
        <f>SUMIF(Расчет!$V$4:$CC$4,Расчет!T$4,$V138:$CC138)</f>
        <v>-1440000</v>
      </c>
      <c r="U138" s="139"/>
      <c r="V138" s="191">
        <f t="shared" ref="V138:BA138" si="234">V104*$M138</f>
        <v>-120000</v>
      </c>
      <c r="W138" s="191">
        <f t="shared" si="234"/>
        <v>-120000</v>
      </c>
      <c r="X138" s="191">
        <f t="shared" si="234"/>
        <v>-120000</v>
      </c>
      <c r="Y138" s="191">
        <f t="shared" si="234"/>
        <v>-120000</v>
      </c>
      <c r="Z138" s="191">
        <f t="shared" si="234"/>
        <v>-120000</v>
      </c>
      <c r="AA138" s="191">
        <f t="shared" si="234"/>
        <v>-120000</v>
      </c>
      <c r="AB138" s="191">
        <f t="shared" si="234"/>
        <v>-120000</v>
      </c>
      <c r="AC138" s="191">
        <f t="shared" si="234"/>
        <v>-120000</v>
      </c>
      <c r="AD138" s="191">
        <f t="shared" si="234"/>
        <v>-120000</v>
      </c>
      <c r="AE138" s="191">
        <f t="shared" si="234"/>
        <v>-120000</v>
      </c>
      <c r="AF138" s="191">
        <f t="shared" si="234"/>
        <v>-120000</v>
      </c>
      <c r="AG138" s="191">
        <f t="shared" si="234"/>
        <v>-120000</v>
      </c>
      <c r="AH138" s="191">
        <f t="shared" si="234"/>
        <v>-120000</v>
      </c>
      <c r="AI138" s="191">
        <f t="shared" si="234"/>
        <v>-120000</v>
      </c>
      <c r="AJ138" s="191">
        <f t="shared" si="234"/>
        <v>-120000</v>
      </c>
      <c r="AK138" s="191">
        <f t="shared" si="234"/>
        <v>-120000</v>
      </c>
      <c r="AL138" s="191">
        <f t="shared" si="234"/>
        <v>-120000</v>
      </c>
      <c r="AM138" s="191">
        <f t="shared" si="234"/>
        <v>-120000</v>
      </c>
      <c r="AN138" s="191">
        <f t="shared" si="234"/>
        <v>-120000</v>
      </c>
      <c r="AO138" s="191">
        <f t="shared" si="234"/>
        <v>-120000</v>
      </c>
      <c r="AP138" s="191">
        <f t="shared" si="234"/>
        <v>-120000</v>
      </c>
      <c r="AQ138" s="191">
        <f t="shared" si="234"/>
        <v>-120000</v>
      </c>
      <c r="AR138" s="191">
        <f t="shared" si="234"/>
        <v>-120000</v>
      </c>
      <c r="AS138" s="191">
        <f t="shared" si="234"/>
        <v>-120000</v>
      </c>
      <c r="AT138" s="191">
        <f t="shared" si="234"/>
        <v>-120000</v>
      </c>
      <c r="AU138" s="191">
        <f t="shared" si="234"/>
        <v>-120000</v>
      </c>
      <c r="AV138" s="191">
        <f t="shared" si="234"/>
        <v>-120000</v>
      </c>
      <c r="AW138" s="191">
        <f t="shared" si="234"/>
        <v>-120000</v>
      </c>
      <c r="AX138" s="191">
        <f t="shared" si="234"/>
        <v>-120000</v>
      </c>
      <c r="AY138" s="191">
        <f t="shared" si="234"/>
        <v>-120000</v>
      </c>
      <c r="AZ138" s="191">
        <f t="shared" si="234"/>
        <v>-120000</v>
      </c>
      <c r="BA138" s="191">
        <f t="shared" si="234"/>
        <v>-120000</v>
      </c>
      <c r="BB138" s="191">
        <f t="shared" ref="BB138:CC138" si="235">BB104*$M138</f>
        <v>-120000</v>
      </c>
      <c r="BC138" s="191">
        <f t="shared" si="235"/>
        <v>-120000</v>
      </c>
      <c r="BD138" s="191">
        <f t="shared" si="235"/>
        <v>-120000</v>
      </c>
      <c r="BE138" s="191">
        <f t="shared" si="235"/>
        <v>-120000</v>
      </c>
      <c r="BF138" s="191">
        <f t="shared" si="235"/>
        <v>-120000</v>
      </c>
      <c r="BG138" s="191">
        <f t="shared" si="235"/>
        <v>-120000</v>
      </c>
      <c r="BH138" s="191">
        <f t="shared" si="235"/>
        <v>-120000</v>
      </c>
      <c r="BI138" s="191">
        <f t="shared" si="235"/>
        <v>-120000</v>
      </c>
      <c r="BJ138" s="191">
        <f t="shared" si="235"/>
        <v>-120000</v>
      </c>
      <c r="BK138" s="191">
        <f t="shared" si="235"/>
        <v>-120000</v>
      </c>
      <c r="BL138" s="191">
        <f t="shared" si="235"/>
        <v>-120000</v>
      </c>
      <c r="BM138" s="191">
        <f t="shared" si="235"/>
        <v>-120000</v>
      </c>
      <c r="BN138" s="191">
        <f t="shared" si="235"/>
        <v>-120000</v>
      </c>
      <c r="BO138" s="191">
        <f t="shared" si="235"/>
        <v>-120000</v>
      </c>
      <c r="BP138" s="191">
        <f t="shared" si="235"/>
        <v>-120000</v>
      </c>
      <c r="BQ138" s="191">
        <f t="shared" si="235"/>
        <v>-120000</v>
      </c>
      <c r="BR138" s="191">
        <f t="shared" si="235"/>
        <v>-120000</v>
      </c>
      <c r="BS138" s="191">
        <f t="shared" si="235"/>
        <v>-120000</v>
      </c>
      <c r="BT138" s="191">
        <f t="shared" si="235"/>
        <v>-120000</v>
      </c>
      <c r="BU138" s="191">
        <f t="shared" si="235"/>
        <v>-120000</v>
      </c>
      <c r="BV138" s="191">
        <f t="shared" si="235"/>
        <v>-120000</v>
      </c>
      <c r="BW138" s="191">
        <f t="shared" si="235"/>
        <v>-120000</v>
      </c>
      <c r="BX138" s="191">
        <f t="shared" si="235"/>
        <v>-120000</v>
      </c>
      <c r="BY138" s="191">
        <f t="shared" si="235"/>
        <v>-120000</v>
      </c>
      <c r="BZ138" s="191">
        <f t="shared" si="235"/>
        <v>-120000</v>
      </c>
      <c r="CA138" s="191">
        <f t="shared" si="235"/>
        <v>-120000</v>
      </c>
      <c r="CB138" s="191">
        <f t="shared" si="235"/>
        <v>-120000</v>
      </c>
      <c r="CC138" s="191">
        <f t="shared" si="235"/>
        <v>-120000</v>
      </c>
      <c r="CD138" s="110"/>
      <c r="CE138" s="219"/>
    </row>
    <row r="139" spans="1:83" s="72" customFormat="1" ht="15" customHeight="1" outlineLevel="1" x14ac:dyDescent="0.3">
      <c r="A139" s="74"/>
      <c r="B139" s="73"/>
      <c r="D139" s="134" t="s">
        <v>26</v>
      </c>
      <c r="E139" s="28"/>
      <c r="F139" s="28"/>
      <c r="G139" s="28"/>
      <c r="H139" s="28"/>
      <c r="I139" s="6" t="str">
        <f>Ввод!$M$12</f>
        <v>руб</v>
      </c>
      <c r="J139" s="6"/>
      <c r="K139" s="6"/>
      <c r="L139" s="6"/>
      <c r="M139" s="225"/>
      <c r="N139" s="225">
        <f>SUM(P139:T139)</f>
        <v>-42000000</v>
      </c>
      <c r="O139" s="143"/>
      <c r="P139" s="225">
        <f>SUMIF(Расчет!$V$4:$CC$4,Расчет!P$4,$V139:$CC139)</f>
        <v>-8400000</v>
      </c>
      <c r="Q139" s="225">
        <f>SUMIF(Расчет!$V$4:$CC$4,Расчет!Q$4,$V139:$CC139)</f>
        <v>-8400000</v>
      </c>
      <c r="R139" s="225">
        <f>SUMIF(Расчет!$V$4:$CC$4,Расчет!R$4,$V139:$CC139)</f>
        <v>-8400000</v>
      </c>
      <c r="S139" s="225">
        <f>SUMIF(Расчет!$V$4:$CC$4,Расчет!S$4,$V139:$CC139)</f>
        <v>-8400000</v>
      </c>
      <c r="T139" s="225">
        <f>SUMIF(Расчет!$V$4:$CC$4,Расчет!T$4,$V139:$CC139)</f>
        <v>-8400000</v>
      </c>
      <c r="U139" s="227"/>
      <c r="V139" s="225">
        <f t="shared" ref="V139:BA139" si="236">SUM(V132:V135)</f>
        <v>-700000</v>
      </c>
      <c r="W139" s="225">
        <f t="shared" si="236"/>
        <v>-700000</v>
      </c>
      <c r="X139" s="225">
        <f t="shared" si="236"/>
        <v>-700000</v>
      </c>
      <c r="Y139" s="225">
        <f t="shared" si="236"/>
        <v>-700000</v>
      </c>
      <c r="Z139" s="225">
        <f t="shared" si="236"/>
        <v>-700000</v>
      </c>
      <c r="AA139" s="225">
        <f t="shared" si="236"/>
        <v>-700000</v>
      </c>
      <c r="AB139" s="225">
        <f t="shared" si="236"/>
        <v>-700000</v>
      </c>
      <c r="AC139" s="225">
        <f t="shared" si="236"/>
        <v>-700000</v>
      </c>
      <c r="AD139" s="225">
        <f t="shared" si="236"/>
        <v>-700000</v>
      </c>
      <c r="AE139" s="225">
        <f t="shared" si="236"/>
        <v>-700000</v>
      </c>
      <c r="AF139" s="225">
        <f t="shared" si="236"/>
        <v>-700000</v>
      </c>
      <c r="AG139" s="225">
        <f t="shared" si="236"/>
        <v>-700000</v>
      </c>
      <c r="AH139" s="225">
        <f t="shared" si="236"/>
        <v>-700000</v>
      </c>
      <c r="AI139" s="225">
        <f t="shared" si="236"/>
        <v>-700000</v>
      </c>
      <c r="AJ139" s="225">
        <f t="shared" si="236"/>
        <v>-700000</v>
      </c>
      <c r="AK139" s="225">
        <f t="shared" si="236"/>
        <v>-700000</v>
      </c>
      <c r="AL139" s="225">
        <f t="shared" si="236"/>
        <v>-700000</v>
      </c>
      <c r="AM139" s="225">
        <f t="shared" si="236"/>
        <v>-700000</v>
      </c>
      <c r="AN139" s="225">
        <f t="shared" si="236"/>
        <v>-700000</v>
      </c>
      <c r="AO139" s="225">
        <f t="shared" si="236"/>
        <v>-700000</v>
      </c>
      <c r="AP139" s="225">
        <f t="shared" si="236"/>
        <v>-700000</v>
      </c>
      <c r="AQ139" s="225">
        <f t="shared" si="236"/>
        <v>-700000</v>
      </c>
      <c r="AR139" s="225">
        <f t="shared" si="236"/>
        <v>-700000</v>
      </c>
      <c r="AS139" s="225">
        <f t="shared" si="236"/>
        <v>-700000</v>
      </c>
      <c r="AT139" s="225">
        <f t="shared" si="236"/>
        <v>-700000</v>
      </c>
      <c r="AU139" s="225">
        <f t="shared" si="236"/>
        <v>-700000</v>
      </c>
      <c r="AV139" s="225">
        <f t="shared" si="236"/>
        <v>-700000</v>
      </c>
      <c r="AW139" s="225">
        <f t="shared" si="236"/>
        <v>-700000</v>
      </c>
      <c r="AX139" s="225">
        <f t="shared" si="236"/>
        <v>-700000</v>
      </c>
      <c r="AY139" s="225">
        <f t="shared" si="236"/>
        <v>-700000</v>
      </c>
      <c r="AZ139" s="225">
        <f t="shared" si="236"/>
        <v>-700000</v>
      </c>
      <c r="BA139" s="225">
        <f t="shared" si="236"/>
        <v>-700000</v>
      </c>
      <c r="BB139" s="225">
        <f t="shared" ref="BB139:CC139" si="237">SUM(BB132:BB135)</f>
        <v>-700000</v>
      </c>
      <c r="BC139" s="225">
        <f t="shared" si="237"/>
        <v>-700000</v>
      </c>
      <c r="BD139" s="225">
        <f t="shared" si="237"/>
        <v>-700000</v>
      </c>
      <c r="BE139" s="225">
        <f t="shared" si="237"/>
        <v>-700000</v>
      </c>
      <c r="BF139" s="225">
        <f t="shared" si="237"/>
        <v>-700000</v>
      </c>
      <c r="BG139" s="225">
        <f t="shared" si="237"/>
        <v>-700000</v>
      </c>
      <c r="BH139" s="225">
        <f t="shared" si="237"/>
        <v>-700000</v>
      </c>
      <c r="BI139" s="225">
        <f t="shared" si="237"/>
        <v>-700000</v>
      </c>
      <c r="BJ139" s="225">
        <f t="shared" si="237"/>
        <v>-700000</v>
      </c>
      <c r="BK139" s="225">
        <f t="shared" si="237"/>
        <v>-700000</v>
      </c>
      <c r="BL139" s="225">
        <f t="shared" si="237"/>
        <v>-700000</v>
      </c>
      <c r="BM139" s="225">
        <f t="shared" si="237"/>
        <v>-700000</v>
      </c>
      <c r="BN139" s="225">
        <f t="shared" si="237"/>
        <v>-700000</v>
      </c>
      <c r="BO139" s="225">
        <f t="shared" si="237"/>
        <v>-700000</v>
      </c>
      <c r="BP139" s="225">
        <f t="shared" si="237"/>
        <v>-700000</v>
      </c>
      <c r="BQ139" s="225">
        <f t="shared" si="237"/>
        <v>-700000</v>
      </c>
      <c r="BR139" s="225">
        <f t="shared" si="237"/>
        <v>-700000</v>
      </c>
      <c r="BS139" s="225">
        <f t="shared" si="237"/>
        <v>-700000</v>
      </c>
      <c r="BT139" s="225">
        <f t="shared" si="237"/>
        <v>-700000</v>
      </c>
      <c r="BU139" s="225">
        <f t="shared" si="237"/>
        <v>-700000</v>
      </c>
      <c r="BV139" s="225">
        <f t="shared" si="237"/>
        <v>-700000</v>
      </c>
      <c r="BW139" s="225">
        <f t="shared" si="237"/>
        <v>-700000</v>
      </c>
      <c r="BX139" s="225">
        <f t="shared" si="237"/>
        <v>-700000</v>
      </c>
      <c r="BY139" s="225">
        <f t="shared" si="237"/>
        <v>-700000</v>
      </c>
      <c r="BZ139" s="225">
        <f t="shared" si="237"/>
        <v>-700000</v>
      </c>
      <c r="CA139" s="225">
        <f t="shared" si="237"/>
        <v>-700000</v>
      </c>
      <c r="CB139" s="225">
        <f t="shared" si="237"/>
        <v>-700000</v>
      </c>
      <c r="CC139" s="225">
        <f t="shared" si="237"/>
        <v>-700000</v>
      </c>
      <c r="CE139" s="74"/>
    </row>
    <row r="140" spans="1:83" s="45" customFormat="1" ht="15" customHeight="1" outlineLevel="1" x14ac:dyDescent="0.3">
      <c r="A140" s="111"/>
      <c r="B140" s="30"/>
      <c r="C140" s="110"/>
      <c r="D140" s="131"/>
      <c r="E140" s="114"/>
      <c r="F140" s="114"/>
      <c r="G140" s="114"/>
      <c r="H140" s="114"/>
      <c r="I140" s="6"/>
      <c r="J140" s="6"/>
      <c r="K140" s="6"/>
      <c r="L140" s="6"/>
      <c r="M140" s="225"/>
      <c r="N140" s="225"/>
      <c r="O140" s="249"/>
      <c r="P140" s="225"/>
      <c r="Q140" s="225"/>
      <c r="R140" s="225"/>
      <c r="S140" s="225"/>
      <c r="T140" s="225"/>
      <c r="U140" s="139"/>
      <c r="V140" s="139"/>
      <c r="W140" s="139"/>
      <c r="X140" s="139"/>
      <c r="Y140" s="139"/>
      <c r="Z140" s="139"/>
      <c r="AA140" s="139"/>
      <c r="AB140" s="139"/>
      <c r="AC140" s="139"/>
      <c r="AD140" s="139"/>
      <c r="AE140" s="139"/>
      <c r="AF140" s="139"/>
      <c r="AG140" s="139"/>
      <c r="AH140" s="139"/>
      <c r="AI140" s="139"/>
      <c r="AJ140" s="139"/>
      <c r="AK140" s="139"/>
      <c r="AL140" s="139"/>
      <c r="AM140" s="139"/>
      <c r="AN140" s="139"/>
      <c r="AO140" s="139"/>
      <c r="AP140" s="139"/>
      <c r="AQ140" s="139"/>
      <c r="AR140" s="139"/>
      <c r="AS140" s="139"/>
      <c r="AT140" s="139"/>
      <c r="AU140" s="139"/>
      <c r="AV140" s="139"/>
      <c r="AW140" s="139"/>
      <c r="AX140" s="139"/>
      <c r="AY140" s="139"/>
      <c r="AZ140" s="139"/>
      <c r="BA140" s="139"/>
      <c r="BB140" s="139"/>
      <c r="BC140" s="139"/>
      <c r="BD140" s="139"/>
      <c r="BE140" s="139"/>
      <c r="BF140" s="139"/>
      <c r="BG140" s="139"/>
      <c r="BH140" s="139"/>
      <c r="BI140" s="139"/>
      <c r="BJ140" s="139"/>
      <c r="BK140" s="139"/>
      <c r="BL140" s="139"/>
      <c r="BM140" s="139"/>
      <c r="BN140" s="139"/>
      <c r="BO140" s="139"/>
      <c r="BP140" s="139"/>
      <c r="BQ140" s="139"/>
      <c r="BR140" s="139"/>
      <c r="BS140" s="139"/>
      <c r="BT140" s="139"/>
      <c r="BU140" s="139"/>
      <c r="BV140" s="139"/>
      <c r="BW140" s="139"/>
      <c r="BX140" s="139"/>
      <c r="BY140" s="139"/>
      <c r="BZ140" s="139"/>
      <c r="CA140" s="139"/>
      <c r="CB140" s="139"/>
      <c r="CC140" s="139"/>
      <c r="CD140" s="110"/>
      <c r="CE140" s="219"/>
    </row>
    <row r="141" spans="1:83" s="22" customFormat="1" ht="15" customHeight="1" outlineLevel="1" x14ac:dyDescent="0.3">
      <c r="A141" s="51"/>
      <c r="D141" s="220" t="s">
        <v>49</v>
      </c>
      <c r="E141" s="221"/>
      <c r="F141" s="221"/>
      <c r="G141" s="221"/>
      <c r="H141" s="221"/>
      <c r="I141" s="209" t="str">
        <f>Ввод!$M$12</f>
        <v>руб</v>
      </c>
      <c r="J141" s="209"/>
      <c r="K141" s="209"/>
      <c r="L141" s="209"/>
      <c r="M141" s="230"/>
      <c r="N141" s="230">
        <f>SUM(P141:T141)</f>
        <v>-145740000</v>
      </c>
      <c r="O141" s="239"/>
      <c r="P141" s="230">
        <f>SUMIF(Расчет!$V$4:$CC$4,Расчет!P$4,$V141:$CC141)</f>
        <v>-20940000</v>
      </c>
      <c r="Q141" s="230">
        <f>SUMIF(Расчет!$V$4:$CC$4,Расчет!Q$4,$V141:$CC141)</f>
        <v>-31200000</v>
      </c>
      <c r="R141" s="230">
        <f>SUMIF(Расчет!$V$4:$CC$4,Расчет!R$4,$V141:$CC141)</f>
        <v>-31200000</v>
      </c>
      <c r="S141" s="230">
        <f>SUMIF(Расчет!$V$4:$CC$4,Расчет!S$4,$V141:$CC141)</f>
        <v>-31200000</v>
      </c>
      <c r="T141" s="230">
        <f>SUMIF(Расчет!$V$4:$CC$4,Расчет!T$4,$V141:$CC141)</f>
        <v>-31200000</v>
      </c>
      <c r="U141" s="139"/>
      <c r="V141" s="230">
        <f t="shared" ref="V141:BA141" si="238">V122+V129+V139</f>
        <v>-700000</v>
      </c>
      <c r="W141" s="230">
        <f t="shared" si="238"/>
        <v>-700000</v>
      </c>
      <c r="X141" s="230">
        <f t="shared" si="238"/>
        <v>-700000</v>
      </c>
      <c r="Y141" s="230">
        <f t="shared" si="238"/>
        <v>-700000</v>
      </c>
      <c r="Z141" s="230">
        <f t="shared" si="238"/>
        <v>-1830000</v>
      </c>
      <c r="AA141" s="230">
        <f t="shared" si="238"/>
        <v>-1830000</v>
      </c>
      <c r="AB141" s="230">
        <f t="shared" si="238"/>
        <v>-1830000</v>
      </c>
      <c r="AC141" s="230">
        <f t="shared" si="238"/>
        <v>-2250000</v>
      </c>
      <c r="AD141" s="230">
        <f t="shared" si="238"/>
        <v>-2600000</v>
      </c>
      <c r="AE141" s="230">
        <f t="shared" si="238"/>
        <v>-2600000</v>
      </c>
      <c r="AF141" s="230">
        <f t="shared" si="238"/>
        <v>-2600000</v>
      </c>
      <c r="AG141" s="230">
        <f t="shared" si="238"/>
        <v>-2600000</v>
      </c>
      <c r="AH141" s="230">
        <f t="shared" si="238"/>
        <v>-2600000</v>
      </c>
      <c r="AI141" s="230">
        <f t="shared" si="238"/>
        <v>-2600000</v>
      </c>
      <c r="AJ141" s="230">
        <f t="shared" si="238"/>
        <v>-2600000</v>
      </c>
      <c r="AK141" s="230">
        <f t="shared" si="238"/>
        <v>-2600000</v>
      </c>
      <c r="AL141" s="230">
        <f t="shared" si="238"/>
        <v>-2600000</v>
      </c>
      <c r="AM141" s="230">
        <f t="shared" si="238"/>
        <v>-2600000</v>
      </c>
      <c r="AN141" s="230">
        <f t="shared" si="238"/>
        <v>-2600000</v>
      </c>
      <c r="AO141" s="230">
        <f t="shared" si="238"/>
        <v>-2600000</v>
      </c>
      <c r="AP141" s="230">
        <f t="shared" si="238"/>
        <v>-2600000</v>
      </c>
      <c r="AQ141" s="230">
        <f t="shared" si="238"/>
        <v>-2600000</v>
      </c>
      <c r="AR141" s="230">
        <f t="shared" si="238"/>
        <v>-2600000</v>
      </c>
      <c r="AS141" s="230">
        <f t="shared" si="238"/>
        <v>-2600000</v>
      </c>
      <c r="AT141" s="230">
        <f t="shared" si="238"/>
        <v>-2600000</v>
      </c>
      <c r="AU141" s="230">
        <f t="shared" si="238"/>
        <v>-2600000</v>
      </c>
      <c r="AV141" s="230">
        <f t="shared" si="238"/>
        <v>-2600000</v>
      </c>
      <c r="AW141" s="230">
        <f t="shared" si="238"/>
        <v>-2600000</v>
      </c>
      <c r="AX141" s="230">
        <f t="shared" si="238"/>
        <v>-2600000</v>
      </c>
      <c r="AY141" s="230">
        <f t="shared" si="238"/>
        <v>-2600000</v>
      </c>
      <c r="AZ141" s="230">
        <f t="shared" si="238"/>
        <v>-2600000</v>
      </c>
      <c r="BA141" s="230">
        <f t="shared" si="238"/>
        <v>-2600000</v>
      </c>
      <c r="BB141" s="230">
        <f t="shared" ref="BB141:CC141" si="239">BB122+BB129+BB139</f>
        <v>-2600000</v>
      </c>
      <c r="BC141" s="230">
        <f t="shared" si="239"/>
        <v>-2600000</v>
      </c>
      <c r="BD141" s="230">
        <f t="shared" si="239"/>
        <v>-2600000</v>
      </c>
      <c r="BE141" s="230">
        <f t="shared" si="239"/>
        <v>-2600000</v>
      </c>
      <c r="BF141" s="230">
        <f t="shared" si="239"/>
        <v>-2600000</v>
      </c>
      <c r="BG141" s="230">
        <f t="shared" si="239"/>
        <v>-2600000</v>
      </c>
      <c r="BH141" s="230">
        <f t="shared" si="239"/>
        <v>-2600000</v>
      </c>
      <c r="BI141" s="230">
        <f t="shared" si="239"/>
        <v>-2600000</v>
      </c>
      <c r="BJ141" s="230">
        <f t="shared" si="239"/>
        <v>-2600000</v>
      </c>
      <c r="BK141" s="230">
        <f t="shared" si="239"/>
        <v>-2600000</v>
      </c>
      <c r="BL141" s="230">
        <f t="shared" si="239"/>
        <v>-2600000</v>
      </c>
      <c r="BM141" s="230">
        <f t="shared" si="239"/>
        <v>-2600000</v>
      </c>
      <c r="BN141" s="230">
        <f t="shared" si="239"/>
        <v>-2600000</v>
      </c>
      <c r="BO141" s="230">
        <f t="shared" si="239"/>
        <v>-2600000</v>
      </c>
      <c r="BP141" s="230">
        <f t="shared" si="239"/>
        <v>-2600000</v>
      </c>
      <c r="BQ141" s="230">
        <f t="shared" si="239"/>
        <v>-2600000</v>
      </c>
      <c r="BR141" s="230">
        <f t="shared" si="239"/>
        <v>-2600000</v>
      </c>
      <c r="BS141" s="230">
        <f t="shared" si="239"/>
        <v>-2600000</v>
      </c>
      <c r="BT141" s="230">
        <f t="shared" si="239"/>
        <v>-2600000</v>
      </c>
      <c r="BU141" s="230">
        <f t="shared" si="239"/>
        <v>-2600000</v>
      </c>
      <c r="BV141" s="230">
        <f t="shared" si="239"/>
        <v>-2600000</v>
      </c>
      <c r="BW141" s="230">
        <f t="shared" si="239"/>
        <v>-2600000</v>
      </c>
      <c r="BX141" s="230">
        <f t="shared" si="239"/>
        <v>-2600000</v>
      </c>
      <c r="BY141" s="230">
        <f t="shared" si="239"/>
        <v>-2600000</v>
      </c>
      <c r="BZ141" s="230">
        <f t="shared" si="239"/>
        <v>-2600000</v>
      </c>
      <c r="CA141" s="230">
        <f t="shared" si="239"/>
        <v>-2600000</v>
      </c>
      <c r="CB141" s="230">
        <f t="shared" si="239"/>
        <v>-2600000</v>
      </c>
      <c r="CC141" s="230">
        <f t="shared" si="239"/>
        <v>-2600000</v>
      </c>
      <c r="CE141" s="51"/>
    </row>
    <row r="142" spans="1:83" s="69" customFormat="1" ht="15" customHeight="1" outlineLevel="1" x14ac:dyDescent="0.3">
      <c r="A142" s="71"/>
      <c r="D142" s="161" t="s">
        <v>50</v>
      </c>
      <c r="E142" s="86"/>
      <c r="F142" s="86"/>
      <c r="G142" s="86"/>
      <c r="H142" s="86"/>
      <c r="I142" s="32" t="s">
        <v>52</v>
      </c>
      <c r="J142" s="32"/>
      <c r="K142" s="32"/>
      <c r="L142" s="32"/>
      <c r="M142" s="176"/>
      <c r="N142" s="177"/>
      <c r="O142" s="178"/>
      <c r="P142" s="250">
        <f>P107</f>
        <v>33</v>
      </c>
      <c r="Q142" s="250">
        <f>Q107</f>
        <v>33</v>
      </c>
      <c r="R142" s="250">
        <f>R107</f>
        <v>33</v>
      </c>
      <c r="S142" s="250">
        <f>S107</f>
        <v>33</v>
      </c>
      <c r="T142" s="250">
        <f>T107</f>
        <v>33</v>
      </c>
      <c r="U142" s="232"/>
      <c r="V142" s="250">
        <f t="shared" ref="V142:BA142" si="240">V107</f>
        <v>6</v>
      </c>
      <c r="W142" s="250">
        <f t="shared" si="240"/>
        <v>6</v>
      </c>
      <c r="X142" s="250">
        <f t="shared" si="240"/>
        <v>6</v>
      </c>
      <c r="Y142" s="250">
        <f t="shared" si="240"/>
        <v>8</v>
      </c>
      <c r="Z142" s="250">
        <f t="shared" si="240"/>
        <v>21</v>
      </c>
      <c r="AA142" s="250">
        <f t="shared" si="240"/>
        <v>21</v>
      </c>
      <c r="AB142" s="250">
        <f t="shared" si="240"/>
        <v>21</v>
      </c>
      <c r="AC142" s="250">
        <f t="shared" si="240"/>
        <v>30</v>
      </c>
      <c r="AD142" s="250">
        <f t="shared" si="240"/>
        <v>33</v>
      </c>
      <c r="AE142" s="250">
        <f t="shared" si="240"/>
        <v>33</v>
      </c>
      <c r="AF142" s="250">
        <f t="shared" si="240"/>
        <v>33</v>
      </c>
      <c r="AG142" s="250">
        <f t="shared" si="240"/>
        <v>33</v>
      </c>
      <c r="AH142" s="250">
        <f t="shared" si="240"/>
        <v>33</v>
      </c>
      <c r="AI142" s="250">
        <f t="shared" si="240"/>
        <v>33</v>
      </c>
      <c r="AJ142" s="250">
        <f t="shared" si="240"/>
        <v>33</v>
      </c>
      <c r="AK142" s="250">
        <f t="shared" si="240"/>
        <v>33</v>
      </c>
      <c r="AL142" s="250">
        <f t="shared" si="240"/>
        <v>33</v>
      </c>
      <c r="AM142" s="250">
        <f t="shared" si="240"/>
        <v>33</v>
      </c>
      <c r="AN142" s="250">
        <f t="shared" si="240"/>
        <v>33</v>
      </c>
      <c r="AO142" s="250">
        <f t="shared" si="240"/>
        <v>33</v>
      </c>
      <c r="AP142" s="250">
        <f t="shared" si="240"/>
        <v>33</v>
      </c>
      <c r="AQ142" s="250">
        <f t="shared" si="240"/>
        <v>33</v>
      </c>
      <c r="AR142" s="250">
        <f t="shared" si="240"/>
        <v>33</v>
      </c>
      <c r="AS142" s="250">
        <f t="shared" si="240"/>
        <v>33</v>
      </c>
      <c r="AT142" s="250">
        <f t="shared" si="240"/>
        <v>33</v>
      </c>
      <c r="AU142" s="250">
        <f t="shared" si="240"/>
        <v>33</v>
      </c>
      <c r="AV142" s="250">
        <f t="shared" si="240"/>
        <v>33</v>
      </c>
      <c r="AW142" s="250">
        <f t="shared" si="240"/>
        <v>33</v>
      </c>
      <c r="AX142" s="250">
        <f t="shared" si="240"/>
        <v>33</v>
      </c>
      <c r="AY142" s="250">
        <f t="shared" si="240"/>
        <v>33</v>
      </c>
      <c r="AZ142" s="250">
        <f t="shared" si="240"/>
        <v>33</v>
      </c>
      <c r="BA142" s="250">
        <f t="shared" si="240"/>
        <v>33</v>
      </c>
      <c r="BB142" s="250">
        <f t="shared" ref="BB142:CC142" si="241">BB107</f>
        <v>33</v>
      </c>
      <c r="BC142" s="250">
        <f t="shared" si="241"/>
        <v>33</v>
      </c>
      <c r="BD142" s="250">
        <f t="shared" si="241"/>
        <v>33</v>
      </c>
      <c r="BE142" s="250">
        <f t="shared" si="241"/>
        <v>33</v>
      </c>
      <c r="BF142" s="250">
        <f t="shared" si="241"/>
        <v>33</v>
      </c>
      <c r="BG142" s="250">
        <f t="shared" si="241"/>
        <v>33</v>
      </c>
      <c r="BH142" s="250">
        <f t="shared" si="241"/>
        <v>33</v>
      </c>
      <c r="BI142" s="250">
        <f t="shared" si="241"/>
        <v>33</v>
      </c>
      <c r="BJ142" s="250">
        <f t="shared" si="241"/>
        <v>33</v>
      </c>
      <c r="BK142" s="250">
        <f t="shared" si="241"/>
        <v>33</v>
      </c>
      <c r="BL142" s="250">
        <f t="shared" si="241"/>
        <v>33</v>
      </c>
      <c r="BM142" s="250">
        <f t="shared" si="241"/>
        <v>33</v>
      </c>
      <c r="BN142" s="250">
        <f t="shared" si="241"/>
        <v>33</v>
      </c>
      <c r="BO142" s="250">
        <f t="shared" si="241"/>
        <v>33</v>
      </c>
      <c r="BP142" s="250">
        <f t="shared" si="241"/>
        <v>33</v>
      </c>
      <c r="BQ142" s="250">
        <f t="shared" si="241"/>
        <v>33</v>
      </c>
      <c r="BR142" s="250">
        <f t="shared" si="241"/>
        <v>33</v>
      </c>
      <c r="BS142" s="250">
        <f t="shared" si="241"/>
        <v>33</v>
      </c>
      <c r="BT142" s="250">
        <f t="shared" si="241"/>
        <v>33</v>
      </c>
      <c r="BU142" s="250">
        <f t="shared" si="241"/>
        <v>33</v>
      </c>
      <c r="BV142" s="250">
        <f t="shared" si="241"/>
        <v>33</v>
      </c>
      <c r="BW142" s="250">
        <f t="shared" si="241"/>
        <v>33</v>
      </c>
      <c r="BX142" s="250">
        <f t="shared" si="241"/>
        <v>33</v>
      </c>
      <c r="BY142" s="250">
        <f t="shared" si="241"/>
        <v>33</v>
      </c>
      <c r="BZ142" s="250">
        <f t="shared" si="241"/>
        <v>33</v>
      </c>
      <c r="CA142" s="250">
        <f t="shared" si="241"/>
        <v>33</v>
      </c>
      <c r="CB142" s="250">
        <f t="shared" si="241"/>
        <v>33</v>
      </c>
      <c r="CC142" s="250">
        <f t="shared" si="241"/>
        <v>33</v>
      </c>
      <c r="CD142" s="70"/>
      <c r="CE142" s="71"/>
    </row>
    <row r="143" spans="1:83" s="30" customFormat="1" ht="15" customHeight="1" x14ac:dyDescent="0.3">
      <c r="A143" s="44"/>
      <c r="D143" s="132"/>
      <c r="E143" s="27"/>
      <c r="F143" s="27"/>
      <c r="G143" s="27"/>
      <c r="H143" s="27"/>
      <c r="I143" s="31"/>
      <c r="J143" s="31"/>
      <c r="K143" s="31"/>
      <c r="L143" s="31"/>
      <c r="M143" s="2"/>
      <c r="N143" s="29"/>
      <c r="O143" s="97"/>
      <c r="P143" s="29"/>
      <c r="Q143" s="29"/>
      <c r="R143" s="29"/>
      <c r="S143" s="29"/>
      <c r="T143" s="29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97"/>
      <c r="AH143" s="97"/>
      <c r="AI143" s="97"/>
      <c r="AJ143" s="97"/>
      <c r="AK143" s="97"/>
      <c r="AL143" s="97"/>
      <c r="AM143" s="97"/>
      <c r="AN143" s="97"/>
      <c r="AO143" s="97"/>
      <c r="AP143" s="97"/>
      <c r="AQ143" s="97"/>
      <c r="AR143" s="97"/>
      <c r="AS143" s="97"/>
      <c r="AT143" s="97"/>
      <c r="AU143" s="97"/>
      <c r="AV143" s="97"/>
      <c r="AW143" s="97"/>
      <c r="AX143" s="97"/>
      <c r="AY143" s="97"/>
      <c r="AZ143" s="97"/>
      <c r="BA143" s="97"/>
      <c r="BB143" s="97"/>
      <c r="BC143" s="97"/>
      <c r="BD143" s="97"/>
      <c r="BE143" s="97"/>
      <c r="BF143" s="97"/>
      <c r="BG143" s="97"/>
      <c r="BH143" s="97"/>
      <c r="BI143" s="97"/>
      <c r="BJ143" s="97"/>
      <c r="BK143" s="97"/>
      <c r="BL143" s="97"/>
      <c r="BM143" s="97"/>
      <c r="BN143" s="97"/>
      <c r="BO143" s="97"/>
      <c r="BP143" s="97"/>
      <c r="BQ143" s="97"/>
      <c r="BR143" s="97"/>
      <c r="BS143" s="97"/>
      <c r="BT143" s="97"/>
      <c r="BU143" s="97"/>
      <c r="BV143" s="97"/>
      <c r="BW143" s="97"/>
      <c r="BX143" s="97"/>
      <c r="BY143" s="97"/>
      <c r="BZ143" s="97"/>
      <c r="CA143" s="97"/>
      <c r="CB143" s="97"/>
      <c r="CC143" s="97"/>
      <c r="CE143" s="44"/>
    </row>
    <row r="144" spans="1:83" s="23" customFormat="1" ht="15" customHeight="1" x14ac:dyDescent="0.3">
      <c r="A144" s="111"/>
      <c r="B144" s="110"/>
      <c r="C144" s="110"/>
      <c r="D144" s="133" t="s">
        <v>11</v>
      </c>
      <c r="E144" s="123"/>
      <c r="F144" s="123"/>
      <c r="G144" s="123"/>
      <c r="H144" s="123"/>
      <c r="I144" s="124"/>
      <c r="J144" s="124"/>
      <c r="K144" s="124"/>
      <c r="L144" s="124"/>
      <c r="M144" s="125"/>
      <c r="N144" s="126"/>
      <c r="O144" s="97"/>
      <c r="P144" s="126"/>
      <c r="Q144" s="126"/>
      <c r="R144" s="126"/>
      <c r="S144" s="126"/>
      <c r="T144" s="126"/>
      <c r="U144" s="97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6"/>
      <c r="AH144" s="126"/>
      <c r="AI144" s="126"/>
      <c r="AJ144" s="126"/>
      <c r="AK144" s="126"/>
      <c r="AL144" s="126"/>
      <c r="AM144" s="126"/>
      <c r="AN144" s="126"/>
      <c r="AO144" s="126"/>
      <c r="AP144" s="126"/>
      <c r="AQ144" s="126"/>
      <c r="AR144" s="126"/>
      <c r="AS144" s="126"/>
      <c r="AT144" s="126"/>
      <c r="AU144" s="126"/>
      <c r="AV144" s="126"/>
      <c r="AW144" s="126"/>
      <c r="AX144" s="126"/>
      <c r="AY144" s="126"/>
      <c r="AZ144" s="126"/>
      <c r="BA144" s="126"/>
      <c r="BB144" s="126"/>
      <c r="BC144" s="126"/>
      <c r="BD144" s="126"/>
      <c r="BE144" s="126"/>
      <c r="BF144" s="126"/>
      <c r="BG144" s="126"/>
      <c r="BH144" s="126"/>
      <c r="BI144" s="126"/>
      <c r="BJ144" s="126"/>
      <c r="BK144" s="126"/>
      <c r="BL144" s="126"/>
      <c r="BM144" s="126"/>
      <c r="BN144" s="126"/>
      <c r="BO144" s="126"/>
      <c r="BP144" s="126"/>
      <c r="BQ144" s="126"/>
      <c r="BR144" s="126"/>
      <c r="BS144" s="126"/>
      <c r="BT144" s="126"/>
      <c r="BU144" s="126"/>
      <c r="BV144" s="126"/>
      <c r="BW144" s="126"/>
      <c r="BX144" s="126"/>
      <c r="BY144" s="126"/>
      <c r="BZ144" s="126"/>
      <c r="CA144" s="126"/>
      <c r="CB144" s="126"/>
      <c r="CC144" s="126"/>
      <c r="CD144" s="110"/>
      <c r="CE144" s="111"/>
    </row>
    <row r="145" spans="1:84" s="45" customFormat="1" ht="15" customHeight="1" outlineLevel="1" x14ac:dyDescent="0.3">
      <c r="A145" s="111"/>
      <c r="B145" s="30"/>
      <c r="C145" s="110"/>
      <c r="D145" s="134"/>
      <c r="E145" s="28"/>
      <c r="F145" s="28"/>
      <c r="G145" s="28"/>
      <c r="H145" s="28"/>
      <c r="I145" s="6"/>
      <c r="J145" s="6"/>
      <c r="K145" s="6"/>
      <c r="L145" s="6"/>
      <c r="M145" s="49"/>
      <c r="N145" s="5"/>
      <c r="O145" s="97"/>
      <c r="P145" s="5"/>
      <c r="Q145" s="5"/>
      <c r="R145" s="5"/>
      <c r="S145" s="5"/>
      <c r="T145" s="5"/>
      <c r="U145" s="97"/>
      <c r="V145" s="54"/>
      <c r="W145" s="54"/>
      <c r="X145" s="54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  <c r="BK145" s="29"/>
      <c r="BL145" s="29"/>
      <c r="BM145" s="29"/>
      <c r="BN145" s="29"/>
      <c r="BO145" s="29"/>
      <c r="BP145" s="29"/>
      <c r="BQ145" s="29"/>
      <c r="BR145" s="29"/>
      <c r="BS145" s="29"/>
      <c r="BT145" s="29"/>
      <c r="BU145" s="29"/>
      <c r="BV145" s="29"/>
      <c r="BW145" s="29"/>
      <c r="BX145" s="29"/>
      <c r="BY145" s="29"/>
      <c r="BZ145" s="29"/>
      <c r="CA145" s="29"/>
      <c r="CB145" s="29"/>
      <c r="CC145" s="29"/>
      <c r="CD145" s="30"/>
      <c r="CE145" s="111"/>
    </row>
    <row r="146" spans="1:84" s="45" customFormat="1" ht="15" customHeight="1" outlineLevel="1" x14ac:dyDescent="0.3">
      <c r="A146" s="111"/>
      <c r="B146" s="30"/>
      <c r="C146" s="110"/>
      <c r="D146" s="141" t="s">
        <v>60</v>
      </c>
      <c r="E146" s="39"/>
      <c r="F146" s="39"/>
      <c r="G146" s="39"/>
      <c r="H146" s="39"/>
      <c r="I146" s="6"/>
      <c r="J146" s="6"/>
      <c r="K146" s="6"/>
      <c r="L146" s="6"/>
      <c r="M146" s="49"/>
      <c r="N146" s="5"/>
      <c r="O146" s="97"/>
      <c r="P146" s="5"/>
      <c r="Q146" s="5"/>
      <c r="R146" s="5"/>
      <c r="S146" s="5"/>
      <c r="T146" s="5"/>
      <c r="U146" s="97"/>
      <c r="V146" s="54"/>
      <c r="W146" s="54"/>
      <c r="X146" s="54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  <c r="BK146" s="29"/>
      <c r="BL146" s="29"/>
      <c r="BM146" s="29"/>
      <c r="BN146" s="29"/>
      <c r="BO146" s="29"/>
      <c r="BP146" s="29"/>
      <c r="BQ146" s="29"/>
      <c r="BR146" s="29"/>
      <c r="BS146" s="29"/>
      <c r="BT146" s="29"/>
      <c r="BU146" s="29"/>
      <c r="BV146" s="29"/>
      <c r="BW146" s="29"/>
      <c r="BX146" s="29"/>
      <c r="BY146" s="29"/>
      <c r="BZ146" s="29"/>
      <c r="CA146" s="29"/>
      <c r="CB146" s="29"/>
      <c r="CC146" s="29"/>
      <c r="CD146" s="30"/>
      <c r="CE146" s="111"/>
    </row>
    <row r="147" spans="1:84" s="45" customFormat="1" ht="15" customHeight="1" outlineLevel="1" x14ac:dyDescent="0.3">
      <c r="A147" s="111"/>
      <c r="B147" s="30"/>
      <c r="C147" s="110"/>
      <c r="D147" s="135" t="s">
        <v>53</v>
      </c>
      <c r="E147" s="35"/>
      <c r="F147" s="35"/>
      <c r="G147" s="35"/>
      <c r="H147" s="35"/>
      <c r="I147" s="31" t="s">
        <v>54</v>
      </c>
      <c r="J147" s="31"/>
      <c r="K147" s="31"/>
      <c r="L147" s="31"/>
      <c r="M147" s="95">
        <f>Ввод!M63</f>
        <v>30</v>
      </c>
      <c r="N147" s="159"/>
      <c r="O147" s="158"/>
      <c r="P147" s="159"/>
      <c r="Q147" s="159"/>
      <c r="R147" s="159"/>
      <c r="S147" s="159"/>
      <c r="T147" s="159"/>
      <c r="U147" s="15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28"/>
      <c r="AH147" s="128"/>
      <c r="AI147" s="128"/>
      <c r="AJ147" s="128"/>
      <c r="AK147" s="128"/>
      <c r="AL147" s="128"/>
      <c r="AM147" s="128"/>
      <c r="AN147" s="128"/>
      <c r="AO147" s="128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30"/>
      <c r="CE147" s="111"/>
    </row>
    <row r="148" spans="1:84" s="45" customFormat="1" ht="15" customHeight="1" outlineLevel="1" x14ac:dyDescent="0.3">
      <c r="A148" s="111"/>
      <c r="B148" s="30"/>
      <c r="C148" s="110"/>
      <c r="D148" s="135" t="s">
        <v>55</v>
      </c>
      <c r="E148" s="35"/>
      <c r="F148" s="35"/>
      <c r="G148" s="35"/>
      <c r="H148" s="35"/>
      <c r="I148" s="31" t="s">
        <v>54</v>
      </c>
      <c r="J148" s="31"/>
      <c r="K148" s="31"/>
      <c r="L148" s="31"/>
      <c r="M148" s="95">
        <f>Ввод!M64</f>
        <v>30</v>
      </c>
      <c r="N148" s="159"/>
      <c r="O148" s="158"/>
      <c r="P148" s="159"/>
      <c r="Q148" s="159"/>
      <c r="R148" s="159"/>
      <c r="S148" s="159"/>
      <c r="T148" s="159"/>
      <c r="U148" s="15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28"/>
      <c r="AI148" s="128"/>
      <c r="AJ148" s="128"/>
      <c r="AK148" s="128"/>
      <c r="AL148" s="128"/>
      <c r="AM148" s="128"/>
      <c r="AN148" s="128"/>
      <c r="AO148" s="128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30"/>
      <c r="CE148" s="111"/>
    </row>
    <row r="149" spans="1:84" s="45" customFormat="1" ht="15" customHeight="1" outlineLevel="1" x14ac:dyDescent="0.3">
      <c r="A149" s="111"/>
      <c r="B149" s="30"/>
      <c r="C149" s="110"/>
      <c r="D149" s="135" t="s">
        <v>56</v>
      </c>
      <c r="E149" s="35"/>
      <c r="F149" s="35"/>
      <c r="G149" s="35"/>
      <c r="H149" s="35"/>
      <c r="I149" s="31" t="s">
        <v>54</v>
      </c>
      <c r="J149" s="31"/>
      <c r="K149" s="31"/>
      <c r="L149" s="31"/>
      <c r="M149" s="95">
        <f>Ввод!M65</f>
        <v>30</v>
      </c>
      <c r="N149" s="159"/>
      <c r="O149" s="158"/>
      <c r="P149" s="159"/>
      <c r="Q149" s="159"/>
      <c r="R149" s="159"/>
      <c r="S149" s="159"/>
      <c r="T149" s="159"/>
      <c r="U149" s="15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28"/>
      <c r="AH149" s="128"/>
      <c r="AI149" s="128"/>
      <c r="AJ149" s="128"/>
      <c r="AK149" s="128"/>
      <c r="AL149" s="128"/>
      <c r="AM149" s="128"/>
      <c r="AN149" s="128"/>
      <c r="AO149" s="128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30"/>
      <c r="CE149" s="111"/>
    </row>
    <row r="150" spans="1:84" s="45" customFormat="1" ht="15" customHeight="1" outlineLevel="1" x14ac:dyDescent="0.3">
      <c r="A150" s="111"/>
      <c r="B150" s="30"/>
      <c r="C150" s="110"/>
      <c r="D150" s="135"/>
      <c r="E150" s="35"/>
      <c r="F150" s="35"/>
      <c r="G150" s="35"/>
      <c r="H150" s="35"/>
      <c r="I150" s="31"/>
      <c r="J150" s="31"/>
      <c r="K150" s="31"/>
      <c r="L150" s="31"/>
      <c r="M150" s="173"/>
      <c r="N150" s="159"/>
      <c r="O150" s="158"/>
      <c r="P150" s="159"/>
      <c r="Q150" s="159"/>
      <c r="R150" s="159"/>
      <c r="S150" s="159"/>
      <c r="T150" s="159"/>
      <c r="U150" s="15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28"/>
      <c r="AH150" s="128"/>
      <c r="AI150" s="128"/>
      <c r="AJ150" s="128"/>
      <c r="AK150" s="128"/>
      <c r="AL150" s="128"/>
      <c r="AM150" s="128"/>
      <c r="AN150" s="128"/>
      <c r="AO150" s="128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30"/>
      <c r="CE150" s="111"/>
      <c r="CF150" s="110"/>
    </row>
    <row r="151" spans="1:84" s="45" customFormat="1" ht="15" customHeight="1" outlineLevel="1" x14ac:dyDescent="0.3">
      <c r="A151" s="111"/>
      <c r="B151" s="30"/>
      <c r="C151" s="110"/>
      <c r="D151" s="134" t="s">
        <v>67</v>
      </c>
      <c r="E151" s="28"/>
      <c r="F151" s="28"/>
      <c r="G151" s="28"/>
      <c r="H151" s="28"/>
      <c r="I151" s="6"/>
      <c r="J151" s="6"/>
      <c r="K151" s="6"/>
      <c r="L151" s="6"/>
      <c r="M151" s="174"/>
      <c r="N151" s="159"/>
      <c r="O151" s="158"/>
      <c r="P151" s="159"/>
      <c r="Q151" s="159"/>
      <c r="R151" s="159"/>
      <c r="S151" s="159"/>
      <c r="T151" s="159"/>
      <c r="U151" s="15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28"/>
      <c r="AH151" s="128"/>
      <c r="AI151" s="128"/>
      <c r="AJ151" s="128"/>
      <c r="AK151" s="128"/>
      <c r="AL151" s="128"/>
      <c r="AM151" s="128"/>
      <c r="AN151" s="128"/>
      <c r="AO151" s="128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10"/>
      <c r="CE151" s="111"/>
      <c r="CF151" s="110"/>
    </row>
    <row r="152" spans="1:84" s="45" customFormat="1" ht="15" customHeight="1" outlineLevel="1" x14ac:dyDescent="0.3">
      <c r="A152" s="111"/>
      <c r="B152" s="30"/>
      <c r="C152" s="110"/>
      <c r="D152" s="131" t="s">
        <v>6</v>
      </c>
      <c r="E152" s="114"/>
      <c r="F152" s="114"/>
      <c r="G152" s="114"/>
      <c r="H152" s="114"/>
      <c r="I152" s="31" t="str">
        <f>Ввод!$M$12</f>
        <v>руб</v>
      </c>
      <c r="J152" s="31"/>
      <c r="K152" s="31"/>
      <c r="L152" s="31"/>
      <c r="M152" s="174"/>
      <c r="N152" s="191">
        <f>SUM(P152:T152)</f>
        <v>635000000</v>
      </c>
      <c r="O152" s="139"/>
      <c r="P152" s="191">
        <f>SUMIF($V$4:$EK$4,P$4,$V152:$EK152)</f>
        <v>44600000</v>
      </c>
      <c r="Q152" s="191">
        <f t="shared" ref="Q152:T152" si="242">SUMIF($V$4:$EK$4,Q$4,$V152:$EK152)</f>
        <v>104400000</v>
      </c>
      <c r="R152" s="191">
        <f t="shared" si="242"/>
        <v>133200000</v>
      </c>
      <c r="S152" s="191">
        <f t="shared" si="242"/>
        <v>162000000</v>
      </c>
      <c r="T152" s="191">
        <f t="shared" si="242"/>
        <v>190800000</v>
      </c>
      <c r="U152" s="139"/>
      <c r="V152" s="228">
        <f t="shared" ref="V152:BA152" si="243">V24</f>
        <v>0</v>
      </c>
      <c r="W152" s="228">
        <f t="shared" si="243"/>
        <v>0</v>
      </c>
      <c r="X152" s="228">
        <f t="shared" si="243"/>
        <v>0</v>
      </c>
      <c r="Y152" s="228">
        <f t="shared" si="243"/>
        <v>0</v>
      </c>
      <c r="Z152" s="228">
        <f t="shared" si="243"/>
        <v>0</v>
      </c>
      <c r="AA152" s="228">
        <f t="shared" si="243"/>
        <v>5000000</v>
      </c>
      <c r="AB152" s="228">
        <f t="shared" si="243"/>
        <v>5500000</v>
      </c>
      <c r="AC152" s="228">
        <f t="shared" si="243"/>
        <v>6000000</v>
      </c>
      <c r="AD152" s="228">
        <f t="shared" si="243"/>
        <v>6500000</v>
      </c>
      <c r="AE152" s="228">
        <f t="shared" si="243"/>
        <v>7000000</v>
      </c>
      <c r="AF152" s="228">
        <f t="shared" si="243"/>
        <v>7200000</v>
      </c>
      <c r="AG152" s="228">
        <f t="shared" si="243"/>
        <v>7400000</v>
      </c>
      <c r="AH152" s="228">
        <f t="shared" si="243"/>
        <v>7600000</v>
      </c>
      <c r="AI152" s="228">
        <f t="shared" si="243"/>
        <v>7800000</v>
      </c>
      <c r="AJ152" s="228">
        <f t="shared" si="243"/>
        <v>8000000</v>
      </c>
      <c r="AK152" s="228">
        <f t="shared" si="243"/>
        <v>8200000</v>
      </c>
      <c r="AL152" s="228">
        <f t="shared" si="243"/>
        <v>8400000</v>
      </c>
      <c r="AM152" s="228">
        <f t="shared" si="243"/>
        <v>8600000</v>
      </c>
      <c r="AN152" s="228">
        <f t="shared" si="243"/>
        <v>8800000</v>
      </c>
      <c r="AO152" s="228">
        <f t="shared" si="243"/>
        <v>9000000</v>
      </c>
      <c r="AP152" s="228">
        <f t="shared" si="243"/>
        <v>9200000</v>
      </c>
      <c r="AQ152" s="228">
        <f t="shared" si="243"/>
        <v>9400000</v>
      </c>
      <c r="AR152" s="228">
        <f t="shared" si="243"/>
        <v>9600000</v>
      </c>
      <c r="AS152" s="228">
        <f t="shared" si="243"/>
        <v>9800000</v>
      </c>
      <c r="AT152" s="228">
        <f t="shared" si="243"/>
        <v>10000000</v>
      </c>
      <c r="AU152" s="228">
        <f t="shared" si="243"/>
        <v>10200000</v>
      </c>
      <c r="AV152" s="228">
        <f t="shared" si="243"/>
        <v>10400000</v>
      </c>
      <c r="AW152" s="228">
        <f t="shared" si="243"/>
        <v>10600000</v>
      </c>
      <c r="AX152" s="228">
        <f t="shared" si="243"/>
        <v>10800000</v>
      </c>
      <c r="AY152" s="228">
        <f t="shared" si="243"/>
        <v>11000000</v>
      </c>
      <c r="AZ152" s="228">
        <f t="shared" si="243"/>
        <v>11200000</v>
      </c>
      <c r="BA152" s="228">
        <f t="shared" si="243"/>
        <v>11400000</v>
      </c>
      <c r="BB152" s="228">
        <f t="shared" ref="BB152:CC152" si="244">BB24</f>
        <v>11600000</v>
      </c>
      <c r="BC152" s="228">
        <f t="shared" si="244"/>
        <v>11800000</v>
      </c>
      <c r="BD152" s="228">
        <f t="shared" si="244"/>
        <v>12000000</v>
      </c>
      <c r="BE152" s="228">
        <f t="shared" si="244"/>
        <v>12200000</v>
      </c>
      <c r="BF152" s="228">
        <f t="shared" si="244"/>
        <v>12400000</v>
      </c>
      <c r="BG152" s="228">
        <f t="shared" si="244"/>
        <v>12600000</v>
      </c>
      <c r="BH152" s="228">
        <f t="shared" si="244"/>
        <v>12800000</v>
      </c>
      <c r="BI152" s="228">
        <f t="shared" si="244"/>
        <v>13000000</v>
      </c>
      <c r="BJ152" s="228">
        <f t="shared" si="244"/>
        <v>13200000</v>
      </c>
      <c r="BK152" s="228">
        <f t="shared" si="244"/>
        <v>13400000</v>
      </c>
      <c r="BL152" s="228">
        <f t="shared" si="244"/>
        <v>13600000</v>
      </c>
      <c r="BM152" s="228">
        <f t="shared" si="244"/>
        <v>13800000</v>
      </c>
      <c r="BN152" s="228">
        <f t="shared" si="244"/>
        <v>14000000</v>
      </c>
      <c r="BO152" s="228">
        <f t="shared" si="244"/>
        <v>14200000</v>
      </c>
      <c r="BP152" s="228">
        <f t="shared" si="244"/>
        <v>14400000</v>
      </c>
      <c r="BQ152" s="228">
        <f t="shared" si="244"/>
        <v>14600000</v>
      </c>
      <c r="BR152" s="228">
        <f t="shared" si="244"/>
        <v>14800000</v>
      </c>
      <c r="BS152" s="228">
        <f t="shared" si="244"/>
        <v>15000000</v>
      </c>
      <c r="BT152" s="228">
        <f t="shared" si="244"/>
        <v>15200000</v>
      </c>
      <c r="BU152" s="228">
        <f t="shared" si="244"/>
        <v>15400000</v>
      </c>
      <c r="BV152" s="228">
        <f t="shared" si="244"/>
        <v>15600000</v>
      </c>
      <c r="BW152" s="228">
        <f t="shared" si="244"/>
        <v>15800000</v>
      </c>
      <c r="BX152" s="228">
        <f t="shared" si="244"/>
        <v>16000000</v>
      </c>
      <c r="BY152" s="228">
        <f t="shared" si="244"/>
        <v>16200000</v>
      </c>
      <c r="BZ152" s="228">
        <f t="shared" si="244"/>
        <v>16400000</v>
      </c>
      <c r="CA152" s="228">
        <f t="shared" si="244"/>
        <v>16600000</v>
      </c>
      <c r="CB152" s="228">
        <f t="shared" si="244"/>
        <v>16800000</v>
      </c>
      <c r="CC152" s="228">
        <f t="shared" si="244"/>
        <v>17000000</v>
      </c>
      <c r="CD152" s="30"/>
      <c r="CE152" s="111"/>
      <c r="CF152" s="110"/>
    </row>
    <row r="153" spans="1:84" s="45" customFormat="1" ht="15" customHeight="1" outlineLevel="1" x14ac:dyDescent="0.3">
      <c r="A153" s="111"/>
      <c r="B153" s="30"/>
      <c r="C153" s="110"/>
      <c r="D153" s="131" t="s">
        <v>67</v>
      </c>
      <c r="E153" s="114"/>
      <c r="F153" s="114"/>
      <c r="G153" s="114"/>
      <c r="H153" s="114"/>
      <c r="I153" s="31" t="str">
        <f>Ввод!$M$12</f>
        <v>руб</v>
      </c>
      <c r="J153" s="31"/>
      <c r="K153" s="31"/>
      <c r="L153" s="31"/>
      <c r="M153" s="174"/>
      <c r="N153" s="225"/>
      <c r="O153" s="139"/>
      <c r="P153" s="191">
        <f>SUMIFS($V153:$CC153,$V$4:$CC$4,P$4,$V$6:$CC$6,12)</f>
        <v>608219.17808219173</v>
      </c>
      <c r="Q153" s="191">
        <f t="shared" ref="Q153:T153" si="245">SUMIFS($V153:$CC153,$V$4:$CC$4,Q$4,$V$6:$CC$6,12)</f>
        <v>805479.45205479453</v>
      </c>
      <c r="R153" s="191">
        <f t="shared" si="245"/>
        <v>1002739.7260273972</v>
      </c>
      <c r="S153" s="191">
        <f t="shared" si="245"/>
        <v>1200000</v>
      </c>
      <c r="T153" s="191">
        <f t="shared" si="245"/>
        <v>1397260.2739726026</v>
      </c>
      <c r="U153" s="139"/>
      <c r="V153" s="191">
        <f t="shared" ref="V153:BA153" si="246">$M$147/365*V152</f>
        <v>0</v>
      </c>
      <c r="W153" s="191">
        <f t="shared" si="246"/>
        <v>0</v>
      </c>
      <c r="X153" s="191">
        <f t="shared" si="246"/>
        <v>0</v>
      </c>
      <c r="Y153" s="191">
        <f t="shared" si="246"/>
        <v>0</v>
      </c>
      <c r="Z153" s="191">
        <f t="shared" si="246"/>
        <v>0</v>
      </c>
      <c r="AA153" s="191">
        <f t="shared" si="246"/>
        <v>410958.904109589</v>
      </c>
      <c r="AB153" s="191">
        <f t="shared" si="246"/>
        <v>452054.7945205479</v>
      </c>
      <c r="AC153" s="191">
        <f t="shared" si="246"/>
        <v>493150.68493150681</v>
      </c>
      <c r="AD153" s="191">
        <f t="shared" si="246"/>
        <v>534246.57534246577</v>
      </c>
      <c r="AE153" s="191">
        <f t="shared" si="246"/>
        <v>575342.46575342468</v>
      </c>
      <c r="AF153" s="191">
        <f t="shared" si="246"/>
        <v>591780.82191780815</v>
      </c>
      <c r="AG153" s="191">
        <f t="shared" si="246"/>
        <v>608219.17808219173</v>
      </c>
      <c r="AH153" s="191">
        <f t="shared" si="246"/>
        <v>624657.53424657532</v>
      </c>
      <c r="AI153" s="191">
        <f t="shared" si="246"/>
        <v>641095.89041095891</v>
      </c>
      <c r="AJ153" s="191">
        <f t="shared" si="246"/>
        <v>657534.24657534237</v>
      </c>
      <c r="AK153" s="191">
        <f t="shared" si="246"/>
        <v>673972.60273972596</v>
      </c>
      <c r="AL153" s="191">
        <f t="shared" si="246"/>
        <v>690410.95890410955</v>
      </c>
      <c r="AM153" s="191">
        <f t="shared" si="246"/>
        <v>706849.31506849313</v>
      </c>
      <c r="AN153" s="191">
        <f t="shared" si="246"/>
        <v>723287.67123287672</v>
      </c>
      <c r="AO153" s="191">
        <f t="shared" si="246"/>
        <v>739726.02739726019</v>
      </c>
      <c r="AP153" s="191">
        <f t="shared" si="246"/>
        <v>756164.38356164377</v>
      </c>
      <c r="AQ153" s="191">
        <f t="shared" si="246"/>
        <v>772602.73972602736</v>
      </c>
      <c r="AR153" s="191">
        <f t="shared" si="246"/>
        <v>789041.09589041094</v>
      </c>
      <c r="AS153" s="191">
        <f t="shared" si="246"/>
        <v>805479.45205479453</v>
      </c>
      <c r="AT153" s="191">
        <f t="shared" si="246"/>
        <v>821917.808219178</v>
      </c>
      <c r="AU153" s="191">
        <f t="shared" si="246"/>
        <v>838356.16438356158</v>
      </c>
      <c r="AV153" s="191">
        <f t="shared" si="246"/>
        <v>854794.52054794517</v>
      </c>
      <c r="AW153" s="191">
        <f t="shared" si="246"/>
        <v>871232.87671232875</v>
      </c>
      <c r="AX153" s="191">
        <f t="shared" si="246"/>
        <v>887671.23287671222</v>
      </c>
      <c r="AY153" s="191">
        <f t="shared" si="246"/>
        <v>904109.58904109581</v>
      </c>
      <c r="AZ153" s="191">
        <f t="shared" si="246"/>
        <v>920547.94520547939</v>
      </c>
      <c r="BA153" s="191">
        <f t="shared" si="246"/>
        <v>936986.30136986298</v>
      </c>
      <c r="BB153" s="191">
        <f t="shared" ref="BB153:CC153" si="247">$M$147/365*BB152</f>
        <v>953424.65753424657</v>
      </c>
      <c r="BC153" s="191">
        <f t="shared" si="247"/>
        <v>969863.01369863003</v>
      </c>
      <c r="BD153" s="191">
        <f t="shared" si="247"/>
        <v>986301.36986301362</v>
      </c>
      <c r="BE153" s="191">
        <f t="shared" si="247"/>
        <v>1002739.7260273972</v>
      </c>
      <c r="BF153" s="191">
        <f t="shared" si="247"/>
        <v>1019178.0821917808</v>
      </c>
      <c r="BG153" s="191">
        <f t="shared" si="247"/>
        <v>1035616.4383561644</v>
      </c>
      <c r="BH153" s="191">
        <f t="shared" si="247"/>
        <v>1052054.7945205478</v>
      </c>
      <c r="BI153" s="191">
        <f t="shared" si="247"/>
        <v>1068493.1506849315</v>
      </c>
      <c r="BJ153" s="191">
        <f t="shared" si="247"/>
        <v>1084931.506849315</v>
      </c>
      <c r="BK153" s="191">
        <f t="shared" si="247"/>
        <v>1101369.8630136985</v>
      </c>
      <c r="BL153" s="191">
        <f t="shared" si="247"/>
        <v>1117808.2191780822</v>
      </c>
      <c r="BM153" s="191">
        <f t="shared" si="247"/>
        <v>1134246.5753424657</v>
      </c>
      <c r="BN153" s="191">
        <f t="shared" si="247"/>
        <v>1150684.9315068494</v>
      </c>
      <c r="BO153" s="191">
        <f t="shared" si="247"/>
        <v>1167123.2876712328</v>
      </c>
      <c r="BP153" s="191">
        <f t="shared" si="247"/>
        <v>1183561.6438356163</v>
      </c>
      <c r="BQ153" s="191">
        <f t="shared" si="247"/>
        <v>1200000</v>
      </c>
      <c r="BR153" s="191">
        <f t="shared" si="247"/>
        <v>1216438.3561643835</v>
      </c>
      <c r="BS153" s="191">
        <f t="shared" si="247"/>
        <v>1232876.7123287672</v>
      </c>
      <c r="BT153" s="191">
        <f t="shared" si="247"/>
        <v>1249315.0684931506</v>
      </c>
      <c r="BU153" s="191">
        <f t="shared" si="247"/>
        <v>1265753.4246575341</v>
      </c>
      <c r="BV153" s="191">
        <f t="shared" si="247"/>
        <v>1282191.7808219178</v>
      </c>
      <c r="BW153" s="191">
        <f t="shared" si="247"/>
        <v>1298630.1369863013</v>
      </c>
      <c r="BX153" s="191">
        <f t="shared" si="247"/>
        <v>1315068.4931506847</v>
      </c>
      <c r="BY153" s="191">
        <f t="shared" si="247"/>
        <v>1331506.8493150685</v>
      </c>
      <c r="BZ153" s="191">
        <f t="shared" si="247"/>
        <v>1347945.2054794519</v>
      </c>
      <c r="CA153" s="191">
        <f t="shared" si="247"/>
        <v>1364383.5616438356</v>
      </c>
      <c r="CB153" s="191">
        <f t="shared" si="247"/>
        <v>1380821.9178082191</v>
      </c>
      <c r="CC153" s="191">
        <f t="shared" si="247"/>
        <v>1397260.2739726026</v>
      </c>
      <c r="CD153" s="30"/>
      <c r="CE153" s="111"/>
      <c r="CF153" s="110"/>
    </row>
    <row r="154" spans="1:84" s="45" customFormat="1" ht="15" customHeight="1" outlineLevel="1" x14ac:dyDescent="0.3">
      <c r="A154" s="111"/>
      <c r="B154" s="30"/>
      <c r="C154" s="110"/>
      <c r="D154" s="134"/>
      <c r="E154" s="28"/>
      <c r="F154" s="28"/>
      <c r="G154" s="28"/>
      <c r="H154" s="28"/>
      <c r="I154" s="6"/>
      <c r="J154" s="6"/>
      <c r="K154" s="6"/>
      <c r="L154" s="6"/>
      <c r="M154" s="174"/>
      <c r="N154" s="159"/>
      <c r="O154" s="158"/>
      <c r="P154" s="225"/>
      <c r="Q154" s="225"/>
      <c r="R154" s="225"/>
      <c r="S154" s="225"/>
      <c r="T154" s="225"/>
      <c r="U154" s="158"/>
      <c r="V154" s="139"/>
      <c r="W154" s="139"/>
      <c r="X154" s="139"/>
      <c r="Y154" s="139"/>
      <c r="Z154" s="139"/>
      <c r="AA154" s="139"/>
      <c r="AB154" s="139"/>
      <c r="AC154" s="139"/>
      <c r="AD154" s="139"/>
      <c r="AE154" s="139"/>
      <c r="AF154" s="139"/>
      <c r="AG154" s="139"/>
      <c r="AH154" s="139"/>
      <c r="AI154" s="139"/>
      <c r="AJ154" s="139"/>
      <c r="AK154" s="139"/>
      <c r="AL154" s="139"/>
      <c r="AM154" s="139"/>
      <c r="AN154" s="139"/>
      <c r="AO154" s="139"/>
      <c r="AP154" s="139"/>
      <c r="AQ154" s="139"/>
      <c r="AR154" s="139"/>
      <c r="AS154" s="139"/>
      <c r="AT154" s="139"/>
      <c r="AU154" s="139"/>
      <c r="AV154" s="139"/>
      <c r="AW154" s="139"/>
      <c r="AX154" s="139"/>
      <c r="AY154" s="139"/>
      <c r="AZ154" s="139"/>
      <c r="BA154" s="139"/>
      <c r="BB154" s="139"/>
      <c r="BC154" s="139"/>
      <c r="BD154" s="139"/>
      <c r="BE154" s="139"/>
      <c r="BF154" s="139"/>
      <c r="BG154" s="139"/>
      <c r="BH154" s="139"/>
      <c r="BI154" s="139"/>
      <c r="BJ154" s="139"/>
      <c r="BK154" s="139"/>
      <c r="BL154" s="139"/>
      <c r="BM154" s="139"/>
      <c r="BN154" s="139"/>
      <c r="BO154" s="139"/>
      <c r="BP154" s="139"/>
      <c r="BQ154" s="139"/>
      <c r="BR154" s="139"/>
      <c r="BS154" s="139"/>
      <c r="BT154" s="139"/>
      <c r="BU154" s="139"/>
      <c r="BV154" s="139"/>
      <c r="BW154" s="139"/>
      <c r="BX154" s="139"/>
      <c r="BY154" s="139"/>
      <c r="BZ154" s="139"/>
      <c r="CA154" s="139"/>
      <c r="CB154" s="139"/>
      <c r="CC154" s="139"/>
      <c r="CD154" s="30"/>
      <c r="CE154" s="111"/>
      <c r="CF154" s="110"/>
    </row>
    <row r="155" spans="1:84" s="45" customFormat="1" ht="15" customHeight="1" outlineLevel="1" x14ac:dyDescent="0.3">
      <c r="A155" s="111"/>
      <c r="B155" s="30"/>
      <c r="C155" s="110"/>
      <c r="D155" s="134" t="s">
        <v>68</v>
      </c>
      <c r="E155" s="28"/>
      <c r="F155" s="28"/>
      <c r="G155" s="28"/>
      <c r="H155" s="28"/>
      <c r="I155" s="6"/>
      <c r="J155" s="6"/>
      <c r="K155" s="6"/>
      <c r="L155" s="6"/>
      <c r="M155" s="174"/>
      <c r="N155" s="159"/>
      <c r="O155" s="158"/>
      <c r="P155" s="225"/>
      <c r="Q155" s="225"/>
      <c r="R155" s="225"/>
      <c r="S155" s="225"/>
      <c r="T155" s="225"/>
      <c r="U155" s="158"/>
      <c r="V155" s="228"/>
      <c r="W155" s="228"/>
      <c r="X155" s="228"/>
      <c r="Y155" s="228"/>
      <c r="Z155" s="228"/>
      <c r="AA155" s="228"/>
      <c r="AB155" s="228"/>
      <c r="AC155" s="228"/>
      <c r="AD155" s="228"/>
      <c r="AE155" s="228"/>
      <c r="AF155" s="228"/>
      <c r="AG155" s="228"/>
      <c r="AH155" s="228"/>
      <c r="AI155" s="228"/>
      <c r="AJ155" s="228"/>
      <c r="AK155" s="228"/>
      <c r="AL155" s="228"/>
      <c r="AM155" s="228"/>
      <c r="AN155" s="228"/>
      <c r="AO155" s="228"/>
      <c r="AP155" s="228"/>
      <c r="AQ155" s="228"/>
      <c r="AR155" s="228"/>
      <c r="AS155" s="228"/>
      <c r="AT155" s="228"/>
      <c r="AU155" s="228"/>
      <c r="AV155" s="228"/>
      <c r="AW155" s="228"/>
      <c r="AX155" s="228"/>
      <c r="AY155" s="228"/>
      <c r="AZ155" s="228"/>
      <c r="BA155" s="228"/>
      <c r="BB155" s="228"/>
      <c r="BC155" s="228"/>
      <c r="BD155" s="228"/>
      <c r="BE155" s="228"/>
      <c r="BF155" s="228"/>
      <c r="BG155" s="228"/>
      <c r="BH155" s="228"/>
      <c r="BI155" s="228"/>
      <c r="BJ155" s="228"/>
      <c r="BK155" s="228"/>
      <c r="BL155" s="228"/>
      <c r="BM155" s="228"/>
      <c r="BN155" s="228"/>
      <c r="BO155" s="228"/>
      <c r="BP155" s="228"/>
      <c r="BQ155" s="228"/>
      <c r="BR155" s="228"/>
      <c r="BS155" s="228"/>
      <c r="BT155" s="228"/>
      <c r="BU155" s="228"/>
      <c r="BV155" s="228"/>
      <c r="BW155" s="228"/>
      <c r="BX155" s="228"/>
      <c r="BY155" s="228"/>
      <c r="BZ155" s="228"/>
      <c r="CA155" s="228"/>
      <c r="CB155" s="228"/>
      <c r="CC155" s="228"/>
      <c r="CD155" s="55"/>
      <c r="CE155" s="111"/>
      <c r="CF155" s="110"/>
    </row>
    <row r="156" spans="1:84" s="45" customFormat="1" ht="15" customHeight="1" outlineLevel="1" x14ac:dyDescent="0.3">
      <c r="A156" s="111"/>
      <c r="B156" s="30"/>
      <c r="C156" s="110"/>
      <c r="D156" s="131" t="s">
        <v>69</v>
      </c>
      <c r="E156" s="114"/>
      <c r="F156" s="114"/>
      <c r="G156" s="114"/>
      <c r="H156" s="114"/>
      <c r="I156" s="31" t="str">
        <f>Ввод!$M$12</f>
        <v>руб</v>
      </c>
      <c r="J156" s="31"/>
      <c r="K156" s="31"/>
      <c r="L156" s="31"/>
      <c r="M156" s="174"/>
      <c r="N156" s="191">
        <f>SUM(P156:T156)</f>
        <v>-316455000</v>
      </c>
      <c r="O156" s="139"/>
      <c r="P156" s="191">
        <f>SUMIF($V$4:$EK$4,P$4,$V156:$EK156)</f>
        <v>-25003800</v>
      </c>
      <c r="Q156" s="191">
        <f t="shared" ref="Q156:T156" si="248">SUMIF($V$4:$EK$4,Q$4,$V156:$EK156)</f>
        <v>-53293200</v>
      </c>
      <c r="R156" s="191">
        <f t="shared" si="248"/>
        <v>-66339600</v>
      </c>
      <c r="S156" s="191">
        <f t="shared" si="248"/>
        <v>-79386000</v>
      </c>
      <c r="T156" s="191">
        <f t="shared" si="248"/>
        <v>-92432400</v>
      </c>
      <c r="U156" s="139"/>
      <c r="V156" s="228">
        <f t="shared" ref="V156:BA156" si="249">V40+V71</f>
        <v>-260000</v>
      </c>
      <c r="W156" s="228">
        <f t="shared" si="249"/>
        <v>-260000</v>
      </c>
      <c r="X156" s="228">
        <f t="shared" si="249"/>
        <v>-260000</v>
      </c>
      <c r="Y156" s="228">
        <f t="shared" si="249"/>
        <v>-260000</v>
      </c>
      <c r="Z156" s="228">
        <f t="shared" si="249"/>
        <v>-260000</v>
      </c>
      <c r="AA156" s="228">
        <f t="shared" si="249"/>
        <v>-2765000</v>
      </c>
      <c r="AB156" s="228">
        <f t="shared" si="249"/>
        <v>-2991500</v>
      </c>
      <c r="AC156" s="228">
        <f t="shared" si="249"/>
        <v>-3218000</v>
      </c>
      <c r="AD156" s="228">
        <f t="shared" si="249"/>
        <v>-3444500</v>
      </c>
      <c r="AE156" s="228">
        <f t="shared" si="249"/>
        <v>-3671000</v>
      </c>
      <c r="AF156" s="228">
        <f t="shared" si="249"/>
        <v>-3761600</v>
      </c>
      <c r="AG156" s="228">
        <f t="shared" si="249"/>
        <v>-3852200</v>
      </c>
      <c r="AH156" s="228">
        <f t="shared" si="249"/>
        <v>-3942800</v>
      </c>
      <c r="AI156" s="228">
        <f t="shared" si="249"/>
        <v>-4033400</v>
      </c>
      <c r="AJ156" s="228">
        <f t="shared" si="249"/>
        <v>-4124000</v>
      </c>
      <c r="AK156" s="228">
        <f t="shared" si="249"/>
        <v>-4214600</v>
      </c>
      <c r="AL156" s="228">
        <f t="shared" si="249"/>
        <v>-4305200</v>
      </c>
      <c r="AM156" s="228">
        <f t="shared" si="249"/>
        <v>-4395800</v>
      </c>
      <c r="AN156" s="228">
        <f t="shared" si="249"/>
        <v>-4486400</v>
      </c>
      <c r="AO156" s="228">
        <f t="shared" si="249"/>
        <v>-4577000</v>
      </c>
      <c r="AP156" s="228">
        <f t="shared" si="249"/>
        <v>-4667600</v>
      </c>
      <c r="AQ156" s="228">
        <f t="shared" si="249"/>
        <v>-4758200</v>
      </c>
      <c r="AR156" s="228">
        <f t="shared" si="249"/>
        <v>-4848800</v>
      </c>
      <c r="AS156" s="228">
        <f t="shared" si="249"/>
        <v>-4939400</v>
      </c>
      <c r="AT156" s="228">
        <f t="shared" si="249"/>
        <v>-5030000</v>
      </c>
      <c r="AU156" s="228">
        <f t="shared" si="249"/>
        <v>-5120600</v>
      </c>
      <c r="AV156" s="228">
        <f t="shared" si="249"/>
        <v>-5211200</v>
      </c>
      <c r="AW156" s="228">
        <f t="shared" si="249"/>
        <v>-5301800</v>
      </c>
      <c r="AX156" s="228">
        <f t="shared" si="249"/>
        <v>-5392400</v>
      </c>
      <c r="AY156" s="228">
        <f t="shared" si="249"/>
        <v>-5483000</v>
      </c>
      <c r="AZ156" s="228">
        <f t="shared" si="249"/>
        <v>-5573600</v>
      </c>
      <c r="BA156" s="228">
        <f t="shared" si="249"/>
        <v>-5664200</v>
      </c>
      <c r="BB156" s="228">
        <f t="shared" ref="BB156:CC156" si="250">BB40+BB71</f>
        <v>-5754800</v>
      </c>
      <c r="BC156" s="228">
        <f t="shared" si="250"/>
        <v>-5845400</v>
      </c>
      <c r="BD156" s="228">
        <f t="shared" si="250"/>
        <v>-5936000</v>
      </c>
      <c r="BE156" s="228">
        <f t="shared" si="250"/>
        <v>-6026600</v>
      </c>
      <c r="BF156" s="228">
        <f t="shared" si="250"/>
        <v>-6117200</v>
      </c>
      <c r="BG156" s="228">
        <f t="shared" si="250"/>
        <v>-6207800</v>
      </c>
      <c r="BH156" s="228">
        <f t="shared" si="250"/>
        <v>-6298400</v>
      </c>
      <c r="BI156" s="228">
        <f t="shared" si="250"/>
        <v>-6389000</v>
      </c>
      <c r="BJ156" s="228">
        <f t="shared" si="250"/>
        <v>-6479600</v>
      </c>
      <c r="BK156" s="228">
        <f t="shared" si="250"/>
        <v>-6570200</v>
      </c>
      <c r="BL156" s="228">
        <f t="shared" si="250"/>
        <v>-6660800</v>
      </c>
      <c r="BM156" s="228">
        <f t="shared" si="250"/>
        <v>-6751400</v>
      </c>
      <c r="BN156" s="228">
        <f t="shared" si="250"/>
        <v>-6842000</v>
      </c>
      <c r="BO156" s="228">
        <f t="shared" si="250"/>
        <v>-6932600</v>
      </c>
      <c r="BP156" s="228">
        <f t="shared" si="250"/>
        <v>-7023200</v>
      </c>
      <c r="BQ156" s="228">
        <f t="shared" si="250"/>
        <v>-7113800</v>
      </c>
      <c r="BR156" s="228">
        <f t="shared" si="250"/>
        <v>-7204400</v>
      </c>
      <c r="BS156" s="228">
        <f t="shared" si="250"/>
        <v>-7295000</v>
      </c>
      <c r="BT156" s="228">
        <f t="shared" si="250"/>
        <v>-7385600</v>
      </c>
      <c r="BU156" s="228">
        <f t="shared" si="250"/>
        <v>-7476200</v>
      </c>
      <c r="BV156" s="228">
        <f t="shared" si="250"/>
        <v>-7566800</v>
      </c>
      <c r="BW156" s="228">
        <f t="shared" si="250"/>
        <v>-7657400</v>
      </c>
      <c r="BX156" s="228">
        <f t="shared" si="250"/>
        <v>-7748000</v>
      </c>
      <c r="BY156" s="228">
        <f t="shared" si="250"/>
        <v>-7838600</v>
      </c>
      <c r="BZ156" s="228">
        <f t="shared" si="250"/>
        <v>-7929200</v>
      </c>
      <c r="CA156" s="228">
        <f t="shared" si="250"/>
        <v>-8019800</v>
      </c>
      <c r="CB156" s="228">
        <f t="shared" si="250"/>
        <v>-8110400</v>
      </c>
      <c r="CC156" s="228">
        <f t="shared" si="250"/>
        <v>-8201000</v>
      </c>
      <c r="CD156" s="55"/>
      <c r="CE156" s="111"/>
      <c r="CF156" s="110"/>
    </row>
    <row r="157" spans="1:84" s="45" customFormat="1" ht="15" customHeight="1" outlineLevel="1" x14ac:dyDescent="0.3">
      <c r="A157" s="111"/>
      <c r="B157" s="30"/>
      <c r="C157" s="110"/>
      <c r="D157" s="131" t="s">
        <v>68</v>
      </c>
      <c r="E157" s="114"/>
      <c r="F157" s="114"/>
      <c r="G157" s="114"/>
      <c r="H157" s="114"/>
      <c r="I157" s="31" t="str">
        <f>Ввод!$M$12</f>
        <v>руб</v>
      </c>
      <c r="J157" s="31"/>
      <c r="K157" s="31"/>
      <c r="L157" s="31"/>
      <c r="M157" s="174"/>
      <c r="N157" s="225"/>
      <c r="O157" s="139"/>
      <c r="P157" s="191">
        <f>SUMIFS($V157:$CC157,$V$4:$CC$4,P$4,$V$6:$CC$6,12)</f>
        <v>-316619.17808219173</v>
      </c>
      <c r="Q157" s="191">
        <f t="shared" ref="Q157:T157" si="251">SUMIFS($V157:$CC157,$V$4:$CC$4,Q$4,$V$6:$CC$6,12)</f>
        <v>-405978.08219178079</v>
      </c>
      <c r="R157" s="191">
        <f t="shared" si="251"/>
        <v>-495336.98630136985</v>
      </c>
      <c r="S157" s="191">
        <f t="shared" si="251"/>
        <v>-584695.89041095891</v>
      </c>
      <c r="T157" s="191">
        <f t="shared" si="251"/>
        <v>-674054.79452054796</v>
      </c>
      <c r="U157" s="139"/>
      <c r="V157" s="191">
        <f>$M$148/365*V156</f>
        <v>-21369.863013698628</v>
      </c>
      <c r="W157" s="191">
        <f t="shared" ref="W157:BA157" si="252">$M$148/365*W156</f>
        <v>-21369.863013698628</v>
      </c>
      <c r="X157" s="191">
        <f t="shared" si="252"/>
        <v>-21369.863013698628</v>
      </c>
      <c r="Y157" s="191">
        <f t="shared" si="252"/>
        <v>-21369.863013698628</v>
      </c>
      <c r="Z157" s="191">
        <f t="shared" si="252"/>
        <v>-21369.863013698628</v>
      </c>
      <c r="AA157" s="191">
        <f t="shared" si="252"/>
        <v>-227260.27397260274</v>
      </c>
      <c r="AB157" s="191">
        <f t="shared" si="252"/>
        <v>-245876.71232876711</v>
      </c>
      <c r="AC157" s="191">
        <f t="shared" si="252"/>
        <v>-264493.15068493149</v>
      </c>
      <c r="AD157" s="191">
        <f t="shared" si="252"/>
        <v>-283109.58904109587</v>
      </c>
      <c r="AE157" s="191">
        <f t="shared" si="252"/>
        <v>-301726.02739726024</v>
      </c>
      <c r="AF157" s="191">
        <f t="shared" si="252"/>
        <v>-309172.60273972602</v>
      </c>
      <c r="AG157" s="191">
        <f t="shared" si="252"/>
        <v>-316619.17808219173</v>
      </c>
      <c r="AH157" s="191">
        <f t="shared" si="252"/>
        <v>-324065.75342465751</v>
      </c>
      <c r="AI157" s="191">
        <f t="shared" si="252"/>
        <v>-331512.32876712328</v>
      </c>
      <c r="AJ157" s="191">
        <f t="shared" si="252"/>
        <v>-338958.904109589</v>
      </c>
      <c r="AK157" s="191">
        <f t="shared" si="252"/>
        <v>-346405.47945205477</v>
      </c>
      <c r="AL157" s="191">
        <f t="shared" si="252"/>
        <v>-353852.05479452055</v>
      </c>
      <c r="AM157" s="191">
        <f t="shared" si="252"/>
        <v>-361298.63013698626</v>
      </c>
      <c r="AN157" s="191">
        <f t="shared" si="252"/>
        <v>-368745.20547945204</v>
      </c>
      <c r="AO157" s="191">
        <f t="shared" si="252"/>
        <v>-376191.78082191781</v>
      </c>
      <c r="AP157" s="191">
        <f t="shared" si="252"/>
        <v>-383638.35616438353</v>
      </c>
      <c r="AQ157" s="191">
        <f t="shared" si="252"/>
        <v>-391084.9315068493</v>
      </c>
      <c r="AR157" s="191">
        <f t="shared" si="252"/>
        <v>-398531.50684931502</v>
      </c>
      <c r="AS157" s="191">
        <f t="shared" si="252"/>
        <v>-405978.08219178079</v>
      </c>
      <c r="AT157" s="191">
        <f t="shared" si="252"/>
        <v>-413424.65753424657</v>
      </c>
      <c r="AU157" s="191">
        <f t="shared" si="252"/>
        <v>-420871.23287671228</v>
      </c>
      <c r="AV157" s="191">
        <f t="shared" si="252"/>
        <v>-428317.80821917806</v>
      </c>
      <c r="AW157" s="191">
        <f t="shared" si="252"/>
        <v>-435764.38356164383</v>
      </c>
      <c r="AX157" s="191">
        <f t="shared" si="252"/>
        <v>-443210.95890410955</v>
      </c>
      <c r="AY157" s="191">
        <f t="shared" si="252"/>
        <v>-450657.53424657532</v>
      </c>
      <c r="AZ157" s="191">
        <f t="shared" si="252"/>
        <v>-458104.10958904109</v>
      </c>
      <c r="BA157" s="191">
        <f t="shared" si="252"/>
        <v>-465550.68493150681</v>
      </c>
      <c r="BB157" s="191">
        <f t="shared" ref="BB157:CC157" si="253">$M$148/365*BB156</f>
        <v>-472997.26027397258</v>
      </c>
      <c r="BC157" s="191">
        <f t="shared" si="253"/>
        <v>-480443.83561643836</v>
      </c>
      <c r="BD157" s="191">
        <f t="shared" si="253"/>
        <v>-487890.41095890407</v>
      </c>
      <c r="BE157" s="191">
        <f t="shared" si="253"/>
        <v>-495336.98630136985</v>
      </c>
      <c r="BF157" s="191">
        <f t="shared" si="253"/>
        <v>-502783.56164383556</v>
      </c>
      <c r="BG157" s="191">
        <f t="shared" si="253"/>
        <v>-510230.13698630134</v>
      </c>
      <c r="BH157" s="191">
        <f t="shared" si="253"/>
        <v>-517676.71232876711</v>
      </c>
      <c r="BI157" s="191">
        <f t="shared" si="253"/>
        <v>-525123.28767123283</v>
      </c>
      <c r="BJ157" s="191">
        <f t="shared" si="253"/>
        <v>-532569.8630136986</v>
      </c>
      <c r="BK157" s="191">
        <f t="shared" si="253"/>
        <v>-540016.43835616438</v>
      </c>
      <c r="BL157" s="191">
        <f t="shared" si="253"/>
        <v>-547463.01369863015</v>
      </c>
      <c r="BM157" s="191">
        <f t="shared" si="253"/>
        <v>-554909.58904109581</v>
      </c>
      <c r="BN157" s="191">
        <f t="shared" si="253"/>
        <v>-562356.16438356158</v>
      </c>
      <c r="BO157" s="191">
        <f t="shared" si="253"/>
        <v>-569802.73972602736</v>
      </c>
      <c r="BP157" s="191">
        <f t="shared" si="253"/>
        <v>-577249.31506849313</v>
      </c>
      <c r="BQ157" s="191">
        <f t="shared" si="253"/>
        <v>-584695.89041095891</v>
      </c>
      <c r="BR157" s="191">
        <f t="shared" si="253"/>
        <v>-592142.46575342468</v>
      </c>
      <c r="BS157" s="191">
        <f t="shared" si="253"/>
        <v>-599589.04109589034</v>
      </c>
      <c r="BT157" s="191">
        <f t="shared" si="253"/>
        <v>-607035.61643835611</v>
      </c>
      <c r="BU157" s="191">
        <f t="shared" si="253"/>
        <v>-614482.19178082189</v>
      </c>
      <c r="BV157" s="191">
        <f t="shared" si="253"/>
        <v>-621928.76712328766</v>
      </c>
      <c r="BW157" s="191">
        <f t="shared" si="253"/>
        <v>-629375.34246575343</v>
      </c>
      <c r="BX157" s="191">
        <f t="shared" si="253"/>
        <v>-636821.91780821909</v>
      </c>
      <c r="BY157" s="191">
        <f t="shared" si="253"/>
        <v>-644268.49315068487</v>
      </c>
      <c r="BZ157" s="191">
        <f t="shared" si="253"/>
        <v>-651715.06849315064</v>
      </c>
      <c r="CA157" s="191">
        <f t="shared" si="253"/>
        <v>-659161.64383561641</v>
      </c>
      <c r="CB157" s="191">
        <f t="shared" si="253"/>
        <v>-666608.21917808219</v>
      </c>
      <c r="CC157" s="191">
        <f t="shared" si="253"/>
        <v>-674054.79452054796</v>
      </c>
      <c r="CD157" s="46"/>
      <c r="CE157" s="111"/>
      <c r="CF157" s="110"/>
    </row>
    <row r="158" spans="1:84" s="46" customFormat="1" ht="15" customHeight="1" outlineLevel="1" x14ac:dyDescent="0.3">
      <c r="A158" s="47"/>
      <c r="B158" s="30"/>
      <c r="C158" s="110"/>
      <c r="D158" s="134"/>
      <c r="E158" s="28"/>
      <c r="F158" s="28"/>
      <c r="G158" s="28"/>
      <c r="H158" s="28"/>
      <c r="I158" s="6"/>
      <c r="J158" s="6"/>
      <c r="K158" s="6"/>
      <c r="L158" s="6"/>
      <c r="M158" s="174"/>
      <c r="N158" s="159"/>
      <c r="O158" s="158"/>
      <c r="P158" s="225"/>
      <c r="Q158" s="225"/>
      <c r="R158" s="225"/>
      <c r="S158" s="225"/>
      <c r="T158" s="225"/>
      <c r="U158" s="158"/>
      <c r="V158" s="228"/>
      <c r="W158" s="228"/>
      <c r="X158" s="228"/>
      <c r="Y158" s="228"/>
      <c r="Z158" s="228"/>
      <c r="AA158" s="228"/>
      <c r="AB158" s="228"/>
      <c r="AC158" s="228"/>
      <c r="AD158" s="228"/>
      <c r="AE158" s="228"/>
      <c r="AF158" s="228"/>
      <c r="AG158" s="228"/>
      <c r="AH158" s="228"/>
      <c r="AI158" s="228"/>
      <c r="AJ158" s="228"/>
      <c r="AK158" s="228"/>
      <c r="AL158" s="228"/>
      <c r="AM158" s="228"/>
      <c r="AN158" s="228"/>
      <c r="AO158" s="228"/>
      <c r="AP158" s="228"/>
      <c r="AQ158" s="228"/>
      <c r="AR158" s="228"/>
      <c r="AS158" s="228"/>
      <c r="AT158" s="228"/>
      <c r="AU158" s="228"/>
      <c r="AV158" s="228"/>
      <c r="AW158" s="228"/>
      <c r="AX158" s="228"/>
      <c r="AY158" s="228"/>
      <c r="AZ158" s="228"/>
      <c r="BA158" s="228"/>
      <c r="BB158" s="228"/>
      <c r="BC158" s="228"/>
      <c r="BD158" s="228"/>
      <c r="BE158" s="228"/>
      <c r="BF158" s="228"/>
      <c r="BG158" s="228"/>
      <c r="BH158" s="228"/>
      <c r="BI158" s="228"/>
      <c r="BJ158" s="228"/>
      <c r="BK158" s="228"/>
      <c r="BL158" s="228"/>
      <c r="BM158" s="228"/>
      <c r="BN158" s="228"/>
      <c r="BO158" s="228"/>
      <c r="BP158" s="228"/>
      <c r="BQ158" s="228"/>
      <c r="BR158" s="228"/>
      <c r="BS158" s="228"/>
      <c r="BT158" s="228"/>
      <c r="BU158" s="228"/>
      <c r="BV158" s="228"/>
      <c r="BW158" s="228"/>
      <c r="BX158" s="228"/>
      <c r="BY158" s="228"/>
      <c r="BZ158" s="228"/>
      <c r="CA158" s="228"/>
      <c r="CB158" s="228"/>
      <c r="CC158" s="228"/>
      <c r="CE158" s="47"/>
    </row>
    <row r="159" spans="1:84" s="46" customFormat="1" ht="14.4" customHeight="1" outlineLevel="1" x14ac:dyDescent="0.3">
      <c r="A159" s="47"/>
      <c r="B159" s="30"/>
      <c r="C159" s="110"/>
      <c r="D159" s="134" t="s">
        <v>70</v>
      </c>
      <c r="E159" s="28"/>
      <c r="F159" s="28"/>
      <c r="G159" s="28"/>
      <c r="H159" s="28"/>
      <c r="I159" s="6"/>
      <c r="J159" s="6"/>
      <c r="K159" s="6"/>
      <c r="L159" s="6"/>
      <c r="M159" s="179"/>
      <c r="N159" s="174"/>
      <c r="O159" s="159"/>
      <c r="P159" s="139"/>
      <c r="Q159" s="225"/>
      <c r="R159" s="225"/>
      <c r="S159" s="225"/>
      <c r="T159" s="225"/>
      <c r="U159" s="159"/>
      <c r="V159" s="139"/>
      <c r="W159" s="228"/>
      <c r="X159" s="228"/>
      <c r="Y159" s="228"/>
      <c r="Z159" s="228"/>
      <c r="AA159" s="228"/>
      <c r="AB159" s="228"/>
      <c r="AC159" s="228"/>
      <c r="AD159" s="228"/>
      <c r="AE159" s="228"/>
      <c r="AF159" s="228"/>
      <c r="AG159" s="228"/>
      <c r="AH159" s="228"/>
      <c r="AI159" s="228"/>
      <c r="AJ159" s="228"/>
      <c r="AK159" s="228"/>
      <c r="AL159" s="228"/>
      <c r="AM159" s="228"/>
      <c r="AN159" s="228"/>
      <c r="AO159" s="228"/>
      <c r="AP159" s="228"/>
      <c r="AQ159" s="228"/>
      <c r="AR159" s="228"/>
      <c r="AS159" s="228"/>
      <c r="AT159" s="228"/>
      <c r="AU159" s="228"/>
      <c r="AV159" s="228"/>
      <c r="AW159" s="228"/>
      <c r="AX159" s="228"/>
      <c r="AY159" s="228"/>
      <c r="AZ159" s="228"/>
      <c r="BA159" s="228"/>
      <c r="BB159" s="228"/>
      <c r="BC159" s="228"/>
      <c r="BD159" s="228"/>
      <c r="BE159" s="228"/>
      <c r="BF159" s="228"/>
      <c r="BG159" s="228"/>
      <c r="BH159" s="228"/>
      <c r="BI159" s="228"/>
      <c r="BJ159" s="228"/>
      <c r="BK159" s="228"/>
      <c r="BL159" s="228"/>
      <c r="BM159" s="228"/>
      <c r="BN159" s="228"/>
      <c r="BO159" s="228"/>
      <c r="BP159" s="228"/>
      <c r="BQ159" s="228"/>
      <c r="BR159" s="228"/>
      <c r="BS159" s="228"/>
      <c r="BT159" s="228"/>
      <c r="BU159" s="228"/>
      <c r="BV159" s="228"/>
      <c r="BW159" s="228"/>
      <c r="BX159" s="228"/>
      <c r="BY159" s="228"/>
      <c r="BZ159" s="228"/>
      <c r="CA159" s="228"/>
      <c r="CB159" s="228"/>
      <c r="CC159" s="228"/>
      <c r="CE159" s="47"/>
      <c r="CF159" s="47"/>
    </row>
    <row r="160" spans="1:84" s="46" customFormat="1" ht="14.4" customHeight="1" outlineLevel="1" x14ac:dyDescent="0.3">
      <c r="A160" s="47"/>
      <c r="B160" s="30"/>
      <c r="C160" s="110"/>
      <c r="D160" s="131" t="s">
        <v>69</v>
      </c>
      <c r="E160" s="114"/>
      <c r="F160" s="114"/>
      <c r="G160" s="114"/>
      <c r="H160" s="114"/>
      <c r="I160" s="31" t="s">
        <v>31</v>
      </c>
      <c r="J160" s="31"/>
      <c r="K160" s="31"/>
      <c r="L160" s="31"/>
      <c r="M160" s="174"/>
      <c r="N160" s="191">
        <f>SUM(P160:T160)</f>
        <v>-316455000</v>
      </c>
      <c r="O160" s="139"/>
      <c r="P160" s="191">
        <f>SUMIF($V$4:$EK$4,P$4,$V160:$EK160)</f>
        <v>-25003800</v>
      </c>
      <c r="Q160" s="191">
        <f t="shared" ref="Q160:T160" si="254">SUMIF($V$4:$EK$4,Q$4,$V160:$EK160)</f>
        <v>-53293200</v>
      </c>
      <c r="R160" s="191">
        <f t="shared" si="254"/>
        <v>-66339600</v>
      </c>
      <c r="S160" s="191">
        <f t="shared" si="254"/>
        <v>-79386000</v>
      </c>
      <c r="T160" s="191">
        <f t="shared" si="254"/>
        <v>-92432400</v>
      </c>
      <c r="U160" s="139"/>
      <c r="V160" s="228">
        <f t="shared" ref="V160:BA160" si="255">V40+V71</f>
        <v>-260000</v>
      </c>
      <c r="W160" s="228">
        <f t="shared" si="255"/>
        <v>-260000</v>
      </c>
      <c r="X160" s="228">
        <f t="shared" si="255"/>
        <v>-260000</v>
      </c>
      <c r="Y160" s="228">
        <f t="shared" si="255"/>
        <v>-260000</v>
      </c>
      <c r="Z160" s="228">
        <f t="shared" si="255"/>
        <v>-260000</v>
      </c>
      <c r="AA160" s="228">
        <f t="shared" si="255"/>
        <v>-2765000</v>
      </c>
      <c r="AB160" s="228">
        <f t="shared" si="255"/>
        <v>-2991500</v>
      </c>
      <c r="AC160" s="228">
        <f t="shared" si="255"/>
        <v>-3218000</v>
      </c>
      <c r="AD160" s="228">
        <f t="shared" si="255"/>
        <v>-3444500</v>
      </c>
      <c r="AE160" s="228">
        <f t="shared" si="255"/>
        <v>-3671000</v>
      </c>
      <c r="AF160" s="228">
        <f t="shared" si="255"/>
        <v>-3761600</v>
      </c>
      <c r="AG160" s="228">
        <f t="shared" si="255"/>
        <v>-3852200</v>
      </c>
      <c r="AH160" s="228">
        <f t="shared" si="255"/>
        <v>-3942800</v>
      </c>
      <c r="AI160" s="228">
        <f t="shared" si="255"/>
        <v>-4033400</v>
      </c>
      <c r="AJ160" s="228">
        <f t="shared" si="255"/>
        <v>-4124000</v>
      </c>
      <c r="AK160" s="228">
        <f t="shared" si="255"/>
        <v>-4214600</v>
      </c>
      <c r="AL160" s="228">
        <f t="shared" si="255"/>
        <v>-4305200</v>
      </c>
      <c r="AM160" s="228">
        <f t="shared" si="255"/>
        <v>-4395800</v>
      </c>
      <c r="AN160" s="228">
        <f t="shared" si="255"/>
        <v>-4486400</v>
      </c>
      <c r="AO160" s="228">
        <f t="shared" si="255"/>
        <v>-4577000</v>
      </c>
      <c r="AP160" s="228">
        <f t="shared" si="255"/>
        <v>-4667600</v>
      </c>
      <c r="AQ160" s="228">
        <f t="shared" si="255"/>
        <v>-4758200</v>
      </c>
      <c r="AR160" s="228">
        <f t="shared" si="255"/>
        <v>-4848800</v>
      </c>
      <c r="AS160" s="228">
        <f t="shared" si="255"/>
        <v>-4939400</v>
      </c>
      <c r="AT160" s="228">
        <f t="shared" si="255"/>
        <v>-5030000</v>
      </c>
      <c r="AU160" s="228">
        <f t="shared" si="255"/>
        <v>-5120600</v>
      </c>
      <c r="AV160" s="228">
        <f t="shared" si="255"/>
        <v>-5211200</v>
      </c>
      <c r="AW160" s="228">
        <f t="shared" si="255"/>
        <v>-5301800</v>
      </c>
      <c r="AX160" s="228">
        <f t="shared" si="255"/>
        <v>-5392400</v>
      </c>
      <c r="AY160" s="228">
        <f t="shared" si="255"/>
        <v>-5483000</v>
      </c>
      <c r="AZ160" s="228">
        <f t="shared" si="255"/>
        <v>-5573600</v>
      </c>
      <c r="BA160" s="228">
        <f t="shared" si="255"/>
        <v>-5664200</v>
      </c>
      <c r="BB160" s="228">
        <f t="shared" ref="BB160:CC160" si="256">BB40+BB71</f>
        <v>-5754800</v>
      </c>
      <c r="BC160" s="228">
        <f t="shared" si="256"/>
        <v>-5845400</v>
      </c>
      <c r="BD160" s="228">
        <f t="shared" si="256"/>
        <v>-5936000</v>
      </c>
      <c r="BE160" s="228">
        <f t="shared" si="256"/>
        <v>-6026600</v>
      </c>
      <c r="BF160" s="228">
        <f t="shared" si="256"/>
        <v>-6117200</v>
      </c>
      <c r="BG160" s="228">
        <f t="shared" si="256"/>
        <v>-6207800</v>
      </c>
      <c r="BH160" s="228">
        <f t="shared" si="256"/>
        <v>-6298400</v>
      </c>
      <c r="BI160" s="228">
        <f t="shared" si="256"/>
        <v>-6389000</v>
      </c>
      <c r="BJ160" s="228">
        <f t="shared" si="256"/>
        <v>-6479600</v>
      </c>
      <c r="BK160" s="228">
        <f t="shared" si="256"/>
        <v>-6570200</v>
      </c>
      <c r="BL160" s="228">
        <f t="shared" si="256"/>
        <v>-6660800</v>
      </c>
      <c r="BM160" s="228">
        <f t="shared" si="256"/>
        <v>-6751400</v>
      </c>
      <c r="BN160" s="228">
        <f t="shared" si="256"/>
        <v>-6842000</v>
      </c>
      <c r="BO160" s="228">
        <f t="shared" si="256"/>
        <v>-6932600</v>
      </c>
      <c r="BP160" s="228">
        <f t="shared" si="256"/>
        <v>-7023200</v>
      </c>
      <c r="BQ160" s="228">
        <f t="shared" si="256"/>
        <v>-7113800</v>
      </c>
      <c r="BR160" s="228">
        <f t="shared" si="256"/>
        <v>-7204400</v>
      </c>
      <c r="BS160" s="228">
        <f t="shared" si="256"/>
        <v>-7295000</v>
      </c>
      <c r="BT160" s="228">
        <f t="shared" si="256"/>
        <v>-7385600</v>
      </c>
      <c r="BU160" s="228">
        <f t="shared" si="256"/>
        <v>-7476200</v>
      </c>
      <c r="BV160" s="228">
        <f t="shared" si="256"/>
        <v>-7566800</v>
      </c>
      <c r="BW160" s="228">
        <f t="shared" si="256"/>
        <v>-7657400</v>
      </c>
      <c r="BX160" s="228">
        <f t="shared" si="256"/>
        <v>-7748000</v>
      </c>
      <c r="BY160" s="228">
        <f t="shared" si="256"/>
        <v>-7838600</v>
      </c>
      <c r="BZ160" s="228">
        <f t="shared" si="256"/>
        <v>-7929200</v>
      </c>
      <c r="CA160" s="228">
        <f t="shared" si="256"/>
        <v>-8019800</v>
      </c>
      <c r="CB160" s="228">
        <f t="shared" si="256"/>
        <v>-8110400</v>
      </c>
      <c r="CC160" s="228">
        <f t="shared" si="256"/>
        <v>-8201000</v>
      </c>
      <c r="CE160" s="47"/>
      <c r="CF160" s="47"/>
    </row>
    <row r="161" spans="1:84" s="46" customFormat="1" ht="14.4" customHeight="1" outlineLevel="1" x14ac:dyDescent="0.3">
      <c r="A161" s="47"/>
      <c r="B161" s="30"/>
      <c r="C161" s="110"/>
      <c r="D161" s="131" t="s">
        <v>70</v>
      </c>
      <c r="E161" s="114"/>
      <c r="F161" s="114"/>
      <c r="G161" s="114"/>
      <c r="H161" s="114"/>
      <c r="I161" s="31" t="s">
        <v>31</v>
      </c>
      <c r="J161" s="31"/>
      <c r="K161" s="31"/>
      <c r="L161" s="31"/>
      <c r="M161" s="174"/>
      <c r="N161" s="225"/>
      <c r="O161" s="139"/>
      <c r="P161" s="191">
        <f>SUMIFS($V161:$CC161,$V$4:$CC$4,P$4,$V$6:$CC$6,12)</f>
        <v>-316619.17808219173</v>
      </c>
      <c r="Q161" s="191">
        <f t="shared" ref="Q161:T161" si="257">SUMIFS($V161:$CC161,$V$4:$CC$4,Q$4,$V$6:$CC$6,12)</f>
        <v>-405978.08219178079</v>
      </c>
      <c r="R161" s="191">
        <f t="shared" si="257"/>
        <v>-495336.98630136985</v>
      </c>
      <c r="S161" s="191">
        <f t="shared" si="257"/>
        <v>-584695.89041095891</v>
      </c>
      <c r="T161" s="191">
        <f t="shared" si="257"/>
        <v>-674054.79452054796</v>
      </c>
      <c r="U161" s="139"/>
      <c r="V161" s="191">
        <f t="shared" ref="V161:BA161" si="258">$M$149/365*V160</f>
        <v>-21369.863013698628</v>
      </c>
      <c r="W161" s="191">
        <f t="shared" si="258"/>
        <v>-21369.863013698628</v>
      </c>
      <c r="X161" s="191">
        <f t="shared" si="258"/>
        <v>-21369.863013698628</v>
      </c>
      <c r="Y161" s="191">
        <f t="shared" si="258"/>
        <v>-21369.863013698628</v>
      </c>
      <c r="Z161" s="191">
        <f t="shared" si="258"/>
        <v>-21369.863013698628</v>
      </c>
      <c r="AA161" s="191">
        <f t="shared" si="258"/>
        <v>-227260.27397260274</v>
      </c>
      <c r="AB161" s="191">
        <f t="shared" si="258"/>
        <v>-245876.71232876711</v>
      </c>
      <c r="AC161" s="191">
        <f t="shared" si="258"/>
        <v>-264493.15068493149</v>
      </c>
      <c r="AD161" s="191">
        <f t="shared" si="258"/>
        <v>-283109.58904109587</v>
      </c>
      <c r="AE161" s="191">
        <f t="shared" si="258"/>
        <v>-301726.02739726024</v>
      </c>
      <c r="AF161" s="191">
        <f t="shared" si="258"/>
        <v>-309172.60273972602</v>
      </c>
      <c r="AG161" s="191">
        <f t="shared" si="258"/>
        <v>-316619.17808219173</v>
      </c>
      <c r="AH161" s="191">
        <f t="shared" si="258"/>
        <v>-324065.75342465751</v>
      </c>
      <c r="AI161" s="191">
        <f t="shared" si="258"/>
        <v>-331512.32876712328</v>
      </c>
      <c r="AJ161" s="191">
        <f t="shared" si="258"/>
        <v>-338958.904109589</v>
      </c>
      <c r="AK161" s="191">
        <f t="shared" si="258"/>
        <v>-346405.47945205477</v>
      </c>
      <c r="AL161" s="191">
        <f t="shared" si="258"/>
        <v>-353852.05479452055</v>
      </c>
      <c r="AM161" s="191">
        <f t="shared" si="258"/>
        <v>-361298.63013698626</v>
      </c>
      <c r="AN161" s="191">
        <f t="shared" si="258"/>
        <v>-368745.20547945204</v>
      </c>
      <c r="AO161" s="191">
        <f t="shared" si="258"/>
        <v>-376191.78082191781</v>
      </c>
      <c r="AP161" s="191">
        <f t="shared" si="258"/>
        <v>-383638.35616438353</v>
      </c>
      <c r="AQ161" s="191">
        <f t="shared" si="258"/>
        <v>-391084.9315068493</v>
      </c>
      <c r="AR161" s="191">
        <f t="shared" si="258"/>
        <v>-398531.50684931502</v>
      </c>
      <c r="AS161" s="191">
        <f t="shared" si="258"/>
        <v>-405978.08219178079</v>
      </c>
      <c r="AT161" s="191">
        <f t="shared" si="258"/>
        <v>-413424.65753424657</v>
      </c>
      <c r="AU161" s="191">
        <f t="shared" si="258"/>
        <v>-420871.23287671228</v>
      </c>
      <c r="AV161" s="191">
        <f t="shared" si="258"/>
        <v>-428317.80821917806</v>
      </c>
      <c r="AW161" s="191">
        <f t="shared" si="258"/>
        <v>-435764.38356164383</v>
      </c>
      <c r="AX161" s="191">
        <f t="shared" si="258"/>
        <v>-443210.95890410955</v>
      </c>
      <c r="AY161" s="191">
        <f t="shared" si="258"/>
        <v>-450657.53424657532</v>
      </c>
      <c r="AZ161" s="191">
        <f t="shared" si="258"/>
        <v>-458104.10958904109</v>
      </c>
      <c r="BA161" s="191">
        <f t="shared" si="258"/>
        <v>-465550.68493150681</v>
      </c>
      <c r="BB161" s="191">
        <f t="shared" ref="BB161:CC161" si="259">$M$149/365*BB160</f>
        <v>-472997.26027397258</v>
      </c>
      <c r="BC161" s="191">
        <f t="shared" si="259"/>
        <v>-480443.83561643836</v>
      </c>
      <c r="BD161" s="191">
        <f t="shared" si="259"/>
        <v>-487890.41095890407</v>
      </c>
      <c r="BE161" s="191">
        <f t="shared" si="259"/>
        <v>-495336.98630136985</v>
      </c>
      <c r="BF161" s="191">
        <f t="shared" si="259"/>
        <v>-502783.56164383556</v>
      </c>
      <c r="BG161" s="191">
        <f t="shared" si="259"/>
        <v>-510230.13698630134</v>
      </c>
      <c r="BH161" s="191">
        <f t="shared" si="259"/>
        <v>-517676.71232876711</v>
      </c>
      <c r="BI161" s="191">
        <f t="shared" si="259"/>
        <v>-525123.28767123283</v>
      </c>
      <c r="BJ161" s="191">
        <f t="shared" si="259"/>
        <v>-532569.8630136986</v>
      </c>
      <c r="BK161" s="191">
        <f t="shared" si="259"/>
        <v>-540016.43835616438</v>
      </c>
      <c r="BL161" s="191">
        <f t="shared" si="259"/>
        <v>-547463.01369863015</v>
      </c>
      <c r="BM161" s="191">
        <f t="shared" si="259"/>
        <v>-554909.58904109581</v>
      </c>
      <c r="BN161" s="191">
        <f t="shared" si="259"/>
        <v>-562356.16438356158</v>
      </c>
      <c r="BO161" s="191">
        <f t="shared" si="259"/>
        <v>-569802.73972602736</v>
      </c>
      <c r="BP161" s="191">
        <f t="shared" si="259"/>
        <v>-577249.31506849313</v>
      </c>
      <c r="BQ161" s="191">
        <f t="shared" si="259"/>
        <v>-584695.89041095891</v>
      </c>
      <c r="BR161" s="191">
        <f t="shared" si="259"/>
        <v>-592142.46575342468</v>
      </c>
      <c r="BS161" s="191">
        <f t="shared" si="259"/>
        <v>-599589.04109589034</v>
      </c>
      <c r="BT161" s="191">
        <f t="shared" si="259"/>
        <v>-607035.61643835611</v>
      </c>
      <c r="BU161" s="191">
        <f t="shared" si="259"/>
        <v>-614482.19178082189</v>
      </c>
      <c r="BV161" s="191">
        <f t="shared" si="259"/>
        <v>-621928.76712328766</v>
      </c>
      <c r="BW161" s="191">
        <f t="shared" si="259"/>
        <v>-629375.34246575343</v>
      </c>
      <c r="BX161" s="191">
        <f t="shared" si="259"/>
        <v>-636821.91780821909</v>
      </c>
      <c r="BY161" s="191">
        <f t="shared" si="259"/>
        <v>-644268.49315068487</v>
      </c>
      <c r="BZ161" s="191">
        <f t="shared" si="259"/>
        <v>-651715.06849315064</v>
      </c>
      <c r="CA161" s="191">
        <f t="shared" si="259"/>
        <v>-659161.64383561641</v>
      </c>
      <c r="CB161" s="191">
        <f t="shared" si="259"/>
        <v>-666608.21917808219</v>
      </c>
      <c r="CC161" s="191">
        <f t="shared" si="259"/>
        <v>-674054.79452054796</v>
      </c>
      <c r="CE161" s="47"/>
      <c r="CF161" s="47"/>
    </row>
    <row r="162" spans="1:84" s="46" customFormat="1" ht="15" customHeight="1" outlineLevel="1" x14ac:dyDescent="0.3">
      <c r="A162" s="47"/>
      <c r="B162" s="30"/>
      <c r="C162" s="110"/>
      <c r="D162" s="134"/>
      <c r="E162" s="28"/>
      <c r="F162" s="28"/>
      <c r="G162" s="28"/>
      <c r="H162" s="28"/>
      <c r="I162" s="6"/>
      <c r="J162" s="6"/>
      <c r="K162" s="6"/>
      <c r="L162" s="6"/>
      <c r="M162" s="174"/>
      <c r="N162" s="225"/>
      <c r="O162" s="139"/>
      <c r="P162" s="225"/>
      <c r="Q162" s="225"/>
      <c r="R162" s="225"/>
      <c r="S162" s="225"/>
      <c r="T162" s="225"/>
      <c r="U162" s="139"/>
      <c r="V162" s="228"/>
      <c r="W162" s="228"/>
      <c r="X162" s="228"/>
      <c r="Y162" s="228"/>
      <c r="Z162" s="228"/>
      <c r="AA162" s="228"/>
      <c r="AB162" s="228"/>
      <c r="AC162" s="228"/>
      <c r="AD162" s="228"/>
      <c r="AE162" s="228"/>
      <c r="AF162" s="228"/>
      <c r="AG162" s="228"/>
      <c r="AH162" s="228"/>
      <c r="AI162" s="228"/>
      <c r="AJ162" s="228"/>
      <c r="AK162" s="228"/>
      <c r="AL162" s="228"/>
      <c r="AM162" s="228"/>
      <c r="AN162" s="228"/>
      <c r="AO162" s="228"/>
      <c r="AP162" s="228"/>
      <c r="AQ162" s="228"/>
      <c r="AR162" s="228"/>
      <c r="AS162" s="228"/>
      <c r="AT162" s="228"/>
      <c r="AU162" s="228"/>
      <c r="AV162" s="228"/>
      <c r="AW162" s="228"/>
      <c r="AX162" s="228"/>
      <c r="AY162" s="228"/>
      <c r="AZ162" s="228"/>
      <c r="BA162" s="228"/>
      <c r="BB162" s="228"/>
      <c r="BC162" s="228"/>
      <c r="BD162" s="228"/>
      <c r="BE162" s="228"/>
      <c r="BF162" s="228"/>
      <c r="BG162" s="228"/>
      <c r="BH162" s="228"/>
      <c r="BI162" s="228"/>
      <c r="BJ162" s="228"/>
      <c r="BK162" s="228"/>
      <c r="BL162" s="228"/>
      <c r="BM162" s="228"/>
      <c r="BN162" s="228"/>
      <c r="BO162" s="228"/>
      <c r="BP162" s="228"/>
      <c r="BQ162" s="228"/>
      <c r="BR162" s="228"/>
      <c r="BS162" s="228"/>
      <c r="BT162" s="228"/>
      <c r="BU162" s="228"/>
      <c r="BV162" s="228"/>
      <c r="BW162" s="228"/>
      <c r="BX162" s="228"/>
      <c r="BY162" s="228"/>
      <c r="BZ162" s="228"/>
      <c r="CA162" s="228"/>
      <c r="CB162" s="228"/>
      <c r="CC162" s="228"/>
      <c r="CE162" s="47"/>
    </row>
    <row r="163" spans="1:84" s="46" customFormat="1" ht="15" customHeight="1" outlineLevel="1" x14ac:dyDescent="0.3">
      <c r="A163" s="47"/>
      <c r="B163" s="30"/>
      <c r="C163" s="110"/>
      <c r="D163" s="134" t="s">
        <v>11</v>
      </c>
      <c r="E163" s="28"/>
      <c r="F163" s="28"/>
      <c r="G163" s="28"/>
      <c r="H163" s="28"/>
      <c r="I163" s="31" t="str">
        <f>Ввод!$M$12</f>
        <v>руб</v>
      </c>
      <c r="J163" s="31"/>
      <c r="K163" s="31"/>
      <c r="L163" s="31"/>
      <c r="M163" s="174"/>
      <c r="N163" s="225"/>
      <c r="O163" s="139"/>
      <c r="P163" s="191">
        <f>SUMIFS($V163:$CC163,$V$4:$CC$4,P$4,$V$6:$CC$6,12)</f>
        <v>-25019.178082191735</v>
      </c>
      <c r="Q163" s="191">
        <f>SUMIFS($V163:$CC163,$V$4:$CC$4,Q$4,$V$6:$CC$6,12)</f>
        <v>-6476.7123287670547</v>
      </c>
      <c r="R163" s="191">
        <f>SUMIFS($V163:$CC163,$V$4:$CC$4,R$4,$V$6:$CC$6,12)</f>
        <v>12065.753424657509</v>
      </c>
      <c r="S163" s="191">
        <f>SUMIFS($V163:$CC163,$V$4:$CC$4,S$4,$V$6:$CC$6,12)</f>
        <v>30608.219178082189</v>
      </c>
      <c r="T163" s="191">
        <f>SUMIFS($V163:$CC163,$V$4:$CC$4,T$4,$V$6:$CC$6,12)</f>
        <v>49150.684931506636</v>
      </c>
      <c r="U163" s="139"/>
      <c r="V163" s="191">
        <f>V153+V157+V161</f>
        <v>-42739.726027397257</v>
      </c>
      <c r="W163" s="191">
        <f t="shared" ref="W163:CC163" si="260">W153+W157+W161</f>
        <v>-42739.726027397257</v>
      </c>
      <c r="X163" s="191">
        <f t="shared" si="260"/>
        <v>-42739.726027397257</v>
      </c>
      <c r="Y163" s="191">
        <f t="shared" si="260"/>
        <v>-42739.726027397257</v>
      </c>
      <c r="Z163" s="191">
        <f t="shared" si="260"/>
        <v>-42739.726027397257</v>
      </c>
      <c r="AA163" s="191">
        <f t="shared" si="260"/>
        <v>-43561.643835616473</v>
      </c>
      <c r="AB163" s="191">
        <f t="shared" si="260"/>
        <v>-39698.630136986321</v>
      </c>
      <c r="AC163" s="191">
        <f t="shared" si="260"/>
        <v>-35835.61643835617</v>
      </c>
      <c r="AD163" s="191">
        <f t="shared" si="260"/>
        <v>-31972.60273972596</v>
      </c>
      <c r="AE163" s="191">
        <f t="shared" si="260"/>
        <v>-28109.589041095809</v>
      </c>
      <c r="AF163" s="191">
        <f t="shared" si="260"/>
        <v>-26564.383561643888</v>
      </c>
      <c r="AG163" s="191">
        <f t="shared" si="260"/>
        <v>-25019.178082191735</v>
      </c>
      <c r="AH163" s="191">
        <f t="shared" si="260"/>
        <v>-23473.972602739697</v>
      </c>
      <c r="AI163" s="191">
        <f t="shared" si="260"/>
        <v>-21928.76712328766</v>
      </c>
      <c r="AJ163" s="191">
        <f t="shared" si="260"/>
        <v>-20383.561643835623</v>
      </c>
      <c r="AK163" s="191">
        <f t="shared" si="260"/>
        <v>-18838.356164383586</v>
      </c>
      <c r="AL163" s="191">
        <f t="shared" si="260"/>
        <v>-17293.150684931548</v>
      </c>
      <c r="AM163" s="191">
        <f t="shared" si="260"/>
        <v>-15747.945205479395</v>
      </c>
      <c r="AN163" s="191">
        <f t="shared" si="260"/>
        <v>-14202.739726027357</v>
      </c>
      <c r="AO163" s="191">
        <f t="shared" si="260"/>
        <v>-12657.534246575437</v>
      </c>
      <c r="AP163" s="191">
        <f t="shared" si="260"/>
        <v>-11112.328767123283</v>
      </c>
      <c r="AQ163" s="191">
        <f t="shared" si="260"/>
        <v>-9567.1232876712456</v>
      </c>
      <c r="AR163" s="191">
        <f t="shared" si="260"/>
        <v>-8021.917808219092</v>
      </c>
      <c r="AS163" s="191">
        <f t="shared" si="260"/>
        <v>-6476.7123287670547</v>
      </c>
      <c r="AT163" s="191">
        <f t="shared" si="260"/>
        <v>-4931.5068493151339</v>
      </c>
      <c r="AU163" s="191">
        <f t="shared" si="260"/>
        <v>-3386.3013698629802</v>
      </c>
      <c r="AV163" s="191">
        <f t="shared" si="260"/>
        <v>-1841.095890410943</v>
      </c>
      <c r="AW163" s="191">
        <f t="shared" si="260"/>
        <v>-295.8904109589057</v>
      </c>
      <c r="AX163" s="191">
        <f t="shared" si="260"/>
        <v>1249.3150684931315</v>
      </c>
      <c r="AY163" s="191">
        <f t="shared" si="260"/>
        <v>2794.5205479451688</v>
      </c>
      <c r="AZ163" s="191">
        <f t="shared" si="260"/>
        <v>4339.7260273972061</v>
      </c>
      <c r="BA163" s="191">
        <f t="shared" si="260"/>
        <v>5884.9315068493597</v>
      </c>
      <c r="BB163" s="191">
        <f t="shared" si="260"/>
        <v>7430.136986301397</v>
      </c>
      <c r="BC163" s="191">
        <f t="shared" si="260"/>
        <v>8975.3424657533178</v>
      </c>
      <c r="BD163" s="191">
        <f t="shared" si="260"/>
        <v>10520.547945205471</v>
      </c>
      <c r="BE163" s="191">
        <f t="shared" si="260"/>
        <v>12065.753424657509</v>
      </c>
      <c r="BF163" s="191">
        <f t="shared" si="260"/>
        <v>13610.958904109662</v>
      </c>
      <c r="BG163" s="191">
        <f t="shared" si="260"/>
        <v>15156.164383561758</v>
      </c>
      <c r="BH163" s="191">
        <f t="shared" si="260"/>
        <v>16701.369863013562</v>
      </c>
      <c r="BI163" s="191">
        <f t="shared" si="260"/>
        <v>18246.575342465891</v>
      </c>
      <c r="BJ163" s="191">
        <f t="shared" si="260"/>
        <v>19791.780821917811</v>
      </c>
      <c r="BK163" s="191">
        <f t="shared" si="260"/>
        <v>21336.986301369732</v>
      </c>
      <c r="BL163" s="191">
        <f t="shared" si="260"/>
        <v>22882.191780821886</v>
      </c>
      <c r="BM163" s="191">
        <f t="shared" si="260"/>
        <v>24427.39726027404</v>
      </c>
      <c r="BN163" s="191">
        <f t="shared" si="260"/>
        <v>25972.602739726193</v>
      </c>
      <c r="BO163" s="191">
        <f t="shared" si="260"/>
        <v>27517.808219178114</v>
      </c>
      <c r="BP163" s="191">
        <f t="shared" si="260"/>
        <v>29063.013698630035</v>
      </c>
      <c r="BQ163" s="191">
        <f t="shared" si="260"/>
        <v>30608.219178082189</v>
      </c>
      <c r="BR163" s="191">
        <f t="shared" si="260"/>
        <v>32153.424657534109</v>
      </c>
      <c r="BS163" s="191">
        <f t="shared" si="260"/>
        <v>33698.630136986496</v>
      </c>
      <c r="BT163" s="191">
        <f t="shared" si="260"/>
        <v>35243.835616438417</v>
      </c>
      <c r="BU163" s="191">
        <f t="shared" si="260"/>
        <v>36789.041095890338</v>
      </c>
      <c r="BV163" s="191">
        <f t="shared" si="260"/>
        <v>38334.246575342491</v>
      </c>
      <c r="BW163" s="191">
        <f t="shared" si="260"/>
        <v>39879.452054794412</v>
      </c>
      <c r="BX163" s="191">
        <f t="shared" si="260"/>
        <v>41424.657534246566</v>
      </c>
      <c r="BY163" s="191">
        <f t="shared" si="260"/>
        <v>42969.863013698719</v>
      </c>
      <c r="BZ163" s="191">
        <f t="shared" si="260"/>
        <v>44515.06849315064</v>
      </c>
      <c r="CA163" s="191">
        <f t="shared" si="260"/>
        <v>46060.273972602794</v>
      </c>
      <c r="CB163" s="191">
        <f t="shared" si="260"/>
        <v>47605.479452054715</v>
      </c>
      <c r="CC163" s="191">
        <f t="shared" si="260"/>
        <v>49150.684931506636</v>
      </c>
      <c r="CE163" s="47"/>
    </row>
    <row r="164" spans="1:84" s="46" customFormat="1" ht="15" customHeight="1" outlineLevel="1" x14ac:dyDescent="0.3">
      <c r="A164" s="47"/>
      <c r="B164" s="30"/>
      <c r="C164" s="110"/>
      <c r="D164" s="163"/>
      <c r="E164" s="148"/>
      <c r="F164" s="148"/>
      <c r="G164" s="148"/>
      <c r="H164" s="148"/>
      <c r="I164" s="6"/>
      <c r="J164" s="6"/>
      <c r="K164" s="6"/>
      <c r="L164" s="6"/>
      <c r="M164" s="174"/>
      <c r="N164" s="159"/>
      <c r="O164" s="158"/>
      <c r="P164" s="225"/>
      <c r="Q164" s="225"/>
      <c r="R164" s="225"/>
      <c r="S164" s="225"/>
      <c r="T164" s="225"/>
      <c r="U164" s="158"/>
      <c r="V164" s="228"/>
      <c r="W164" s="228"/>
      <c r="X164" s="228"/>
      <c r="Y164" s="228"/>
      <c r="Z164" s="228"/>
      <c r="AA164" s="228"/>
      <c r="AB164" s="228"/>
      <c r="AC164" s="228"/>
      <c r="AD164" s="228"/>
      <c r="AE164" s="228"/>
      <c r="AF164" s="228"/>
      <c r="AG164" s="228"/>
      <c r="AH164" s="228"/>
      <c r="AI164" s="228"/>
      <c r="AJ164" s="228"/>
      <c r="AK164" s="228"/>
      <c r="AL164" s="228"/>
      <c r="AM164" s="228"/>
      <c r="AN164" s="228"/>
      <c r="AO164" s="228"/>
      <c r="AP164" s="228"/>
      <c r="AQ164" s="228"/>
      <c r="AR164" s="228"/>
      <c r="AS164" s="228"/>
      <c r="AT164" s="228"/>
      <c r="AU164" s="228"/>
      <c r="AV164" s="228"/>
      <c r="AW164" s="228"/>
      <c r="AX164" s="228"/>
      <c r="AY164" s="228"/>
      <c r="AZ164" s="228"/>
      <c r="BA164" s="228"/>
      <c r="BB164" s="228"/>
      <c r="BC164" s="228"/>
      <c r="BD164" s="228"/>
      <c r="BE164" s="228"/>
      <c r="BF164" s="228"/>
      <c r="BG164" s="228"/>
      <c r="BH164" s="228"/>
      <c r="BI164" s="228"/>
      <c r="BJ164" s="228"/>
      <c r="BK164" s="228"/>
      <c r="BL164" s="228"/>
      <c r="BM164" s="228"/>
      <c r="BN164" s="228"/>
      <c r="BO164" s="228"/>
      <c r="BP164" s="228"/>
      <c r="BQ164" s="228"/>
      <c r="BR164" s="228"/>
      <c r="BS164" s="228"/>
      <c r="BT164" s="228"/>
      <c r="BU164" s="228"/>
      <c r="BV164" s="228"/>
      <c r="BW164" s="228"/>
      <c r="BX164" s="228"/>
      <c r="BY164" s="228"/>
      <c r="BZ164" s="228"/>
      <c r="CA164" s="228"/>
      <c r="CB164" s="228"/>
      <c r="CC164" s="228"/>
      <c r="CE164" s="47"/>
    </row>
    <row r="165" spans="1:84" s="22" customFormat="1" ht="15" customHeight="1" outlineLevel="1" x14ac:dyDescent="0.3">
      <c r="A165" s="51"/>
      <c r="D165" s="207" t="s">
        <v>71</v>
      </c>
      <c r="E165" s="208"/>
      <c r="F165" s="208"/>
      <c r="G165" s="208"/>
      <c r="H165" s="208"/>
      <c r="I165" s="209" t="str">
        <f>Ввод!$M$12</f>
        <v>руб</v>
      </c>
      <c r="J165" s="209"/>
      <c r="K165" s="209"/>
      <c r="L165" s="209"/>
      <c r="M165" s="211"/>
      <c r="N165" s="211">
        <f>SUM(V165:CC165)</f>
        <v>49150.684931506636</v>
      </c>
      <c r="O165" s="158"/>
      <c r="P165" s="230">
        <f>P163-O163</f>
        <v>-25019.178082191735</v>
      </c>
      <c r="Q165" s="230">
        <f>Q163-P163</f>
        <v>18542.46575342468</v>
      </c>
      <c r="R165" s="230">
        <f>R163-Q163</f>
        <v>18542.465753424563</v>
      </c>
      <c r="S165" s="230">
        <f>S163-R163</f>
        <v>18542.46575342468</v>
      </c>
      <c r="T165" s="230">
        <f>T163-S163</f>
        <v>18542.465753424447</v>
      </c>
      <c r="U165" s="158"/>
      <c r="V165" s="230">
        <f t="shared" ref="V165:BA165" si="261">V163-U163</f>
        <v>-42739.726027397257</v>
      </c>
      <c r="W165" s="230">
        <f t="shared" si="261"/>
        <v>0</v>
      </c>
      <c r="X165" s="230">
        <f t="shared" si="261"/>
        <v>0</v>
      </c>
      <c r="Y165" s="230">
        <f t="shared" si="261"/>
        <v>0</v>
      </c>
      <c r="Z165" s="230">
        <f t="shared" si="261"/>
        <v>0</v>
      </c>
      <c r="AA165" s="230">
        <f t="shared" si="261"/>
        <v>-821.91780821921566</v>
      </c>
      <c r="AB165" s="230">
        <f>AB163-AA163</f>
        <v>3863.0136986301513</v>
      </c>
      <c r="AC165" s="230">
        <f t="shared" si="261"/>
        <v>3863.0136986301513</v>
      </c>
      <c r="AD165" s="230">
        <f t="shared" si="261"/>
        <v>3863.0136986302095</v>
      </c>
      <c r="AE165" s="230">
        <f t="shared" si="261"/>
        <v>3863.0136986301513</v>
      </c>
      <c r="AF165" s="230">
        <f t="shared" si="261"/>
        <v>1545.2054794519208</v>
      </c>
      <c r="AG165" s="230">
        <f t="shared" si="261"/>
        <v>1545.2054794521537</v>
      </c>
      <c r="AH165" s="230">
        <f t="shared" si="261"/>
        <v>1545.2054794520373</v>
      </c>
      <c r="AI165" s="230">
        <f t="shared" si="261"/>
        <v>1545.2054794520373</v>
      </c>
      <c r="AJ165" s="230">
        <f t="shared" si="261"/>
        <v>1545.2054794520373</v>
      </c>
      <c r="AK165" s="230">
        <f t="shared" si="261"/>
        <v>1545.2054794520373</v>
      </c>
      <c r="AL165" s="230">
        <f t="shared" si="261"/>
        <v>1545.2054794520373</v>
      </c>
      <c r="AM165" s="230">
        <f t="shared" si="261"/>
        <v>1545.2054794521537</v>
      </c>
      <c r="AN165" s="230">
        <f t="shared" si="261"/>
        <v>1545.2054794520373</v>
      </c>
      <c r="AO165" s="230">
        <f t="shared" si="261"/>
        <v>1545.2054794519208</v>
      </c>
      <c r="AP165" s="230">
        <f t="shared" si="261"/>
        <v>1545.2054794521537</v>
      </c>
      <c r="AQ165" s="230">
        <f t="shared" si="261"/>
        <v>1545.2054794520373</v>
      </c>
      <c r="AR165" s="230">
        <f t="shared" si="261"/>
        <v>1545.2054794521537</v>
      </c>
      <c r="AS165" s="230">
        <f t="shared" si="261"/>
        <v>1545.2054794520373</v>
      </c>
      <c r="AT165" s="230">
        <f t="shared" si="261"/>
        <v>1545.2054794519208</v>
      </c>
      <c r="AU165" s="230">
        <f t="shared" si="261"/>
        <v>1545.2054794521537</v>
      </c>
      <c r="AV165" s="230">
        <f t="shared" si="261"/>
        <v>1545.2054794520373</v>
      </c>
      <c r="AW165" s="230">
        <f t="shared" si="261"/>
        <v>1545.2054794520373</v>
      </c>
      <c r="AX165" s="230">
        <f t="shared" si="261"/>
        <v>1545.2054794520373</v>
      </c>
      <c r="AY165" s="230">
        <f t="shared" si="261"/>
        <v>1545.2054794520373</v>
      </c>
      <c r="AZ165" s="230">
        <f t="shared" si="261"/>
        <v>1545.2054794520373</v>
      </c>
      <c r="BA165" s="230">
        <f t="shared" si="261"/>
        <v>1545.2054794521537</v>
      </c>
      <c r="BB165" s="230">
        <f t="shared" ref="BB165:CC165" si="262">BB163-BA163</f>
        <v>1545.2054794520373</v>
      </c>
      <c r="BC165" s="230">
        <f t="shared" si="262"/>
        <v>1545.2054794519208</v>
      </c>
      <c r="BD165" s="230">
        <f t="shared" si="262"/>
        <v>1545.2054794521537</v>
      </c>
      <c r="BE165" s="230">
        <f t="shared" si="262"/>
        <v>1545.2054794520373</v>
      </c>
      <c r="BF165" s="230">
        <f t="shared" si="262"/>
        <v>1545.2054794521537</v>
      </c>
      <c r="BG165" s="230">
        <f t="shared" si="262"/>
        <v>1545.2054794520955</v>
      </c>
      <c r="BH165" s="230">
        <f t="shared" si="262"/>
        <v>1545.2054794518044</v>
      </c>
      <c r="BI165" s="230">
        <f t="shared" si="262"/>
        <v>1545.2054794523283</v>
      </c>
      <c r="BJ165" s="230">
        <f t="shared" si="262"/>
        <v>1545.2054794519208</v>
      </c>
      <c r="BK165" s="230">
        <f t="shared" si="262"/>
        <v>1545.2054794519208</v>
      </c>
      <c r="BL165" s="230">
        <f t="shared" si="262"/>
        <v>1545.2054794521537</v>
      </c>
      <c r="BM165" s="230">
        <f t="shared" si="262"/>
        <v>1545.2054794521537</v>
      </c>
      <c r="BN165" s="230">
        <f t="shared" si="262"/>
        <v>1545.2054794521537</v>
      </c>
      <c r="BO165" s="230">
        <f t="shared" si="262"/>
        <v>1545.2054794519208</v>
      </c>
      <c r="BP165" s="230">
        <f t="shared" si="262"/>
        <v>1545.2054794519208</v>
      </c>
      <c r="BQ165" s="230">
        <f t="shared" si="262"/>
        <v>1545.2054794521537</v>
      </c>
      <c r="BR165" s="230">
        <f t="shared" si="262"/>
        <v>1545.2054794519208</v>
      </c>
      <c r="BS165" s="230">
        <f t="shared" si="262"/>
        <v>1545.2054794523865</v>
      </c>
      <c r="BT165" s="230">
        <f t="shared" si="262"/>
        <v>1545.2054794519208</v>
      </c>
      <c r="BU165" s="230">
        <f t="shared" si="262"/>
        <v>1545.2054794519208</v>
      </c>
      <c r="BV165" s="230">
        <f t="shared" si="262"/>
        <v>1545.2054794521537</v>
      </c>
      <c r="BW165" s="230">
        <f t="shared" si="262"/>
        <v>1545.2054794519208</v>
      </c>
      <c r="BX165" s="230">
        <f t="shared" si="262"/>
        <v>1545.2054794521537</v>
      </c>
      <c r="BY165" s="230">
        <f t="shared" si="262"/>
        <v>1545.2054794521537</v>
      </c>
      <c r="BZ165" s="230">
        <f t="shared" si="262"/>
        <v>1545.2054794519208</v>
      </c>
      <c r="CA165" s="230">
        <f t="shared" si="262"/>
        <v>1545.2054794521537</v>
      </c>
      <c r="CB165" s="230">
        <f t="shared" si="262"/>
        <v>1545.2054794519208</v>
      </c>
      <c r="CC165" s="230">
        <f t="shared" si="262"/>
        <v>1545.2054794519208</v>
      </c>
      <c r="CE165" s="51"/>
    </row>
    <row r="166" spans="1:84" s="23" customFormat="1" ht="15" customHeight="1" x14ac:dyDescent="0.3">
      <c r="A166" s="111"/>
      <c r="B166" s="110"/>
      <c r="C166" s="110"/>
      <c r="D166" s="131"/>
      <c r="E166" s="114"/>
      <c r="F166" s="114"/>
      <c r="G166" s="114"/>
      <c r="H166" s="114"/>
      <c r="I166" s="114"/>
      <c r="J166" s="114"/>
      <c r="K166" s="114"/>
      <c r="L166" s="114"/>
      <c r="M166" s="110"/>
      <c r="N166" s="110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97"/>
      <c r="AH166" s="97"/>
      <c r="AI166" s="97"/>
      <c r="AJ166" s="97"/>
      <c r="AK166" s="97"/>
      <c r="AL166" s="97"/>
      <c r="AM166" s="97"/>
      <c r="AN166" s="97"/>
      <c r="AO166" s="97"/>
      <c r="AP166" s="97"/>
      <c r="AQ166" s="97"/>
      <c r="AR166" s="97"/>
      <c r="AS166" s="97"/>
      <c r="AT166" s="97"/>
      <c r="AU166" s="97"/>
      <c r="AV166" s="97"/>
      <c r="AW166" s="97"/>
      <c r="AX166" s="97"/>
      <c r="AY166" s="97"/>
      <c r="AZ166" s="97"/>
      <c r="BA166" s="97"/>
      <c r="BB166" s="97"/>
      <c r="BC166" s="97"/>
      <c r="BD166" s="97"/>
      <c r="BE166" s="97"/>
      <c r="BF166" s="97"/>
      <c r="BG166" s="97"/>
      <c r="BH166" s="97"/>
      <c r="BI166" s="97"/>
      <c r="BJ166" s="97"/>
      <c r="BK166" s="97"/>
      <c r="BL166" s="97"/>
      <c r="BM166" s="97"/>
      <c r="BN166" s="97"/>
      <c r="BO166" s="97"/>
      <c r="BP166" s="97"/>
      <c r="BQ166" s="97"/>
      <c r="BR166" s="97"/>
      <c r="BS166" s="97"/>
      <c r="BT166" s="97"/>
      <c r="BU166" s="97"/>
      <c r="BV166" s="97"/>
      <c r="BW166" s="97"/>
      <c r="BX166" s="97"/>
      <c r="BY166" s="97"/>
      <c r="BZ166" s="97"/>
      <c r="CA166" s="97"/>
      <c r="CB166" s="97"/>
      <c r="CC166" s="97"/>
      <c r="CD166" s="110"/>
      <c r="CE166" s="111"/>
    </row>
    <row r="167" spans="1:84" s="23" customFormat="1" ht="15" customHeight="1" x14ac:dyDescent="0.3">
      <c r="A167" s="111"/>
      <c r="B167" s="110"/>
      <c r="C167" s="110"/>
      <c r="D167" s="133" t="s">
        <v>72</v>
      </c>
      <c r="E167" s="123"/>
      <c r="F167" s="123"/>
      <c r="G167" s="123"/>
      <c r="H167" s="123"/>
      <c r="I167" s="124"/>
      <c r="J167" s="124"/>
      <c r="K167" s="124"/>
      <c r="L167" s="124"/>
      <c r="M167" s="125"/>
      <c r="N167" s="126"/>
      <c r="O167" s="97"/>
      <c r="P167" s="126"/>
      <c r="Q167" s="126"/>
      <c r="R167" s="126"/>
      <c r="S167" s="126"/>
      <c r="T167" s="126"/>
      <c r="U167" s="97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6"/>
      <c r="AH167" s="126"/>
      <c r="AI167" s="126"/>
      <c r="AJ167" s="126"/>
      <c r="AK167" s="126"/>
      <c r="AL167" s="126"/>
      <c r="AM167" s="126"/>
      <c r="AN167" s="126"/>
      <c r="AO167" s="126"/>
      <c r="AP167" s="126"/>
      <c r="AQ167" s="126"/>
      <c r="AR167" s="126"/>
      <c r="AS167" s="126"/>
      <c r="AT167" s="126"/>
      <c r="AU167" s="126"/>
      <c r="AV167" s="126"/>
      <c r="AW167" s="126"/>
      <c r="AX167" s="126"/>
      <c r="AY167" s="126"/>
      <c r="AZ167" s="126"/>
      <c r="BA167" s="126"/>
      <c r="BB167" s="126"/>
      <c r="BC167" s="126"/>
      <c r="BD167" s="126"/>
      <c r="BE167" s="126"/>
      <c r="BF167" s="126"/>
      <c r="BG167" s="126"/>
      <c r="BH167" s="126"/>
      <c r="BI167" s="126"/>
      <c r="BJ167" s="126"/>
      <c r="BK167" s="126"/>
      <c r="BL167" s="126"/>
      <c r="BM167" s="126"/>
      <c r="BN167" s="126"/>
      <c r="BO167" s="126"/>
      <c r="BP167" s="126"/>
      <c r="BQ167" s="126"/>
      <c r="BR167" s="126"/>
      <c r="BS167" s="126"/>
      <c r="BT167" s="126"/>
      <c r="BU167" s="126"/>
      <c r="BV167" s="126"/>
      <c r="BW167" s="126"/>
      <c r="BX167" s="126"/>
      <c r="BY167" s="126"/>
      <c r="BZ167" s="126"/>
      <c r="CA167" s="126"/>
      <c r="CB167" s="126"/>
      <c r="CC167" s="126"/>
      <c r="CD167" s="110"/>
      <c r="CE167" s="111"/>
    </row>
    <row r="168" spans="1:84" s="45" customFormat="1" ht="15" customHeight="1" outlineLevel="1" x14ac:dyDescent="0.3">
      <c r="A168" s="111"/>
      <c r="B168" s="30"/>
      <c r="C168" s="110"/>
      <c r="D168" s="134"/>
      <c r="E168" s="28"/>
      <c r="F168" s="28"/>
      <c r="G168" s="28"/>
      <c r="H168" s="28"/>
      <c r="I168" s="6"/>
      <c r="J168" s="6"/>
      <c r="K168" s="6"/>
      <c r="L168" s="6"/>
      <c r="M168" s="49"/>
      <c r="N168" s="5"/>
      <c r="O168" s="97"/>
      <c r="P168" s="5"/>
      <c r="Q168" s="5"/>
      <c r="R168" s="5"/>
      <c r="S168" s="5"/>
      <c r="T168" s="5"/>
      <c r="U168" s="97"/>
      <c r="V168" s="54"/>
      <c r="W168" s="54"/>
      <c r="X168" s="54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30"/>
      <c r="CE168" s="111"/>
    </row>
    <row r="169" spans="1:84" s="45" customFormat="1" ht="15" customHeight="1" outlineLevel="1" x14ac:dyDescent="0.3">
      <c r="A169" s="111"/>
      <c r="B169" s="30"/>
      <c r="C169" s="110"/>
      <c r="D169" s="141" t="s">
        <v>73</v>
      </c>
      <c r="E169" s="28"/>
      <c r="F169" s="28"/>
      <c r="G169" s="28"/>
      <c r="H169" s="28"/>
      <c r="I169" s="6"/>
      <c r="J169" s="6"/>
      <c r="K169" s="6"/>
      <c r="L169" s="6"/>
      <c r="M169" s="110"/>
      <c r="N169" s="5"/>
      <c r="O169" s="97"/>
      <c r="P169" s="5"/>
      <c r="Q169" s="5"/>
      <c r="R169" s="5"/>
      <c r="S169" s="5"/>
      <c r="T169" s="5"/>
      <c r="U169" s="97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46"/>
      <c r="BC169" s="46"/>
      <c r="BD169" s="46"/>
      <c r="BE169" s="46"/>
      <c r="BF169" s="46"/>
      <c r="BG169" s="46"/>
      <c r="BH169" s="46"/>
      <c r="BI169" s="46"/>
      <c r="BJ169" s="46"/>
      <c r="BK169" s="46"/>
      <c r="BL169" s="46"/>
      <c r="BM169" s="46"/>
      <c r="BN169" s="46"/>
      <c r="BO169" s="46"/>
      <c r="BP169" s="46"/>
      <c r="BQ169" s="46"/>
      <c r="BR169" s="46"/>
      <c r="BS169" s="46"/>
      <c r="BT169" s="46"/>
      <c r="BU169" s="46"/>
      <c r="BV169" s="46"/>
      <c r="BW169" s="46"/>
      <c r="BX169" s="46"/>
      <c r="BY169" s="46"/>
      <c r="BZ169" s="46"/>
      <c r="CA169" s="46"/>
      <c r="CB169" s="46"/>
      <c r="CC169" s="46"/>
      <c r="CD169" s="46"/>
      <c r="CE169" s="111"/>
    </row>
    <row r="170" spans="1:84" s="45" customFormat="1" ht="15" customHeight="1" outlineLevel="1" x14ac:dyDescent="0.3">
      <c r="A170" s="111"/>
      <c r="B170" s="30"/>
      <c r="C170" s="110"/>
      <c r="D170" s="357" t="s">
        <v>171</v>
      </c>
      <c r="E170" s="62"/>
      <c r="F170" s="62"/>
      <c r="G170" s="62"/>
      <c r="H170" s="62"/>
      <c r="I170" s="31" t="str">
        <f>Ввод!$M$12</f>
        <v>руб</v>
      </c>
      <c r="J170" s="31"/>
      <c r="K170" s="31"/>
      <c r="L170" s="31"/>
      <c r="M170" s="110"/>
      <c r="N170" s="53">
        <f t="shared" ref="N170:N174" si="263">SUM(P170:T170)</f>
        <v>1</v>
      </c>
      <c r="O170" s="115"/>
      <c r="P170" s="53">
        <f t="shared" ref="P170:T174" si="264">SUMIF($V$4:$CC$4,P$4,$V170:$CC170)</f>
        <v>1</v>
      </c>
      <c r="Q170" s="53">
        <f t="shared" si="264"/>
        <v>0</v>
      </c>
      <c r="R170" s="53">
        <f t="shared" si="264"/>
        <v>0</v>
      </c>
      <c r="S170" s="53">
        <f t="shared" si="264"/>
        <v>0</v>
      </c>
      <c r="T170" s="53">
        <f t="shared" si="264"/>
        <v>0</v>
      </c>
      <c r="U170" s="97"/>
      <c r="V170" s="361">
        <v>1</v>
      </c>
      <c r="W170" s="361"/>
      <c r="X170" s="361"/>
      <c r="Y170" s="361"/>
      <c r="Z170" s="361"/>
      <c r="AA170" s="361"/>
      <c r="AB170" s="361"/>
      <c r="AC170" s="361"/>
      <c r="AD170" s="361"/>
      <c r="AE170" s="361"/>
      <c r="AF170" s="361"/>
      <c r="AG170" s="361"/>
      <c r="AH170" s="361"/>
      <c r="AI170" s="361"/>
      <c r="AJ170" s="361"/>
      <c r="AK170" s="361"/>
      <c r="AL170" s="361"/>
      <c r="AM170" s="361"/>
      <c r="AN170" s="361"/>
      <c r="AO170" s="361"/>
      <c r="AP170" s="361"/>
      <c r="AQ170" s="361"/>
      <c r="AR170" s="361"/>
      <c r="AS170" s="361"/>
      <c r="AT170" s="361"/>
      <c r="AU170" s="361"/>
      <c r="AV170" s="361"/>
      <c r="AW170" s="361"/>
      <c r="AX170" s="361"/>
      <c r="AY170" s="361"/>
      <c r="AZ170" s="361"/>
      <c r="BA170" s="361"/>
      <c r="BB170" s="361"/>
      <c r="BC170" s="361"/>
      <c r="BD170" s="361"/>
      <c r="BE170" s="361"/>
      <c r="BF170" s="361"/>
      <c r="BG170" s="361"/>
      <c r="BH170" s="361"/>
      <c r="BI170" s="361"/>
      <c r="BJ170" s="361"/>
      <c r="BK170" s="361"/>
      <c r="BL170" s="361"/>
      <c r="BM170" s="361"/>
      <c r="BN170" s="361"/>
      <c r="BO170" s="361"/>
      <c r="BP170" s="361"/>
      <c r="BQ170" s="361"/>
      <c r="BR170" s="361"/>
      <c r="BS170" s="361"/>
      <c r="BT170" s="361"/>
      <c r="BU170" s="361"/>
      <c r="BV170" s="361"/>
      <c r="BW170" s="361"/>
      <c r="BX170" s="361"/>
      <c r="BY170" s="361"/>
      <c r="BZ170" s="361"/>
      <c r="CA170" s="361"/>
      <c r="CB170" s="361"/>
      <c r="CC170" s="361"/>
      <c r="CD170" s="46"/>
      <c r="CE170" s="111"/>
    </row>
    <row r="171" spans="1:84" s="45" customFormat="1" ht="15" customHeight="1" outlineLevel="1" x14ac:dyDescent="0.3">
      <c r="A171" s="111"/>
      <c r="B171" s="30"/>
      <c r="C171" s="110"/>
      <c r="D171" s="357" t="s">
        <v>172</v>
      </c>
      <c r="E171" s="62"/>
      <c r="F171" s="62"/>
      <c r="G171" s="62"/>
      <c r="H171" s="62"/>
      <c r="I171" s="31" t="str">
        <f>Ввод!$M$12</f>
        <v>руб</v>
      </c>
      <c r="J171" s="31"/>
      <c r="K171" s="31"/>
      <c r="L171" s="31"/>
      <c r="M171" s="110"/>
      <c r="N171" s="53">
        <f t="shared" si="263"/>
        <v>1</v>
      </c>
      <c r="O171" s="115"/>
      <c r="P171" s="53">
        <f t="shared" si="264"/>
        <v>1</v>
      </c>
      <c r="Q171" s="53">
        <f t="shared" si="264"/>
        <v>0</v>
      </c>
      <c r="R171" s="53">
        <f t="shared" si="264"/>
        <v>0</v>
      </c>
      <c r="S171" s="53">
        <f t="shared" si="264"/>
        <v>0</v>
      </c>
      <c r="T171" s="53">
        <f t="shared" si="264"/>
        <v>0</v>
      </c>
      <c r="U171" s="97"/>
      <c r="V171" s="361"/>
      <c r="W171" s="361"/>
      <c r="X171" s="361"/>
      <c r="Y171" s="361">
        <v>1</v>
      </c>
      <c r="Z171" s="361"/>
      <c r="AA171" s="361"/>
      <c r="AB171" s="361"/>
      <c r="AC171" s="361"/>
      <c r="AD171" s="361"/>
      <c r="AE171" s="361"/>
      <c r="AF171" s="361"/>
      <c r="AG171" s="361"/>
      <c r="AH171" s="361"/>
      <c r="AI171" s="361"/>
      <c r="AJ171" s="361"/>
      <c r="AK171" s="361"/>
      <c r="AL171" s="361"/>
      <c r="AM171" s="361"/>
      <c r="AN171" s="361"/>
      <c r="AO171" s="361"/>
      <c r="AP171" s="361"/>
      <c r="AQ171" s="361"/>
      <c r="AR171" s="361"/>
      <c r="AS171" s="361"/>
      <c r="AT171" s="361"/>
      <c r="AU171" s="361"/>
      <c r="AV171" s="361"/>
      <c r="AW171" s="361"/>
      <c r="AX171" s="361"/>
      <c r="AY171" s="361"/>
      <c r="AZ171" s="361"/>
      <c r="BA171" s="361"/>
      <c r="BB171" s="361"/>
      <c r="BC171" s="361"/>
      <c r="BD171" s="361"/>
      <c r="BE171" s="361"/>
      <c r="BF171" s="361"/>
      <c r="BG171" s="361"/>
      <c r="BH171" s="361"/>
      <c r="BI171" s="361"/>
      <c r="BJ171" s="361"/>
      <c r="BK171" s="361"/>
      <c r="BL171" s="361"/>
      <c r="BM171" s="361"/>
      <c r="BN171" s="361"/>
      <c r="BO171" s="361"/>
      <c r="BP171" s="361"/>
      <c r="BQ171" s="361"/>
      <c r="BR171" s="361"/>
      <c r="BS171" s="361"/>
      <c r="BT171" s="361"/>
      <c r="BU171" s="361"/>
      <c r="BV171" s="361"/>
      <c r="BW171" s="361"/>
      <c r="BX171" s="361"/>
      <c r="BY171" s="361"/>
      <c r="BZ171" s="361"/>
      <c r="CA171" s="361"/>
      <c r="CB171" s="361"/>
      <c r="CC171" s="361"/>
      <c r="CD171" s="46"/>
      <c r="CE171" s="111"/>
    </row>
    <row r="172" spans="1:84" s="45" customFormat="1" ht="15" customHeight="1" outlineLevel="1" x14ac:dyDescent="0.3">
      <c r="A172" s="111"/>
      <c r="B172" s="30"/>
      <c r="C172" s="110"/>
      <c r="D172" s="357" t="s">
        <v>173</v>
      </c>
      <c r="E172" s="62"/>
      <c r="F172" s="62"/>
      <c r="G172" s="62"/>
      <c r="H172" s="62"/>
      <c r="I172" s="31" t="str">
        <f>Ввод!$M$12</f>
        <v>руб</v>
      </c>
      <c r="J172" s="31"/>
      <c r="K172" s="31"/>
      <c r="L172" s="31"/>
      <c r="M172" s="110"/>
      <c r="N172" s="53">
        <f t="shared" si="263"/>
        <v>1</v>
      </c>
      <c r="O172" s="115"/>
      <c r="P172" s="53">
        <f t="shared" si="264"/>
        <v>1</v>
      </c>
      <c r="Q172" s="53">
        <f t="shared" si="264"/>
        <v>0</v>
      </c>
      <c r="R172" s="53">
        <f t="shared" si="264"/>
        <v>0</v>
      </c>
      <c r="S172" s="53">
        <f t="shared" si="264"/>
        <v>0</v>
      </c>
      <c r="T172" s="53">
        <f t="shared" si="264"/>
        <v>0</v>
      </c>
      <c r="U172" s="97"/>
      <c r="V172" s="361"/>
      <c r="W172" s="361"/>
      <c r="X172" s="361"/>
      <c r="Y172" s="361"/>
      <c r="Z172" s="361"/>
      <c r="AA172" s="361"/>
      <c r="AB172" s="361">
        <v>1</v>
      </c>
      <c r="AC172" s="361"/>
      <c r="AD172" s="361"/>
      <c r="AE172" s="361"/>
      <c r="AF172" s="361"/>
      <c r="AG172" s="361"/>
      <c r="AH172" s="361"/>
      <c r="AI172" s="361"/>
      <c r="AJ172" s="361"/>
      <c r="AK172" s="361"/>
      <c r="AL172" s="361"/>
      <c r="AM172" s="361"/>
      <c r="AN172" s="361"/>
      <c r="AO172" s="361"/>
      <c r="AP172" s="361"/>
      <c r="AQ172" s="361"/>
      <c r="AR172" s="361"/>
      <c r="AS172" s="361"/>
      <c r="AT172" s="361"/>
      <c r="AU172" s="361"/>
      <c r="AV172" s="361"/>
      <c r="AW172" s="361"/>
      <c r="AX172" s="361"/>
      <c r="AY172" s="361"/>
      <c r="AZ172" s="361"/>
      <c r="BA172" s="361"/>
      <c r="BB172" s="361"/>
      <c r="BC172" s="361"/>
      <c r="BD172" s="361"/>
      <c r="BE172" s="361"/>
      <c r="BF172" s="361"/>
      <c r="BG172" s="361"/>
      <c r="BH172" s="361"/>
      <c r="BI172" s="361"/>
      <c r="BJ172" s="361"/>
      <c r="BK172" s="361"/>
      <c r="BL172" s="361"/>
      <c r="BM172" s="361"/>
      <c r="BN172" s="361"/>
      <c r="BO172" s="361"/>
      <c r="BP172" s="361"/>
      <c r="BQ172" s="361"/>
      <c r="BR172" s="361"/>
      <c r="BS172" s="361"/>
      <c r="BT172" s="361"/>
      <c r="BU172" s="361"/>
      <c r="BV172" s="361"/>
      <c r="BW172" s="361"/>
      <c r="BX172" s="361"/>
      <c r="BY172" s="361"/>
      <c r="BZ172" s="361"/>
      <c r="CA172" s="361"/>
      <c r="CB172" s="361"/>
      <c r="CC172" s="361"/>
      <c r="CD172" s="46"/>
      <c r="CE172" s="111"/>
    </row>
    <row r="173" spans="1:84" s="45" customFormat="1" ht="15" customHeight="1" outlineLevel="1" x14ac:dyDescent="0.3">
      <c r="A173" s="111"/>
      <c r="B173" s="30"/>
      <c r="C173" s="110"/>
      <c r="D173" s="360" t="s">
        <v>177</v>
      </c>
      <c r="E173" s="62"/>
      <c r="F173" s="62"/>
      <c r="G173" s="62"/>
      <c r="H173" s="62"/>
      <c r="I173" s="31" t="str">
        <f>Ввод!$M$12</f>
        <v>руб</v>
      </c>
      <c r="J173" s="31"/>
      <c r="K173" s="31"/>
      <c r="L173" s="31"/>
      <c r="M173" s="110"/>
      <c r="N173" s="53">
        <f t="shared" si="263"/>
        <v>1</v>
      </c>
      <c r="O173" s="115"/>
      <c r="P173" s="53">
        <f t="shared" si="264"/>
        <v>1</v>
      </c>
      <c r="Q173" s="53">
        <f t="shared" si="264"/>
        <v>0</v>
      </c>
      <c r="R173" s="53">
        <f t="shared" si="264"/>
        <v>0</v>
      </c>
      <c r="S173" s="53">
        <f t="shared" si="264"/>
        <v>0</v>
      </c>
      <c r="T173" s="53">
        <f t="shared" si="264"/>
        <v>0</v>
      </c>
      <c r="U173" s="97"/>
      <c r="V173" s="361"/>
      <c r="W173" s="361"/>
      <c r="X173" s="361"/>
      <c r="Y173" s="361"/>
      <c r="Z173" s="361">
        <v>0.5</v>
      </c>
      <c r="AA173" s="361"/>
      <c r="AB173" s="361"/>
      <c r="AC173" s="361">
        <v>0.5</v>
      </c>
      <c r="AD173" s="361"/>
      <c r="AE173" s="361"/>
      <c r="AF173" s="361"/>
      <c r="AG173" s="361"/>
      <c r="AH173" s="361"/>
      <c r="AI173" s="361"/>
      <c r="AJ173" s="361"/>
      <c r="AK173" s="361"/>
      <c r="AL173" s="361"/>
      <c r="AM173" s="361"/>
      <c r="AN173" s="361"/>
      <c r="AO173" s="361"/>
      <c r="AP173" s="361"/>
      <c r="AQ173" s="361"/>
      <c r="AR173" s="361"/>
      <c r="AS173" s="361"/>
      <c r="AT173" s="361"/>
      <c r="AU173" s="361"/>
      <c r="AV173" s="361"/>
      <c r="AW173" s="361"/>
      <c r="AX173" s="361"/>
      <c r="AY173" s="361"/>
      <c r="AZ173" s="361"/>
      <c r="BA173" s="361"/>
      <c r="BB173" s="361"/>
      <c r="BC173" s="361"/>
      <c r="BD173" s="361"/>
      <c r="BE173" s="361"/>
      <c r="BF173" s="361"/>
      <c r="BG173" s="361"/>
      <c r="BH173" s="361"/>
      <c r="BI173" s="361"/>
      <c r="BJ173" s="361"/>
      <c r="BK173" s="361"/>
      <c r="BL173" s="361"/>
      <c r="BM173" s="361"/>
      <c r="BN173" s="361"/>
      <c r="BO173" s="361"/>
      <c r="BP173" s="361"/>
      <c r="BQ173" s="361"/>
      <c r="BR173" s="361"/>
      <c r="BS173" s="361"/>
      <c r="BT173" s="361"/>
      <c r="BU173" s="361"/>
      <c r="BV173" s="361"/>
      <c r="BW173" s="361"/>
      <c r="BX173" s="361"/>
      <c r="BY173" s="361"/>
      <c r="BZ173" s="361"/>
      <c r="CA173" s="361"/>
      <c r="CB173" s="361"/>
      <c r="CC173" s="361"/>
      <c r="CD173" s="46"/>
      <c r="CE173" s="111"/>
    </row>
    <row r="174" spans="1:84" s="45" customFormat="1" ht="15" customHeight="1" outlineLevel="1" x14ac:dyDescent="0.3">
      <c r="A174" s="111"/>
      <c r="B174" s="30"/>
      <c r="C174" s="110"/>
      <c r="D174" s="360" t="s">
        <v>178</v>
      </c>
      <c r="E174" s="62"/>
      <c r="F174" s="62"/>
      <c r="G174" s="62"/>
      <c r="H174" s="62"/>
      <c r="I174" s="31" t="str">
        <f>Ввод!$M$12</f>
        <v>руб</v>
      </c>
      <c r="J174" s="31"/>
      <c r="K174" s="31"/>
      <c r="L174" s="31"/>
      <c r="M174" s="110"/>
      <c r="N174" s="53">
        <f t="shared" si="263"/>
        <v>1</v>
      </c>
      <c r="O174" s="115"/>
      <c r="P174" s="53">
        <f t="shared" si="264"/>
        <v>1</v>
      </c>
      <c r="Q174" s="53">
        <f t="shared" si="264"/>
        <v>0</v>
      </c>
      <c r="R174" s="53">
        <f t="shared" si="264"/>
        <v>0</v>
      </c>
      <c r="S174" s="53">
        <f t="shared" si="264"/>
        <v>0</v>
      </c>
      <c r="T174" s="53">
        <f t="shared" si="264"/>
        <v>0</v>
      </c>
      <c r="U174" s="97"/>
      <c r="V174" s="361"/>
      <c r="W174" s="361"/>
      <c r="X174" s="361"/>
      <c r="Y174" s="361"/>
      <c r="Z174" s="361">
        <v>0.5</v>
      </c>
      <c r="AA174" s="361"/>
      <c r="AB174" s="361"/>
      <c r="AC174" s="361">
        <v>0.5</v>
      </c>
      <c r="AD174" s="361"/>
      <c r="AE174" s="361"/>
      <c r="AF174" s="361"/>
      <c r="AG174" s="361"/>
      <c r="AH174" s="361"/>
      <c r="AI174" s="361"/>
      <c r="AJ174" s="361"/>
      <c r="AK174" s="361"/>
      <c r="AL174" s="361"/>
      <c r="AM174" s="361"/>
      <c r="AN174" s="361"/>
      <c r="AO174" s="361"/>
      <c r="AP174" s="361"/>
      <c r="AQ174" s="361"/>
      <c r="AR174" s="361"/>
      <c r="AS174" s="361"/>
      <c r="AT174" s="361"/>
      <c r="AU174" s="361"/>
      <c r="AV174" s="361"/>
      <c r="AW174" s="361"/>
      <c r="AX174" s="361"/>
      <c r="AY174" s="361"/>
      <c r="AZ174" s="361"/>
      <c r="BA174" s="361"/>
      <c r="BB174" s="361"/>
      <c r="BC174" s="361"/>
      <c r="BD174" s="361"/>
      <c r="BE174" s="361"/>
      <c r="BF174" s="361"/>
      <c r="BG174" s="361"/>
      <c r="BH174" s="361"/>
      <c r="BI174" s="361"/>
      <c r="BJ174" s="361"/>
      <c r="BK174" s="361"/>
      <c r="BL174" s="361"/>
      <c r="BM174" s="361"/>
      <c r="BN174" s="361"/>
      <c r="BO174" s="361"/>
      <c r="BP174" s="361"/>
      <c r="BQ174" s="361"/>
      <c r="BR174" s="361"/>
      <c r="BS174" s="361"/>
      <c r="BT174" s="361"/>
      <c r="BU174" s="361"/>
      <c r="BV174" s="361"/>
      <c r="BW174" s="361"/>
      <c r="BX174" s="361"/>
      <c r="BY174" s="361"/>
      <c r="BZ174" s="361"/>
      <c r="CA174" s="361"/>
      <c r="CB174" s="361"/>
      <c r="CC174" s="361"/>
      <c r="CD174" s="46"/>
      <c r="CE174" s="111"/>
    </row>
    <row r="175" spans="1:84" s="45" customFormat="1" ht="15" customHeight="1" outlineLevel="1" x14ac:dyDescent="0.3">
      <c r="A175" s="111"/>
      <c r="B175" s="30"/>
      <c r="C175" s="110"/>
      <c r="D175" s="360"/>
      <c r="E175" s="62"/>
      <c r="F175" s="62"/>
      <c r="G175" s="62"/>
      <c r="H175" s="62"/>
      <c r="I175" s="31"/>
      <c r="J175" s="31"/>
      <c r="K175" s="31"/>
      <c r="L175" s="31"/>
      <c r="M175" s="110"/>
      <c r="N175" s="53"/>
      <c r="O175" s="115"/>
      <c r="P175" s="53"/>
      <c r="Q175" s="53"/>
      <c r="R175" s="53"/>
      <c r="S175" s="53"/>
      <c r="T175" s="53"/>
      <c r="U175" s="97"/>
      <c r="V175" s="361"/>
      <c r="W175" s="361"/>
      <c r="X175" s="361"/>
      <c r="Y175" s="361"/>
      <c r="Z175" s="361"/>
      <c r="AA175" s="361"/>
      <c r="AB175" s="361"/>
      <c r="AC175" s="361"/>
      <c r="AD175" s="361"/>
      <c r="AE175" s="361"/>
      <c r="AF175" s="361"/>
      <c r="AG175" s="361"/>
      <c r="AH175" s="361"/>
      <c r="AI175" s="361"/>
      <c r="AJ175" s="361"/>
      <c r="AK175" s="361"/>
      <c r="AL175" s="361"/>
      <c r="AM175" s="361"/>
      <c r="AN175" s="361"/>
      <c r="AO175" s="361"/>
      <c r="AP175" s="361"/>
      <c r="AQ175" s="361"/>
      <c r="AR175" s="361"/>
      <c r="AS175" s="361"/>
      <c r="AT175" s="361"/>
      <c r="AU175" s="361"/>
      <c r="AV175" s="361"/>
      <c r="AW175" s="361"/>
      <c r="AX175" s="361"/>
      <c r="AY175" s="361"/>
      <c r="AZ175" s="361"/>
      <c r="BA175" s="361"/>
      <c r="BB175" s="361"/>
      <c r="BC175" s="361"/>
      <c r="BD175" s="361"/>
      <c r="BE175" s="361"/>
      <c r="BF175" s="361"/>
      <c r="BG175" s="361"/>
      <c r="BH175" s="361"/>
      <c r="BI175" s="361"/>
      <c r="BJ175" s="361"/>
      <c r="BK175" s="361"/>
      <c r="BL175" s="361"/>
      <c r="BM175" s="361"/>
      <c r="BN175" s="361"/>
      <c r="BO175" s="361"/>
      <c r="BP175" s="361"/>
      <c r="BQ175" s="361"/>
      <c r="BR175" s="361"/>
      <c r="BS175" s="361"/>
      <c r="BT175" s="361"/>
      <c r="BU175" s="361"/>
      <c r="BV175" s="361"/>
      <c r="BW175" s="361"/>
      <c r="BX175" s="361"/>
      <c r="BY175" s="361"/>
      <c r="BZ175" s="361"/>
      <c r="CA175" s="361"/>
      <c r="CB175" s="361"/>
      <c r="CC175" s="361"/>
      <c r="CD175" s="46"/>
      <c r="CE175" s="111"/>
    </row>
    <row r="176" spans="1:84" s="30" customFormat="1" ht="15" customHeight="1" outlineLevel="1" x14ac:dyDescent="0.3">
      <c r="A176" s="44"/>
      <c r="D176" s="141"/>
      <c r="E176" s="39"/>
      <c r="F176" s="39"/>
      <c r="G176" s="39"/>
      <c r="H176" s="39"/>
      <c r="I176" s="31"/>
      <c r="J176" s="31"/>
      <c r="K176" s="31"/>
      <c r="L176" s="31"/>
      <c r="M176" s="46"/>
      <c r="N176" s="29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97"/>
      <c r="AH176" s="97"/>
      <c r="AI176" s="97"/>
      <c r="AJ176" s="97"/>
      <c r="AK176" s="97"/>
      <c r="AL176" s="97"/>
      <c r="AM176" s="97"/>
      <c r="AN176" s="97"/>
      <c r="AO176" s="97"/>
      <c r="AP176" s="97"/>
      <c r="AQ176" s="97"/>
      <c r="AR176" s="97"/>
      <c r="AS176" s="97"/>
      <c r="AT176" s="97"/>
      <c r="AU176" s="97"/>
      <c r="AV176" s="97"/>
      <c r="AW176" s="97"/>
      <c r="AX176" s="97"/>
      <c r="AY176" s="97"/>
      <c r="AZ176" s="97"/>
      <c r="BA176" s="97"/>
      <c r="BB176" s="97"/>
      <c r="BC176" s="97"/>
      <c r="BD176" s="97"/>
      <c r="BE176" s="97"/>
      <c r="BF176" s="97"/>
      <c r="BG176" s="97"/>
      <c r="BH176" s="97"/>
      <c r="BI176" s="97"/>
      <c r="BJ176" s="97"/>
      <c r="BK176" s="97"/>
      <c r="BL176" s="97"/>
      <c r="BM176" s="97"/>
      <c r="BN176" s="97"/>
      <c r="BO176" s="97"/>
      <c r="BP176" s="97"/>
      <c r="BQ176" s="97"/>
      <c r="BR176" s="97"/>
      <c r="BS176" s="97"/>
      <c r="BT176" s="97"/>
      <c r="BU176" s="97"/>
      <c r="BV176" s="97"/>
      <c r="BW176" s="97"/>
      <c r="BX176" s="97"/>
      <c r="BY176" s="97"/>
      <c r="BZ176" s="97"/>
      <c r="CA176" s="97"/>
      <c r="CB176" s="97"/>
      <c r="CC176" s="97"/>
      <c r="CE176" s="44"/>
    </row>
    <row r="177" spans="1:83" s="45" customFormat="1" ht="15" customHeight="1" outlineLevel="1" x14ac:dyDescent="0.3">
      <c r="A177" s="111"/>
      <c r="B177" s="30"/>
      <c r="C177" s="110"/>
      <c r="D177" s="134" t="s">
        <v>5</v>
      </c>
      <c r="E177" s="28"/>
      <c r="F177" s="28"/>
      <c r="G177" s="28"/>
      <c r="H177" s="28"/>
      <c r="I177" s="6"/>
      <c r="J177" s="6"/>
      <c r="K177" s="6"/>
      <c r="L177" s="6"/>
      <c r="M177" s="97" t="s">
        <v>146</v>
      </c>
      <c r="N177" s="5"/>
      <c r="O177" s="97"/>
      <c r="P177" s="5"/>
      <c r="Q177" s="5"/>
      <c r="R177" s="5"/>
      <c r="S177" s="5"/>
      <c r="T177" s="5"/>
      <c r="U177" s="97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  <c r="BK177" s="46"/>
      <c r="BL177" s="46"/>
      <c r="BM177" s="46"/>
      <c r="BN177" s="46"/>
      <c r="BO177" s="46"/>
      <c r="BP177" s="46"/>
      <c r="BQ177" s="46"/>
      <c r="BR177" s="46"/>
      <c r="BS177" s="46"/>
      <c r="BT177" s="46"/>
      <c r="BU177" s="46"/>
      <c r="BV177" s="46"/>
      <c r="BW177" s="46"/>
      <c r="BX177" s="46"/>
      <c r="BY177" s="46"/>
      <c r="BZ177" s="46"/>
      <c r="CA177" s="46"/>
      <c r="CB177" s="46"/>
      <c r="CC177" s="46"/>
      <c r="CD177" s="46"/>
      <c r="CE177" s="111"/>
    </row>
    <row r="178" spans="1:83" s="45" customFormat="1" ht="15" customHeight="1" outlineLevel="1" x14ac:dyDescent="0.3">
      <c r="A178" s="111"/>
      <c r="B178" s="30"/>
      <c r="C178" s="110"/>
      <c r="D178" s="166" t="str">
        <f>D170</f>
        <v>Покупка земельного участка</v>
      </c>
      <c r="E178" s="62"/>
      <c r="F178" s="62"/>
      <c r="G178" s="62"/>
      <c r="H178" s="62"/>
      <c r="I178" s="31" t="str">
        <f>Ввод!$M$12</f>
        <v>руб</v>
      </c>
      <c r="J178" s="31"/>
      <c r="K178" s="31"/>
      <c r="L178" s="31"/>
      <c r="M178" s="95">
        <v>15000000</v>
      </c>
      <c r="N178" s="191">
        <f t="shared" ref="N178:N182" si="265">SUM(P178:T178)</f>
        <v>12295081.967213115</v>
      </c>
      <c r="O178" s="139"/>
      <c r="P178" s="191">
        <f t="shared" ref="P178:T182" si="266">SUMIF($V$4:$CC$4,P$4,$V178:$CC178)</f>
        <v>12295081.967213115</v>
      </c>
      <c r="Q178" s="191">
        <f t="shared" si="266"/>
        <v>0</v>
      </c>
      <c r="R178" s="191">
        <f t="shared" si="266"/>
        <v>0</v>
      </c>
      <c r="S178" s="191">
        <f t="shared" si="266"/>
        <v>0</v>
      </c>
      <c r="T178" s="191">
        <f t="shared" si="266"/>
        <v>0</v>
      </c>
      <c r="U178" s="139"/>
      <c r="V178" s="191">
        <f>$M178*V170/(1+Ввод!$M$19)</f>
        <v>12295081.967213115</v>
      </c>
      <c r="W178" s="191">
        <f>$M178*W170/(1+Ввод!$M$19)</f>
        <v>0</v>
      </c>
      <c r="X178" s="191">
        <f>$M178*X170/(1+Ввод!$M$19)</f>
        <v>0</v>
      </c>
      <c r="Y178" s="191">
        <f>$M178*Y170/(1+Ввод!$M$19)</f>
        <v>0</v>
      </c>
      <c r="Z178" s="191">
        <f>$M178*Z170/(1+Ввод!$M$19)</f>
        <v>0</v>
      </c>
      <c r="AA178" s="191">
        <f>$M178*AA170/(1+Ввод!$M$19)</f>
        <v>0</v>
      </c>
      <c r="AB178" s="191">
        <f>$M178*AB170/(1+Ввод!$M$19)</f>
        <v>0</v>
      </c>
      <c r="AC178" s="191">
        <f>$M178*AC170/(1+Ввод!$M$19)</f>
        <v>0</v>
      </c>
      <c r="AD178" s="191">
        <f>$M178*AD170/(1+Ввод!$M$19)</f>
        <v>0</v>
      </c>
      <c r="AE178" s="191">
        <f>$M178*AE170/(1+Ввод!$M$19)</f>
        <v>0</v>
      </c>
      <c r="AF178" s="191">
        <f>$M178*AF170/(1+Ввод!$M$19)</f>
        <v>0</v>
      </c>
      <c r="AG178" s="191">
        <f>$M178*AG170/(1+Ввод!$M$19)</f>
        <v>0</v>
      </c>
      <c r="AH178" s="191">
        <f>$M178*AH170/(1+Ввод!$M$19)</f>
        <v>0</v>
      </c>
      <c r="AI178" s="191">
        <f>$M178*AI170/(1+Ввод!$M$19)</f>
        <v>0</v>
      </c>
      <c r="AJ178" s="191">
        <f>$M178*AJ170/(1+Ввод!$M$19)</f>
        <v>0</v>
      </c>
      <c r="AK178" s="191">
        <f>$M178*AK170/(1+Ввод!$M$19)</f>
        <v>0</v>
      </c>
      <c r="AL178" s="191">
        <f>$M178*AL170/(1+Ввод!$M$19)</f>
        <v>0</v>
      </c>
      <c r="AM178" s="191">
        <f>$M178*AM170/(1+Ввод!$M$19)</f>
        <v>0</v>
      </c>
      <c r="AN178" s="191">
        <f>$M178*AN170/(1+Ввод!$M$19)</f>
        <v>0</v>
      </c>
      <c r="AO178" s="191">
        <f>$M178*AO170/(1+Ввод!$M$19)</f>
        <v>0</v>
      </c>
      <c r="AP178" s="191">
        <f>$M178*AP170/(1+Ввод!$M$19)</f>
        <v>0</v>
      </c>
      <c r="AQ178" s="191">
        <f>$M178*AQ170/(1+Ввод!$M$19)</f>
        <v>0</v>
      </c>
      <c r="AR178" s="191">
        <f>$M178*AR170/(1+Ввод!$M$19)</f>
        <v>0</v>
      </c>
      <c r="AS178" s="191">
        <f>$M178*AS170/(1+Ввод!$M$19)</f>
        <v>0</v>
      </c>
      <c r="AT178" s="191">
        <f>$M178*AT170/(1+Ввод!$M$19)</f>
        <v>0</v>
      </c>
      <c r="AU178" s="191">
        <f>$M178*AU170/(1+Ввод!$M$19)</f>
        <v>0</v>
      </c>
      <c r="AV178" s="191">
        <f>$M178*AV170/(1+Ввод!$M$19)</f>
        <v>0</v>
      </c>
      <c r="AW178" s="191">
        <f>$M178*AW170/(1+Ввод!$M$19)</f>
        <v>0</v>
      </c>
      <c r="AX178" s="191">
        <f>$M178*AX170/(1+Ввод!$M$19)</f>
        <v>0</v>
      </c>
      <c r="AY178" s="191">
        <f>$M178*AY170/(1+Ввод!$M$19)</f>
        <v>0</v>
      </c>
      <c r="AZ178" s="191">
        <f>$M178*AZ170/(1+Ввод!$M$19)</f>
        <v>0</v>
      </c>
      <c r="BA178" s="191">
        <f>$M178*BA170/(1+Ввод!$M$19)</f>
        <v>0</v>
      </c>
      <c r="BB178" s="191">
        <f>$M178*BB170/(1+Ввод!$M$19)</f>
        <v>0</v>
      </c>
      <c r="BC178" s="191">
        <f>$M178*BC170/(1+Ввод!$M$19)</f>
        <v>0</v>
      </c>
      <c r="BD178" s="191">
        <f>$M178*BD170/(1+Ввод!$M$19)</f>
        <v>0</v>
      </c>
      <c r="BE178" s="191">
        <f>$M178*BE170/(1+Ввод!$M$19)</f>
        <v>0</v>
      </c>
      <c r="BF178" s="191">
        <f>$M178*BF170/(1+Ввод!$M$19)</f>
        <v>0</v>
      </c>
      <c r="BG178" s="191">
        <f>$M178*BG170/(1+Ввод!$M$19)</f>
        <v>0</v>
      </c>
      <c r="BH178" s="191">
        <f>$M178*BH170/(1+Ввод!$M$19)</f>
        <v>0</v>
      </c>
      <c r="BI178" s="191">
        <f>$M178*BI170/(1+Ввод!$M$19)</f>
        <v>0</v>
      </c>
      <c r="BJ178" s="191">
        <f>$M178*BJ170/(1+Ввод!$M$19)</f>
        <v>0</v>
      </c>
      <c r="BK178" s="191">
        <f>$M178*BK170/(1+Ввод!$M$19)</f>
        <v>0</v>
      </c>
      <c r="BL178" s="191">
        <f>$M178*BL170/(1+Ввод!$M$19)</f>
        <v>0</v>
      </c>
      <c r="BM178" s="191">
        <f>$M178*BM170/(1+Ввод!$M$19)</f>
        <v>0</v>
      </c>
      <c r="BN178" s="191">
        <f>$M178*BN170/(1+Ввод!$M$19)</f>
        <v>0</v>
      </c>
      <c r="BO178" s="191">
        <f>$M178*BO170/(1+Ввод!$M$19)</f>
        <v>0</v>
      </c>
      <c r="BP178" s="191">
        <f>$M178*BP170/(1+Ввод!$M$19)</f>
        <v>0</v>
      </c>
      <c r="BQ178" s="191">
        <f>$M178*BQ170/(1+Ввод!$M$19)</f>
        <v>0</v>
      </c>
      <c r="BR178" s="191">
        <f>$M178*BR170/(1+Ввод!$M$19)</f>
        <v>0</v>
      </c>
      <c r="BS178" s="191">
        <f>$M178*BS170/(1+Ввод!$M$19)</f>
        <v>0</v>
      </c>
      <c r="BT178" s="191">
        <f>$M178*BT170/(1+Ввод!$M$19)</f>
        <v>0</v>
      </c>
      <c r="BU178" s="191">
        <f>$M178*BU170/(1+Ввод!$M$19)</f>
        <v>0</v>
      </c>
      <c r="BV178" s="191">
        <f>$M178*BV170/(1+Ввод!$M$19)</f>
        <v>0</v>
      </c>
      <c r="BW178" s="191">
        <f>$M178*BW170/(1+Ввод!$M$19)</f>
        <v>0</v>
      </c>
      <c r="BX178" s="191">
        <f>$M178*BX170/(1+Ввод!$M$19)</f>
        <v>0</v>
      </c>
      <c r="BY178" s="191">
        <f>$M178*BY170/(1+Ввод!$M$19)</f>
        <v>0</v>
      </c>
      <c r="BZ178" s="191">
        <f>$M178*BZ170/(1+Ввод!$M$19)</f>
        <v>0</v>
      </c>
      <c r="CA178" s="191">
        <f>$M178*CA170/(1+Ввод!$M$19)</f>
        <v>0</v>
      </c>
      <c r="CB178" s="191">
        <f>$M178*CB170/(1+Ввод!$M$19)</f>
        <v>0</v>
      </c>
      <c r="CC178" s="191">
        <f>$M178*CC170/(1+Ввод!$M$19)</f>
        <v>0</v>
      </c>
      <c r="CD178" s="46"/>
      <c r="CE178" s="111"/>
    </row>
    <row r="179" spans="1:83" s="45" customFormat="1" ht="15" customHeight="1" outlineLevel="1" x14ac:dyDescent="0.3">
      <c r="A179" s="111"/>
      <c r="B179" s="30"/>
      <c r="C179" s="110"/>
      <c r="D179" s="166" t="str">
        <f>D171</f>
        <v>Первая очередь цех</v>
      </c>
      <c r="E179" s="62"/>
      <c r="F179" s="62"/>
      <c r="G179" s="62"/>
      <c r="H179" s="62"/>
      <c r="I179" s="31" t="str">
        <f>Ввод!$M$12</f>
        <v>руб</v>
      </c>
      <c r="J179" s="31"/>
      <c r="K179" s="31"/>
      <c r="L179" s="31"/>
      <c r="M179" s="95">
        <v>10000000</v>
      </c>
      <c r="N179" s="191">
        <f t="shared" si="265"/>
        <v>8196721.3114754101</v>
      </c>
      <c r="O179" s="139"/>
      <c r="P179" s="191">
        <f t="shared" si="266"/>
        <v>8196721.3114754101</v>
      </c>
      <c r="Q179" s="191">
        <f t="shared" si="266"/>
        <v>0</v>
      </c>
      <c r="R179" s="191">
        <f t="shared" si="266"/>
        <v>0</v>
      </c>
      <c r="S179" s="191">
        <f t="shared" si="266"/>
        <v>0</v>
      </c>
      <c r="T179" s="191">
        <f t="shared" si="266"/>
        <v>0</v>
      </c>
      <c r="U179" s="139"/>
      <c r="V179" s="191">
        <f>$M179*V171/(1+Ввод!$M$19)</f>
        <v>0</v>
      </c>
      <c r="W179" s="191">
        <f>$M179*W171/(1+Ввод!$M$19)</f>
        <v>0</v>
      </c>
      <c r="X179" s="191">
        <f>$M179*X171/(1+Ввод!$M$19)</f>
        <v>0</v>
      </c>
      <c r="Y179" s="191">
        <f>$M179*Y171/(1+Ввод!$M$19)</f>
        <v>8196721.3114754101</v>
      </c>
      <c r="Z179" s="191">
        <f>$M179*Z171/(1+Ввод!$M$19)</f>
        <v>0</v>
      </c>
      <c r="AA179" s="191">
        <f>$M179*AA171/(1+Ввод!$M$19)</f>
        <v>0</v>
      </c>
      <c r="AB179" s="191">
        <f>$M179*AB171/(1+Ввод!$M$19)</f>
        <v>0</v>
      </c>
      <c r="AC179" s="191">
        <f>$M179*AC171/(1+Ввод!$M$19)</f>
        <v>0</v>
      </c>
      <c r="AD179" s="191">
        <f>$M179*AD171/(1+Ввод!$M$19)</f>
        <v>0</v>
      </c>
      <c r="AE179" s="191">
        <f>$M179*AE171/(1+Ввод!$M$19)</f>
        <v>0</v>
      </c>
      <c r="AF179" s="191">
        <f>$M179*AF171/(1+Ввод!$M$19)</f>
        <v>0</v>
      </c>
      <c r="AG179" s="191">
        <f>$M179*AG171/(1+Ввод!$M$19)</f>
        <v>0</v>
      </c>
      <c r="AH179" s="191">
        <f>$M179*AH171/(1+Ввод!$M$19)</f>
        <v>0</v>
      </c>
      <c r="AI179" s="191">
        <f>$M179*AI171/(1+Ввод!$M$19)</f>
        <v>0</v>
      </c>
      <c r="AJ179" s="191">
        <f>$M179*AJ171/(1+Ввод!$M$19)</f>
        <v>0</v>
      </c>
      <c r="AK179" s="191">
        <f>$M179*AK171/(1+Ввод!$M$19)</f>
        <v>0</v>
      </c>
      <c r="AL179" s="191">
        <f>$M179*AL171/(1+Ввод!$M$19)</f>
        <v>0</v>
      </c>
      <c r="AM179" s="191">
        <f>$M179*AM171/(1+Ввод!$M$19)</f>
        <v>0</v>
      </c>
      <c r="AN179" s="191">
        <f>$M179*AN171/(1+Ввод!$M$19)</f>
        <v>0</v>
      </c>
      <c r="AO179" s="191">
        <f>$M179*AO171/(1+Ввод!$M$19)</f>
        <v>0</v>
      </c>
      <c r="AP179" s="191">
        <f>$M179*AP171/(1+Ввод!$M$19)</f>
        <v>0</v>
      </c>
      <c r="AQ179" s="191">
        <f>$M179*AQ171/(1+Ввод!$M$19)</f>
        <v>0</v>
      </c>
      <c r="AR179" s="191">
        <f>$M179*AR171/(1+Ввод!$M$19)</f>
        <v>0</v>
      </c>
      <c r="AS179" s="191">
        <f>$M179*AS171/(1+Ввод!$M$19)</f>
        <v>0</v>
      </c>
      <c r="AT179" s="191">
        <f>$M179*AT171/(1+Ввод!$M$19)</f>
        <v>0</v>
      </c>
      <c r="AU179" s="191">
        <f>$M179*AU171/(1+Ввод!$M$19)</f>
        <v>0</v>
      </c>
      <c r="AV179" s="191">
        <f>$M179*AV171/(1+Ввод!$M$19)</f>
        <v>0</v>
      </c>
      <c r="AW179" s="191">
        <f>$M179*AW171/(1+Ввод!$M$19)</f>
        <v>0</v>
      </c>
      <c r="AX179" s="191">
        <f>$M179*AX171/(1+Ввод!$M$19)</f>
        <v>0</v>
      </c>
      <c r="AY179" s="191">
        <f>$M179*AY171/(1+Ввод!$M$19)</f>
        <v>0</v>
      </c>
      <c r="AZ179" s="191">
        <f>$M179*AZ171/(1+Ввод!$M$19)</f>
        <v>0</v>
      </c>
      <c r="BA179" s="191">
        <f>$M179*BA171/(1+Ввод!$M$19)</f>
        <v>0</v>
      </c>
      <c r="BB179" s="191">
        <f>$M179*BB171/(1+Ввод!$M$19)</f>
        <v>0</v>
      </c>
      <c r="BC179" s="191">
        <f>$M179*BC171/(1+Ввод!$M$19)</f>
        <v>0</v>
      </c>
      <c r="BD179" s="191">
        <f>$M179*BD171/(1+Ввод!$M$19)</f>
        <v>0</v>
      </c>
      <c r="BE179" s="191">
        <f>$M179*BE171/(1+Ввод!$M$19)</f>
        <v>0</v>
      </c>
      <c r="BF179" s="191">
        <f>$M179*BF171/(1+Ввод!$M$19)</f>
        <v>0</v>
      </c>
      <c r="BG179" s="191">
        <f>$M179*BG171/(1+Ввод!$M$19)</f>
        <v>0</v>
      </c>
      <c r="BH179" s="191">
        <f>$M179*BH171/(1+Ввод!$M$19)</f>
        <v>0</v>
      </c>
      <c r="BI179" s="191">
        <f>$M179*BI171/(1+Ввод!$M$19)</f>
        <v>0</v>
      </c>
      <c r="BJ179" s="191">
        <f>$M179*BJ171/(1+Ввод!$M$19)</f>
        <v>0</v>
      </c>
      <c r="BK179" s="191">
        <f>$M179*BK171/(1+Ввод!$M$19)</f>
        <v>0</v>
      </c>
      <c r="BL179" s="191">
        <f>$M179*BL171/(1+Ввод!$M$19)</f>
        <v>0</v>
      </c>
      <c r="BM179" s="191">
        <f>$M179*BM171/(1+Ввод!$M$19)</f>
        <v>0</v>
      </c>
      <c r="BN179" s="191">
        <f>$M179*BN171/(1+Ввод!$M$19)</f>
        <v>0</v>
      </c>
      <c r="BO179" s="191">
        <f>$M179*BO171/(1+Ввод!$M$19)</f>
        <v>0</v>
      </c>
      <c r="BP179" s="191">
        <f>$M179*BP171/(1+Ввод!$M$19)</f>
        <v>0</v>
      </c>
      <c r="BQ179" s="191">
        <f>$M179*BQ171/(1+Ввод!$M$19)</f>
        <v>0</v>
      </c>
      <c r="BR179" s="191">
        <f>$M179*BR171/(1+Ввод!$M$19)</f>
        <v>0</v>
      </c>
      <c r="BS179" s="191">
        <f>$M179*BS171/(1+Ввод!$M$19)</f>
        <v>0</v>
      </c>
      <c r="BT179" s="191">
        <f>$M179*BT171/(1+Ввод!$M$19)</f>
        <v>0</v>
      </c>
      <c r="BU179" s="191">
        <f>$M179*BU171/(1+Ввод!$M$19)</f>
        <v>0</v>
      </c>
      <c r="BV179" s="191">
        <f>$M179*BV171/(1+Ввод!$M$19)</f>
        <v>0</v>
      </c>
      <c r="BW179" s="191">
        <f>$M179*BW171/(1+Ввод!$M$19)</f>
        <v>0</v>
      </c>
      <c r="BX179" s="191">
        <f>$M179*BX171/(1+Ввод!$M$19)</f>
        <v>0</v>
      </c>
      <c r="BY179" s="191">
        <f>$M179*BY171/(1+Ввод!$M$19)</f>
        <v>0</v>
      </c>
      <c r="BZ179" s="191">
        <f>$M179*BZ171/(1+Ввод!$M$19)</f>
        <v>0</v>
      </c>
      <c r="CA179" s="191">
        <f>$M179*CA171/(1+Ввод!$M$19)</f>
        <v>0</v>
      </c>
      <c r="CB179" s="191">
        <f>$M179*CB171/(1+Ввод!$M$19)</f>
        <v>0</v>
      </c>
      <c r="CC179" s="191">
        <f>$M179*CC171/(1+Ввод!$M$19)</f>
        <v>0</v>
      </c>
      <c r="CD179" s="46"/>
      <c r="CE179" s="111"/>
    </row>
    <row r="180" spans="1:83" s="45" customFormat="1" ht="15" customHeight="1" outlineLevel="1" x14ac:dyDescent="0.3">
      <c r="A180" s="111"/>
      <c r="B180" s="30"/>
      <c r="C180" s="110"/>
      <c r="D180" s="166" t="str">
        <f>D172</f>
        <v>Вторая очередь цех</v>
      </c>
      <c r="E180" s="62"/>
      <c r="F180" s="62"/>
      <c r="G180" s="62"/>
      <c r="H180" s="62"/>
      <c r="I180" s="31" t="str">
        <f>Ввод!$M$12</f>
        <v>руб</v>
      </c>
      <c r="J180" s="31"/>
      <c r="K180" s="31"/>
      <c r="L180" s="31"/>
      <c r="M180" s="95">
        <v>10000000</v>
      </c>
      <c r="N180" s="191">
        <f t="shared" si="265"/>
        <v>8196721.3114754101</v>
      </c>
      <c r="O180" s="139"/>
      <c r="P180" s="191">
        <f t="shared" si="266"/>
        <v>8196721.3114754101</v>
      </c>
      <c r="Q180" s="191">
        <f t="shared" si="266"/>
        <v>0</v>
      </c>
      <c r="R180" s="191">
        <f t="shared" si="266"/>
        <v>0</v>
      </c>
      <c r="S180" s="191">
        <f t="shared" si="266"/>
        <v>0</v>
      </c>
      <c r="T180" s="191">
        <f t="shared" si="266"/>
        <v>0</v>
      </c>
      <c r="U180" s="139"/>
      <c r="V180" s="191">
        <f>$M180*V172/(1+Ввод!$M$19)</f>
        <v>0</v>
      </c>
      <c r="W180" s="191">
        <f>$M180*W172/(1+Ввод!$M$19)</f>
        <v>0</v>
      </c>
      <c r="X180" s="191">
        <f>$M180*X172/(1+Ввод!$M$19)</f>
        <v>0</v>
      </c>
      <c r="Y180" s="191">
        <f>$M180*Y172/(1+Ввод!$M$19)</f>
        <v>0</v>
      </c>
      <c r="Z180" s="191">
        <f>$M180*Z172/(1+Ввод!$M$19)</f>
        <v>0</v>
      </c>
      <c r="AA180" s="191">
        <f>$M180*AA172/(1+Ввод!$M$19)</f>
        <v>0</v>
      </c>
      <c r="AB180" s="191">
        <f>$M180*AB172/(1+Ввод!$M$19)</f>
        <v>8196721.3114754101</v>
      </c>
      <c r="AC180" s="191">
        <f>$M180*AC172/(1+Ввод!$M$19)</f>
        <v>0</v>
      </c>
      <c r="AD180" s="191">
        <f>$M180*AD172/(1+Ввод!$M$19)</f>
        <v>0</v>
      </c>
      <c r="AE180" s="191">
        <f>$M180*AE172/(1+Ввод!$M$19)</f>
        <v>0</v>
      </c>
      <c r="AF180" s="191">
        <f>$M180*AF172/(1+Ввод!$M$19)</f>
        <v>0</v>
      </c>
      <c r="AG180" s="191">
        <f>$M180*AG172/(1+Ввод!$M$19)</f>
        <v>0</v>
      </c>
      <c r="AH180" s="191">
        <f>$M180*AH172/(1+Ввод!$M$19)</f>
        <v>0</v>
      </c>
      <c r="AI180" s="191">
        <f>$M180*AI172/(1+Ввод!$M$19)</f>
        <v>0</v>
      </c>
      <c r="AJ180" s="191">
        <f>$M180*AJ172/(1+Ввод!$M$19)</f>
        <v>0</v>
      </c>
      <c r="AK180" s="191">
        <f>$M180*AK172/(1+Ввод!$M$19)</f>
        <v>0</v>
      </c>
      <c r="AL180" s="191">
        <f>$M180*AL172/(1+Ввод!$M$19)</f>
        <v>0</v>
      </c>
      <c r="AM180" s="191">
        <f>$M180*AM172/(1+Ввод!$M$19)</f>
        <v>0</v>
      </c>
      <c r="AN180" s="191">
        <f>$M180*AN172/(1+Ввод!$M$19)</f>
        <v>0</v>
      </c>
      <c r="AO180" s="191">
        <f>$M180*AO172/(1+Ввод!$M$19)</f>
        <v>0</v>
      </c>
      <c r="AP180" s="191">
        <f>$M180*AP172/(1+Ввод!$M$19)</f>
        <v>0</v>
      </c>
      <c r="AQ180" s="191">
        <f>$M180*AQ172/(1+Ввод!$M$19)</f>
        <v>0</v>
      </c>
      <c r="AR180" s="191">
        <f>$M180*AR172/(1+Ввод!$M$19)</f>
        <v>0</v>
      </c>
      <c r="AS180" s="191">
        <f>$M180*AS172/(1+Ввод!$M$19)</f>
        <v>0</v>
      </c>
      <c r="AT180" s="191">
        <f>$M180*AT172/(1+Ввод!$M$19)</f>
        <v>0</v>
      </c>
      <c r="AU180" s="191">
        <f>$M180*AU172/(1+Ввод!$M$19)</f>
        <v>0</v>
      </c>
      <c r="AV180" s="191">
        <f>$M180*AV172/(1+Ввод!$M$19)</f>
        <v>0</v>
      </c>
      <c r="AW180" s="191">
        <f>$M180*AW172/(1+Ввод!$M$19)</f>
        <v>0</v>
      </c>
      <c r="AX180" s="191">
        <f>$M180*AX172/(1+Ввод!$M$19)</f>
        <v>0</v>
      </c>
      <c r="AY180" s="191">
        <f>$M180*AY172/(1+Ввод!$M$19)</f>
        <v>0</v>
      </c>
      <c r="AZ180" s="191">
        <f>$M180*AZ172/(1+Ввод!$M$19)</f>
        <v>0</v>
      </c>
      <c r="BA180" s="191">
        <f>$M180*BA172/(1+Ввод!$M$19)</f>
        <v>0</v>
      </c>
      <c r="BB180" s="191">
        <f>$M180*BB172/(1+Ввод!$M$19)</f>
        <v>0</v>
      </c>
      <c r="BC180" s="191">
        <f>$M180*BC172/(1+Ввод!$M$19)</f>
        <v>0</v>
      </c>
      <c r="BD180" s="191">
        <f>$M180*BD172/(1+Ввод!$M$19)</f>
        <v>0</v>
      </c>
      <c r="BE180" s="191">
        <f>$M180*BE172/(1+Ввод!$M$19)</f>
        <v>0</v>
      </c>
      <c r="BF180" s="191">
        <f>$M180*BF172/(1+Ввод!$M$19)</f>
        <v>0</v>
      </c>
      <c r="BG180" s="191">
        <f>$M180*BG172/(1+Ввод!$M$19)</f>
        <v>0</v>
      </c>
      <c r="BH180" s="191">
        <f>$M180*BH172/(1+Ввод!$M$19)</f>
        <v>0</v>
      </c>
      <c r="BI180" s="191">
        <f>$M180*BI172/(1+Ввод!$M$19)</f>
        <v>0</v>
      </c>
      <c r="BJ180" s="191">
        <f>$M180*BJ172/(1+Ввод!$M$19)</f>
        <v>0</v>
      </c>
      <c r="BK180" s="191">
        <f>$M180*BK172/(1+Ввод!$M$19)</f>
        <v>0</v>
      </c>
      <c r="BL180" s="191">
        <f>$M180*BL172/(1+Ввод!$M$19)</f>
        <v>0</v>
      </c>
      <c r="BM180" s="191">
        <f>$M180*BM172/(1+Ввод!$M$19)</f>
        <v>0</v>
      </c>
      <c r="BN180" s="191">
        <f>$M180*BN172/(1+Ввод!$M$19)</f>
        <v>0</v>
      </c>
      <c r="BO180" s="191">
        <f>$M180*BO172/(1+Ввод!$M$19)</f>
        <v>0</v>
      </c>
      <c r="BP180" s="191">
        <f>$M180*BP172/(1+Ввод!$M$19)</f>
        <v>0</v>
      </c>
      <c r="BQ180" s="191">
        <f>$M180*BQ172/(1+Ввод!$M$19)</f>
        <v>0</v>
      </c>
      <c r="BR180" s="191">
        <f>$M180*BR172/(1+Ввод!$M$19)</f>
        <v>0</v>
      </c>
      <c r="BS180" s="191">
        <f>$M180*BS172/(1+Ввод!$M$19)</f>
        <v>0</v>
      </c>
      <c r="BT180" s="191">
        <f>$M180*BT172/(1+Ввод!$M$19)</f>
        <v>0</v>
      </c>
      <c r="BU180" s="191">
        <f>$M180*BU172/(1+Ввод!$M$19)</f>
        <v>0</v>
      </c>
      <c r="BV180" s="191">
        <f>$M180*BV172/(1+Ввод!$M$19)</f>
        <v>0</v>
      </c>
      <c r="BW180" s="191">
        <f>$M180*BW172/(1+Ввод!$M$19)</f>
        <v>0</v>
      </c>
      <c r="BX180" s="191">
        <f>$M180*BX172/(1+Ввод!$M$19)</f>
        <v>0</v>
      </c>
      <c r="BY180" s="191">
        <f>$M180*BY172/(1+Ввод!$M$19)</f>
        <v>0</v>
      </c>
      <c r="BZ180" s="191">
        <f>$M180*BZ172/(1+Ввод!$M$19)</f>
        <v>0</v>
      </c>
      <c r="CA180" s="191">
        <f>$M180*CA172/(1+Ввод!$M$19)</f>
        <v>0</v>
      </c>
      <c r="CB180" s="191">
        <f>$M180*CB172/(1+Ввод!$M$19)</f>
        <v>0</v>
      </c>
      <c r="CC180" s="191">
        <f>$M180*CC172/(1+Ввод!$M$19)</f>
        <v>0</v>
      </c>
      <c r="CD180" s="46"/>
      <c r="CE180" s="111"/>
    </row>
    <row r="181" spans="1:83" s="45" customFormat="1" ht="15" customHeight="1" outlineLevel="1" x14ac:dyDescent="0.3">
      <c r="A181" s="111"/>
      <c r="B181" s="30"/>
      <c r="C181" s="110"/>
      <c r="D181" s="166" t="str">
        <f>D173</f>
        <v>Оборудование и пусконаладочные работы</v>
      </c>
      <c r="E181" s="62"/>
      <c r="F181" s="62"/>
      <c r="G181" s="62"/>
      <c r="H181" s="62"/>
      <c r="I181" s="31" t="str">
        <f>Ввод!$M$12</f>
        <v>руб</v>
      </c>
      <c r="J181" s="31"/>
      <c r="K181" s="31"/>
      <c r="L181" s="31"/>
      <c r="M181" s="95">
        <v>25000000</v>
      </c>
      <c r="N181" s="191">
        <f t="shared" si="265"/>
        <v>20491803.278688524</v>
      </c>
      <c r="O181" s="139"/>
      <c r="P181" s="191">
        <f t="shared" si="266"/>
        <v>20491803.278688524</v>
      </c>
      <c r="Q181" s="191">
        <f t="shared" si="266"/>
        <v>0</v>
      </c>
      <c r="R181" s="191">
        <f t="shared" si="266"/>
        <v>0</v>
      </c>
      <c r="S181" s="191">
        <f t="shared" si="266"/>
        <v>0</v>
      </c>
      <c r="T181" s="191">
        <f t="shared" si="266"/>
        <v>0</v>
      </c>
      <c r="U181" s="139"/>
      <c r="V181" s="191">
        <f>$M181*V173/(1+Ввод!$M$19)</f>
        <v>0</v>
      </c>
      <c r="W181" s="191">
        <f>$M181*W173/(1+Ввод!$M$19)</f>
        <v>0</v>
      </c>
      <c r="X181" s="191">
        <f>$M181*X173/(1+Ввод!$M$19)</f>
        <v>0</v>
      </c>
      <c r="Y181" s="191">
        <f>$M181*Y173/(1+Ввод!$M$19)</f>
        <v>0</v>
      </c>
      <c r="Z181" s="191">
        <f>$M181*Z173/(1+Ввод!$M$19)</f>
        <v>10245901.639344262</v>
      </c>
      <c r="AA181" s="191">
        <f>$M181*AA173/(1+Ввод!$M$19)</f>
        <v>0</v>
      </c>
      <c r="AB181" s="191">
        <f>$M181*AB173/(1+Ввод!$M$19)</f>
        <v>0</v>
      </c>
      <c r="AC181" s="191">
        <f>$M181*AC173/(1+Ввод!$M$19)</f>
        <v>10245901.639344262</v>
      </c>
      <c r="AD181" s="191">
        <f>$M181*AD173/(1+Ввод!$M$19)</f>
        <v>0</v>
      </c>
      <c r="AE181" s="191">
        <f>$M181*AE173/(1+Ввод!$M$19)</f>
        <v>0</v>
      </c>
      <c r="AF181" s="191">
        <f>$M181*AF173/(1+Ввод!$M$19)</f>
        <v>0</v>
      </c>
      <c r="AG181" s="191">
        <f>$M181*AG173/(1+Ввод!$M$19)</f>
        <v>0</v>
      </c>
      <c r="AH181" s="191">
        <f>$M181*AH173/(1+Ввод!$M$19)</f>
        <v>0</v>
      </c>
      <c r="AI181" s="191">
        <f>$M181*AI173/(1+Ввод!$M$19)</f>
        <v>0</v>
      </c>
      <c r="AJ181" s="191">
        <f>$M181*AJ173/(1+Ввод!$M$19)</f>
        <v>0</v>
      </c>
      <c r="AK181" s="191">
        <f>$M181*AK173/(1+Ввод!$M$19)</f>
        <v>0</v>
      </c>
      <c r="AL181" s="191">
        <f>$M181*AL173/(1+Ввод!$M$19)</f>
        <v>0</v>
      </c>
      <c r="AM181" s="191">
        <f>$M181*AM173/(1+Ввод!$M$19)</f>
        <v>0</v>
      </c>
      <c r="AN181" s="191">
        <f>$M181*AN173/(1+Ввод!$M$19)</f>
        <v>0</v>
      </c>
      <c r="AO181" s="191">
        <f>$M181*AO173/(1+Ввод!$M$19)</f>
        <v>0</v>
      </c>
      <c r="AP181" s="191">
        <f>$M181*AP173/(1+Ввод!$M$19)</f>
        <v>0</v>
      </c>
      <c r="AQ181" s="191">
        <f>$M181*AQ173/(1+Ввод!$M$19)</f>
        <v>0</v>
      </c>
      <c r="AR181" s="191">
        <f>$M181*AR173/(1+Ввод!$M$19)</f>
        <v>0</v>
      </c>
      <c r="AS181" s="191">
        <f>$M181*AS173/(1+Ввод!$M$19)</f>
        <v>0</v>
      </c>
      <c r="AT181" s="191">
        <f>$M181*AT173/(1+Ввод!$M$19)</f>
        <v>0</v>
      </c>
      <c r="AU181" s="191">
        <f>$M181*AU173/(1+Ввод!$M$19)</f>
        <v>0</v>
      </c>
      <c r="AV181" s="191">
        <f>$M181*AV173/(1+Ввод!$M$19)</f>
        <v>0</v>
      </c>
      <c r="AW181" s="191">
        <f>$M181*AW173/(1+Ввод!$M$19)</f>
        <v>0</v>
      </c>
      <c r="AX181" s="191">
        <f>$M181*AX173/(1+Ввод!$M$19)</f>
        <v>0</v>
      </c>
      <c r="AY181" s="191">
        <f>$M181*AY173/(1+Ввод!$M$19)</f>
        <v>0</v>
      </c>
      <c r="AZ181" s="191">
        <f>$M181*AZ173/(1+Ввод!$M$19)</f>
        <v>0</v>
      </c>
      <c r="BA181" s="191">
        <f>$M181*BA173/(1+Ввод!$M$19)</f>
        <v>0</v>
      </c>
      <c r="BB181" s="191">
        <f>$M181*BB173/(1+Ввод!$M$19)</f>
        <v>0</v>
      </c>
      <c r="BC181" s="191">
        <f>$M181*BC173/(1+Ввод!$M$19)</f>
        <v>0</v>
      </c>
      <c r="BD181" s="191">
        <f>$M181*BD173/(1+Ввод!$M$19)</f>
        <v>0</v>
      </c>
      <c r="BE181" s="191">
        <f>$M181*BE173/(1+Ввод!$M$19)</f>
        <v>0</v>
      </c>
      <c r="BF181" s="191">
        <f>$M181*BF173/(1+Ввод!$M$19)</f>
        <v>0</v>
      </c>
      <c r="BG181" s="191">
        <f>$M181*BG173/(1+Ввод!$M$19)</f>
        <v>0</v>
      </c>
      <c r="BH181" s="191">
        <f>$M181*BH173/(1+Ввод!$M$19)</f>
        <v>0</v>
      </c>
      <c r="BI181" s="191">
        <f>$M181*BI173/(1+Ввод!$M$19)</f>
        <v>0</v>
      </c>
      <c r="BJ181" s="191">
        <f>$M181*BJ173/(1+Ввод!$M$19)</f>
        <v>0</v>
      </c>
      <c r="BK181" s="191">
        <f>$M181*BK173/(1+Ввод!$M$19)</f>
        <v>0</v>
      </c>
      <c r="BL181" s="191">
        <f>$M181*BL173/(1+Ввод!$M$19)</f>
        <v>0</v>
      </c>
      <c r="BM181" s="191">
        <f>$M181*BM173/(1+Ввод!$M$19)</f>
        <v>0</v>
      </c>
      <c r="BN181" s="191">
        <f>$M181*BN173/(1+Ввод!$M$19)</f>
        <v>0</v>
      </c>
      <c r="BO181" s="191">
        <f>$M181*BO173/(1+Ввод!$M$19)</f>
        <v>0</v>
      </c>
      <c r="BP181" s="191">
        <f>$M181*BP173/(1+Ввод!$M$19)</f>
        <v>0</v>
      </c>
      <c r="BQ181" s="191">
        <f>$M181*BQ173/(1+Ввод!$M$19)</f>
        <v>0</v>
      </c>
      <c r="BR181" s="191">
        <f>$M181*BR173/(1+Ввод!$M$19)</f>
        <v>0</v>
      </c>
      <c r="BS181" s="191">
        <f>$M181*BS173/(1+Ввод!$M$19)</f>
        <v>0</v>
      </c>
      <c r="BT181" s="191">
        <f>$M181*BT173/(1+Ввод!$M$19)</f>
        <v>0</v>
      </c>
      <c r="BU181" s="191">
        <f>$M181*BU173/(1+Ввод!$M$19)</f>
        <v>0</v>
      </c>
      <c r="BV181" s="191">
        <f>$M181*BV173/(1+Ввод!$M$19)</f>
        <v>0</v>
      </c>
      <c r="BW181" s="191">
        <f>$M181*BW173/(1+Ввод!$M$19)</f>
        <v>0</v>
      </c>
      <c r="BX181" s="191">
        <f>$M181*BX173/(1+Ввод!$M$19)</f>
        <v>0</v>
      </c>
      <c r="BY181" s="191">
        <f>$M181*BY173/(1+Ввод!$M$19)</f>
        <v>0</v>
      </c>
      <c r="BZ181" s="191">
        <f>$M181*BZ173/(1+Ввод!$M$19)</f>
        <v>0</v>
      </c>
      <c r="CA181" s="191">
        <f>$M181*CA173/(1+Ввод!$M$19)</f>
        <v>0</v>
      </c>
      <c r="CB181" s="191">
        <f>$M181*CB173/(1+Ввод!$M$19)</f>
        <v>0</v>
      </c>
      <c r="CC181" s="191">
        <f>$M181*CC173/(1+Ввод!$M$19)</f>
        <v>0</v>
      </c>
      <c r="CD181" s="46"/>
      <c r="CE181" s="111"/>
    </row>
    <row r="182" spans="1:83" s="45" customFormat="1" ht="15" customHeight="1" outlineLevel="1" x14ac:dyDescent="0.3">
      <c r="A182" s="111"/>
      <c r="B182" s="30"/>
      <c r="C182" s="110"/>
      <c r="D182" s="166" t="str">
        <f>D174</f>
        <v>Покупка ГАЗон+манипулятор</v>
      </c>
      <c r="E182" s="62"/>
      <c r="F182" s="62"/>
      <c r="G182" s="62"/>
      <c r="H182" s="62"/>
      <c r="I182" s="31" t="str">
        <f>Ввод!$M$12</f>
        <v>руб</v>
      </c>
      <c r="J182" s="31"/>
      <c r="K182" s="31"/>
      <c r="L182" s="31"/>
      <c r="M182" s="95">
        <v>15000000</v>
      </c>
      <c r="N182" s="191">
        <f t="shared" si="265"/>
        <v>12295081.967213115</v>
      </c>
      <c r="O182" s="139"/>
      <c r="P182" s="191">
        <f t="shared" si="266"/>
        <v>12295081.967213115</v>
      </c>
      <c r="Q182" s="191">
        <f t="shared" si="266"/>
        <v>0</v>
      </c>
      <c r="R182" s="191">
        <f t="shared" si="266"/>
        <v>0</v>
      </c>
      <c r="S182" s="191">
        <f t="shared" si="266"/>
        <v>0</v>
      </c>
      <c r="T182" s="191">
        <f t="shared" si="266"/>
        <v>0</v>
      </c>
      <c r="U182" s="139"/>
      <c r="V182" s="191">
        <f>$M182*V174/(1+Ввод!$M$19)</f>
        <v>0</v>
      </c>
      <c r="W182" s="191">
        <f>$M182*W174/(1+Ввод!$M$19)</f>
        <v>0</v>
      </c>
      <c r="X182" s="191">
        <f>$M182*X174/(1+Ввод!$M$19)</f>
        <v>0</v>
      </c>
      <c r="Y182" s="191">
        <f>$M182*Y174/(1+Ввод!$M$19)</f>
        <v>0</v>
      </c>
      <c r="Z182" s="191">
        <f>$M182*Z174/(1+Ввод!$M$19)</f>
        <v>6147540.9836065574</v>
      </c>
      <c r="AA182" s="191">
        <f>$M182*AA174/(1+Ввод!$M$19)</f>
        <v>0</v>
      </c>
      <c r="AB182" s="191">
        <f>$M182*AB174/(1+Ввод!$M$19)</f>
        <v>0</v>
      </c>
      <c r="AC182" s="191">
        <f>$M182*AC174/(1+Ввод!$M$19)</f>
        <v>6147540.9836065574</v>
      </c>
      <c r="AD182" s="191">
        <f>$M182*AD174/(1+Ввод!$M$19)</f>
        <v>0</v>
      </c>
      <c r="AE182" s="191">
        <f>$M182*AE174/(1+Ввод!$M$19)</f>
        <v>0</v>
      </c>
      <c r="AF182" s="191">
        <f>$M182*AF174/(1+Ввод!$M$19)</f>
        <v>0</v>
      </c>
      <c r="AG182" s="191">
        <f>$M182*AG174/(1+Ввод!$M$19)</f>
        <v>0</v>
      </c>
      <c r="AH182" s="191">
        <f>$M182*AH174/(1+Ввод!$M$19)</f>
        <v>0</v>
      </c>
      <c r="AI182" s="191">
        <f>$M182*AI174/(1+Ввод!$M$19)</f>
        <v>0</v>
      </c>
      <c r="AJ182" s="191">
        <f>$M182*AJ174/(1+Ввод!$M$19)</f>
        <v>0</v>
      </c>
      <c r="AK182" s="191">
        <f>$M182*AK174/(1+Ввод!$M$19)</f>
        <v>0</v>
      </c>
      <c r="AL182" s="191">
        <f>$M182*AL174/(1+Ввод!$M$19)</f>
        <v>0</v>
      </c>
      <c r="AM182" s="191">
        <f>$M182*AM174/(1+Ввод!$M$19)</f>
        <v>0</v>
      </c>
      <c r="AN182" s="191">
        <f>$M182*AN174/(1+Ввод!$M$19)</f>
        <v>0</v>
      </c>
      <c r="AO182" s="191">
        <f>$M182*AO174/(1+Ввод!$M$19)</f>
        <v>0</v>
      </c>
      <c r="AP182" s="191">
        <f>$M182*AP174/(1+Ввод!$M$19)</f>
        <v>0</v>
      </c>
      <c r="AQ182" s="191">
        <f>$M182*AQ174/(1+Ввод!$M$19)</f>
        <v>0</v>
      </c>
      <c r="AR182" s="191">
        <f>$M182*AR174/(1+Ввод!$M$19)</f>
        <v>0</v>
      </c>
      <c r="AS182" s="191">
        <f>$M182*AS174/(1+Ввод!$M$19)</f>
        <v>0</v>
      </c>
      <c r="AT182" s="191">
        <f>$M182*AT174/(1+Ввод!$M$19)</f>
        <v>0</v>
      </c>
      <c r="AU182" s="191">
        <f>$M182*AU174/(1+Ввод!$M$19)</f>
        <v>0</v>
      </c>
      <c r="AV182" s="191">
        <f>$M182*AV174/(1+Ввод!$M$19)</f>
        <v>0</v>
      </c>
      <c r="AW182" s="191">
        <f>$M182*AW174/(1+Ввод!$M$19)</f>
        <v>0</v>
      </c>
      <c r="AX182" s="191">
        <f>$M182*AX174/(1+Ввод!$M$19)</f>
        <v>0</v>
      </c>
      <c r="AY182" s="191">
        <f>$M182*AY174/(1+Ввод!$M$19)</f>
        <v>0</v>
      </c>
      <c r="AZ182" s="191">
        <f>$M182*AZ174/(1+Ввод!$M$19)</f>
        <v>0</v>
      </c>
      <c r="BA182" s="191">
        <f>$M182*BA174/(1+Ввод!$M$19)</f>
        <v>0</v>
      </c>
      <c r="BB182" s="191">
        <f>$M182*BB174/(1+Ввод!$M$19)</f>
        <v>0</v>
      </c>
      <c r="BC182" s="191">
        <f>$M182*BC174/(1+Ввод!$M$19)</f>
        <v>0</v>
      </c>
      <c r="BD182" s="191">
        <f>$M182*BD174/(1+Ввод!$M$19)</f>
        <v>0</v>
      </c>
      <c r="BE182" s="191">
        <f>$M182*BE174/(1+Ввод!$M$19)</f>
        <v>0</v>
      </c>
      <c r="BF182" s="191">
        <f>$M182*BF174/(1+Ввод!$M$19)</f>
        <v>0</v>
      </c>
      <c r="BG182" s="191">
        <f>$M182*BG174/(1+Ввод!$M$19)</f>
        <v>0</v>
      </c>
      <c r="BH182" s="191">
        <f>$M182*BH174/(1+Ввод!$M$19)</f>
        <v>0</v>
      </c>
      <c r="BI182" s="191">
        <f>$M182*BI174/(1+Ввод!$M$19)</f>
        <v>0</v>
      </c>
      <c r="BJ182" s="191">
        <f>$M182*BJ174/(1+Ввод!$M$19)</f>
        <v>0</v>
      </c>
      <c r="BK182" s="191">
        <f>$M182*BK174/(1+Ввод!$M$19)</f>
        <v>0</v>
      </c>
      <c r="BL182" s="191">
        <f>$M182*BL174/(1+Ввод!$M$19)</f>
        <v>0</v>
      </c>
      <c r="BM182" s="191">
        <f>$M182*BM174/(1+Ввод!$M$19)</f>
        <v>0</v>
      </c>
      <c r="BN182" s="191">
        <f>$M182*BN174/(1+Ввод!$M$19)</f>
        <v>0</v>
      </c>
      <c r="BO182" s="191">
        <f>$M182*BO174/(1+Ввод!$M$19)</f>
        <v>0</v>
      </c>
      <c r="BP182" s="191">
        <f>$M182*BP174/(1+Ввод!$M$19)</f>
        <v>0</v>
      </c>
      <c r="BQ182" s="191">
        <f>$M182*BQ174/(1+Ввод!$M$19)</f>
        <v>0</v>
      </c>
      <c r="BR182" s="191">
        <f>$M182*BR174/(1+Ввод!$M$19)</f>
        <v>0</v>
      </c>
      <c r="BS182" s="191">
        <f>$M182*BS174/(1+Ввод!$M$19)</f>
        <v>0</v>
      </c>
      <c r="BT182" s="191">
        <f>$M182*BT174/(1+Ввод!$M$19)</f>
        <v>0</v>
      </c>
      <c r="BU182" s="191">
        <f>$M182*BU174/(1+Ввод!$M$19)</f>
        <v>0</v>
      </c>
      <c r="BV182" s="191">
        <f>$M182*BV174/(1+Ввод!$M$19)</f>
        <v>0</v>
      </c>
      <c r="BW182" s="191">
        <f>$M182*BW174/(1+Ввод!$M$19)</f>
        <v>0</v>
      </c>
      <c r="BX182" s="191">
        <f>$M182*BX174/(1+Ввод!$M$19)</f>
        <v>0</v>
      </c>
      <c r="BY182" s="191">
        <f>$M182*BY174/(1+Ввод!$M$19)</f>
        <v>0</v>
      </c>
      <c r="BZ182" s="191">
        <f>$M182*BZ174/(1+Ввод!$M$19)</f>
        <v>0</v>
      </c>
      <c r="CA182" s="191">
        <f>$M182*CA174/(1+Ввод!$M$19)</f>
        <v>0</v>
      </c>
      <c r="CB182" s="191">
        <f>$M182*CB174/(1+Ввод!$M$19)</f>
        <v>0</v>
      </c>
      <c r="CC182" s="191">
        <f>$M182*CC174/(1+Ввод!$M$19)</f>
        <v>0</v>
      </c>
      <c r="CD182" s="46"/>
      <c r="CE182" s="111"/>
    </row>
    <row r="183" spans="1:83" s="45" customFormat="1" ht="15" customHeight="1" outlineLevel="1" x14ac:dyDescent="0.3">
      <c r="A183" s="111"/>
      <c r="B183" s="30"/>
      <c r="C183" s="110"/>
      <c r="D183" s="167"/>
      <c r="E183" s="152"/>
      <c r="F183" s="152"/>
      <c r="G183" s="152"/>
      <c r="H183" s="152"/>
      <c r="I183" s="31"/>
      <c r="J183" s="31"/>
      <c r="K183" s="31"/>
      <c r="L183" s="31"/>
      <c r="M183" s="228"/>
      <c r="N183" s="191"/>
      <c r="O183" s="139"/>
      <c r="P183" s="191"/>
      <c r="Q183" s="191"/>
      <c r="R183" s="191"/>
      <c r="S183" s="191"/>
      <c r="T183" s="191"/>
      <c r="U183" s="139"/>
      <c r="V183" s="191">
        <f>$M183*V175/(1+Ввод!$M$19)</f>
        <v>0</v>
      </c>
      <c r="W183" s="191">
        <f>$M183*W175/(1+Ввод!$M$19)</f>
        <v>0</v>
      </c>
      <c r="X183" s="191">
        <f>$M183*X175/(1+Ввод!$M$19)</f>
        <v>0</v>
      </c>
      <c r="Y183" s="191">
        <f>$M183*Y175/(1+Ввод!$M$19)</f>
        <v>0</v>
      </c>
      <c r="Z183" s="191">
        <f>$M183*Z175/(1+Ввод!$M$19)</f>
        <v>0</v>
      </c>
      <c r="AA183" s="191">
        <f>$M183*AA175/(1+Ввод!$M$19)</f>
        <v>0</v>
      </c>
      <c r="AB183" s="191">
        <f>$M183*AB175/(1+Ввод!$M$19)</f>
        <v>0</v>
      </c>
      <c r="AC183" s="191">
        <f>$M183*AC175/(1+Ввод!$M$19)</f>
        <v>0</v>
      </c>
      <c r="AD183" s="191">
        <f>$M183*AD175/(1+Ввод!$M$19)</f>
        <v>0</v>
      </c>
      <c r="AE183" s="191">
        <f>$M183*AE175/(1+Ввод!$M$19)</f>
        <v>0</v>
      </c>
      <c r="AF183" s="191">
        <f>$M183*AF175/(1+Ввод!$M$19)</f>
        <v>0</v>
      </c>
      <c r="AG183" s="191">
        <f>$M183*AG175/(1+Ввод!$M$19)</f>
        <v>0</v>
      </c>
      <c r="AH183" s="191">
        <f>$M183*AH175/(1+Ввод!$M$19)</f>
        <v>0</v>
      </c>
      <c r="AI183" s="191">
        <f>$M183*AI175/(1+Ввод!$M$19)</f>
        <v>0</v>
      </c>
      <c r="AJ183" s="191">
        <f>$M183*AJ175/(1+Ввод!$M$19)</f>
        <v>0</v>
      </c>
      <c r="AK183" s="191">
        <f>$M183*AK175/(1+Ввод!$M$19)</f>
        <v>0</v>
      </c>
      <c r="AL183" s="191">
        <f>$M183*AL175/(1+Ввод!$M$19)</f>
        <v>0</v>
      </c>
      <c r="AM183" s="191">
        <f>$M183*AM175/(1+Ввод!$M$19)</f>
        <v>0</v>
      </c>
      <c r="AN183" s="191">
        <f>$M183*AN175/(1+Ввод!$M$19)</f>
        <v>0</v>
      </c>
      <c r="AO183" s="191">
        <f>$M183*AO175/(1+Ввод!$M$19)</f>
        <v>0</v>
      </c>
      <c r="AP183" s="191">
        <f>$M183*AP175/(1+Ввод!$M$19)</f>
        <v>0</v>
      </c>
      <c r="AQ183" s="191">
        <f>$M183*AQ175/(1+Ввод!$M$19)</f>
        <v>0</v>
      </c>
      <c r="AR183" s="191">
        <f>$M183*AR175/(1+Ввод!$M$19)</f>
        <v>0</v>
      </c>
      <c r="AS183" s="191">
        <f>$M183*AS175/(1+Ввод!$M$19)</f>
        <v>0</v>
      </c>
      <c r="AT183" s="191">
        <f>$M183*AT175/(1+Ввод!$M$19)</f>
        <v>0</v>
      </c>
      <c r="AU183" s="191">
        <f>$M183*AU175/(1+Ввод!$M$19)</f>
        <v>0</v>
      </c>
      <c r="AV183" s="191">
        <f>$M183*AV175/(1+Ввод!$M$19)</f>
        <v>0</v>
      </c>
      <c r="AW183" s="191">
        <f>$M183*AW175/(1+Ввод!$M$19)</f>
        <v>0</v>
      </c>
      <c r="AX183" s="191">
        <f>$M183*AX175/(1+Ввод!$M$19)</f>
        <v>0</v>
      </c>
      <c r="AY183" s="191">
        <f>$M183*AY175/(1+Ввод!$M$19)</f>
        <v>0</v>
      </c>
      <c r="AZ183" s="191">
        <f>$M183*AZ175/(1+Ввод!$M$19)</f>
        <v>0</v>
      </c>
      <c r="BA183" s="191">
        <f>$M183*BA175/(1+Ввод!$M$19)</f>
        <v>0</v>
      </c>
      <c r="BB183" s="191">
        <f>$M183*BB175/(1+Ввод!$M$19)</f>
        <v>0</v>
      </c>
      <c r="BC183" s="191">
        <f>$M183*BC175/(1+Ввод!$M$19)</f>
        <v>0</v>
      </c>
      <c r="BD183" s="191">
        <f>$M183*BD175/(1+Ввод!$M$19)</f>
        <v>0</v>
      </c>
      <c r="BE183" s="191">
        <f>$M183*BE175/(1+Ввод!$M$19)</f>
        <v>0</v>
      </c>
      <c r="BF183" s="191">
        <f>$M183*BF175/(1+Ввод!$M$19)</f>
        <v>0</v>
      </c>
      <c r="BG183" s="191">
        <f>$M183*BG175/(1+Ввод!$M$19)</f>
        <v>0</v>
      </c>
      <c r="BH183" s="191">
        <f>$M183*BH175/(1+Ввод!$M$19)</f>
        <v>0</v>
      </c>
      <c r="BI183" s="191">
        <f>$M183*BI175/(1+Ввод!$M$19)</f>
        <v>0</v>
      </c>
      <c r="BJ183" s="191">
        <f>$M183*BJ175/(1+Ввод!$M$19)</f>
        <v>0</v>
      </c>
      <c r="BK183" s="191">
        <f>$M183*BK175/(1+Ввод!$M$19)</f>
        <v>0</v>
      </c>
      <c r="BL183" s="191">
        <f>$M183*BL175/(1+Ввод!$M$19)</f>
        <v>0</v>
      </c>
      <c r="BM183" s="191">
        <f>$M183*BM175/(1+Ввод!$M$19)</f>
        <v>0</v>
      </c>
      <c r="BN183" s="191">
        <f>$M183*BN175/(1+Ввод!$M$19)</f>
        <v>0</v>
      </c>
      <c r="BO183" s="191">
        <f>$M183*BO175/(1+Ввод!$M$19)</f>
        <v>0</v>
      </c>
      <c r="BP183" s="191">
        <f>$M183*BP175/(1+Ввод!$M$19)</f>
        <v>0</v>
      </c>
      <c r="BQ183" s="191">
        <f>$M183*BQ175/(1+Ввод!$M$19)</f>
        <v>0</v>
      </c>
      <c r="BR183" s="191">
        <f>$M183*BR175/(1+Ввод!$M$19)</f>
        <v>0</v>
      </c>
      <c r="BS183" s="191">
        <f>$M183*BS175/(1+Ввод!$M$19)</f>
        <v>0</v>
      </c>
      <c r="BT183" s="191">
        <f>$M183*BT175/(1+Ввод!$M$19)</f>
        <v>0</v>
      </c>
      <c r="BU183" s="191">
        <f>$M183*BU175/(1+Ввод!$M$19)</f>
        <v>0</v>
      </c>
      <c r="BV183" s="191">
        <f>$M183*BV175/(1+Ввод!$M$19)</f>
        <v>0</v>
      </c>
      <c r="BW183" s="191">
        <f>$M183*BW175/(1+Ввод!$M$19)</f>
        <v>0</v>
      </c>
      <c r="BX183" s="191">
        <f>$M183*BX175/(1+Ввод!$M$19)</f>
        <v>0</v>
      </c>
      <c r="BY183" s="191">
        <f>$M183*BY175/(1+Ввод!$M$19)</f>
        <v>0</v>
      </c>
      <c r="BZ183" s="191">
        <f>$M183*BZ175/(1+Ввод!$M$19)</f>
        <v>0</v>
      </c>
      <c r="CA183" s="191">
        <f>$M183*CA175/(1+Ввод!$M$19)</f>
        <v>0</v>
      </c>
      <c r="CB183" s="191">
        <f>$M183*CB175/(1+Ввод!$M$19)</f>
        <v>0</v>
      </c>
      <c r="CC183" s="191">
        <f>$M183*CC175/(1+Ввод!$M$19)</f>
        <v>0</v>
      </c>
      <c r="CD183" s="46"/>
      <c r="CE183" s="111"/>
    </row>
    <row r="184" spans="1:83" s="22" customFormat="1" ht="15" customHeight="1" outlineLevel="1" x14ac:dyDescent="0.3">
      <c r="A184" s="51"/>
      <c r="D184" s="207" t="s">
        <v>57</v>
      </c>
      <c r="E184" s="208"/>
      <c r="F184" s="208"/>
      <c r="G184" s="208"/>
      <c r="H184" s="208"/>
      <c r="I184" s="209" t="str">
        <f>Ввод!$M$12</f>
        <v>руб</v>
      </c>
      <c r="J184" s="209"/>
      <c r="K184" s="209"/>
      <c r="L184" s="209"/>
      <c r="M184" s="230"/>
      <c r="N184" s="230">
        <f>SUM(P184:T184)</f>
        <v>49180327.868852459</v>
      </c>
      <c r="O184" s="139"/>
      <c r="P184" s="230">
        <f t="shared" ref="P184:T184" si="267">SUMIF($V$4:$CC$4,P$4,$V184:$CC184)</f>
        <v>49180327.868852459</v>
      </c>
      <c r="Q184" s="230">
        <f t="shared" si="267"/>
        <v>0</v>
      </c>
      <c r="R184" s="230">
        <f t="shared" si="267"/>
        <v>0</v>
      </c>
      <c r="S184" s="230">
        <f t="shared" si="267"/>
        <v>0</v>
      </c>
      <c r="T184" s="230">
        <f t="shared" si="267"/>
        <v>0</v>
      </c>
      <c r="U184" s="139"/>
      <c r="V184" s="230">
        <f t="shared" ref="V184:BA184" si="268">SUM(V178:V181)</f>
        <v>12295081.967213115</v>
      </c>
      <c r="W184" s="230">
        <f t="shared" si="268"/>
        <v>0</v>
      </c>
      <c r="X184" s="230">
        <f t="shared" si="268"/>
        <v>0</v>
      </c>
      <c r="Y184" s="230">
        <f t="shared" si="268"/>
        <v>8196721.3114754101</v>
      </c>
      <c r="Z184" s="230">
        <f t="shared" si="268"/>
        <v>10245901.639344262</v>
      </c>
      <c r="AA184" s="230">
        <f t="shared" si="268"/>
        <v>0</v>
      </c>
      <c r="AB184" s="230">
        <f t="shared" si="268"/>
        <v>8196721.3114754101</v>
      </c>
      <c r="AC184" s="230">
        <f t="shared" si="268"/>
        <v>10245901.639344262</v>
      </c>
      <c r="AD184" s="230">
        <f t="shared" si="268"/>
        <v>0</v>
      </c>
      <c r="AE184" s="230">
        <f t="shared" si="268"/>
        <v>0</v>
      </c>
      <c r="AF184" s="230">
        <f t="shared" si="268"/>
        <v>0</v>
      </c>
      <c r="AG184" s="230">
        <f t="shared" si="268"/>
        <v>0</v>
      </c>
      <c r="AH184" s="230">
        <f t="shared" si="268"/>
        <v>0</v>
      </c>
      <c r="AI184" s="230">
        <f t="shared" si="268"/>
        <v>0</v>
      </c>
      <c r="AJ184" s="230">
        <f t="shared" si="268"/>
        <v>0</v>
      </c>
      <c r="AK184" s="230">
        <f t="shared" si="268"/>
        <v>0</v>
      </c>
      <c r="AL184" s="230">
        <f t="shared" si="268"/>
        <v>0</v>
      </c>
      <c r="AM184" s="230">
        <f t="shared" si="268"/>
        <v>0</v>
      </c>
      <c r="AN184" s="230">
        <f t="shared" si="268"/>
        <v>0</v>
      </c>
      <c r="AO184" s="230">
        <f t="shared" si="268"/>
        <v>0</v>
      </c>
      <c r="AP184" s="230">
        <f t="shared" si="268"/>
        <v>0</v>
      </c>
      <c r="AQ184" s="230">
        <f t="shared" si="268"/>
        <v>0</v>
      </c>
      <c r="AR184" s="230">
        <f t="shared" si="268"/>
        <v>0</v>
      </c>
      <c r="AS184" s="230">
        <f t="shared" si="268"/>
        <v>0</v>
      </c>
      <c r="AT184" s="230">
        <f t="shared" si="268"/>
        <v>0</v>
      </c>
      <c r="AU184" s="230">
        <f t="shared" si="268"/>
        <v>0</v>
      </c>
      <c r="AV184" s="230">
        <f t="shared" si="268"/>
        <v>0</v>
      </c>
      <c r="AW184" s="230">
        <f t="shared" si="268"/>
        <v>0</v>
      </c>
      <c r="AX184" s="230">
        <f t="shared" si="268"/>
        <v>0</v>
      </c>
      <c r="AY184" s="230">
        <f t="shared" si="268"/>
        <v>0</v>
      </c>
      <c r="AZ184" s="230">
        <f t="shared" si="268"/>
        <v>0</v>
      </c>
      <c r="BA184" s="230">
        <f t="shared" si="268"/>
        <v>0</v>
      </c>
      <c r="BB184" s="230">
        <f t="shared" ref="BB184:CC184" si="269">SUM(BB178:BB181)</f>
        <v>0</v>
      </c>
      <c r="BC184" s="230">
        <f t="shared" si="269"/>
        <v>0</v>
      </c>
      <c r="BD184" s="230">
        <f t="shared" si="269"/>
        <v>0</v>
      </c>
      <c r="BE184" s="230">
        <f t="shared" si="269"/>
        <v>0</v>
      </c>
      <c r="BF184" s="230">
        <f t="shared" si="269"/>
        <v>0</v>
      </c>
      <c r="BG184" s="230">
        <f t="shared" si="269"/>
        <v>0</v>
      </c>
      <c r="BH184" s="230">
        <f t="shared" si="269"/>
        <v>0</v>
      </c>
      <c r="BI184" s="230">
        <f t="shared" si="269"/>
        <v>0</v>
      </c>
      <c r="BJ184" s="230">
        <f t="shared" si="269"/>
        <v>0</v>
      </c>
      <c r="BK184" s="230">
        <f t="shared" si="269"/>
        <v>0</v>
      </c>
      <c r="BL184" s="230">
        <f t="shared" si="269"/>
        <v>0</v>
      </c>
      <c r="BM184" s="230">
        <f t="shared" si="269"/>
        <v>0</v>
      </c>
      <c r="BN184" s="230">
        <f t="shared" si="269"/>
        <v>0</v>
      </c>
      <c r="BO184" s="230">
        <f t="shared" si="269"/>
        <v>0</v>
      </c>
      <c r="BP184" s="230">
        <f t="shared" si="269"/>
        <v>0</v>
      </c>
      <c r="BQ184" s="230">
        <f t="shared" si="269"/>
        <v>0</v>
      </c>
      <c r="BR184" s="230">
        <f t="shared" si="269"/>
        <v>0</v>
      </c>
      <c r="BS184" s="230">
        <f t="shared" si="269"/>
        <v>0</v>
      </c>
      <c r="BT184" s="230">
        <f t="shared" si="269"/>
        <v>0</v>
      </c>
      <c r="BU184" s="230">
        <f t="shared" si="269"/>
        <v>0</v>
      </c>
      <c r="BV184" s="230">
        <f t="shared" si="269"/>
        <v>0</v>
      </c>
      <c r="BW184" s="230">
        <f t="shared" si="269"/>
        <v>0</v>
      </c>
      <c r="BX184" s="230">
        <f t="shared" si="269"/>
        <v>0</v>
      </c>
      <c r="BY184" s="230">
        <f t="shared" si="269"/>
        <v>0</v>
      </c>
      <c r="BZ184" s="230">
        <f t="shared" si="269"/>
        <v>0</v>
      </c>
      <c r="CA184" s="230">
        <f t="shared" si="269"/>
        <v>0</v>
      </c>
      <c r="CB184" s="230">
        <f t="shared" si="269"/>
        <v>0</v>
      </c>
      <c r="CC184" s="230">
        <f t="shared" si="269"/>
        <v>0</v>
      </c>
      <c r="CE184" s="51"/>
    </row>
    <row r="185" spans="1:83" s="45" customFormat="1" ht="15" customHeight="1" outlineLevel="1" x14ac:dyDescent="0.3">
      <c r="A185" s="111"/>
      <c r="B185" s="30"/>
      <c r="C185" s="110"/>
      <c r="D185" s="134"/>
      <c r="E185" s="28"/>
      <c r="F185" s="28"/>
      <c r="G185" s="28"/>
      <c r="H185" s="28"/>
      <c r="I185" s="6"/>
      <c r="J185" s="6"/>
      <c r="K185" s="6"/>
      <c r="L185" s="6"/>
      <c r="M185" s="49"/>
      <c r="N185" s="5"/>
      <c r="O185" s="97"/>
      <c r="P185" s="5"/>
      <c r="Q185" s="5"/>
      <c r="R185" s="5"/>
      <c r="S185" s="5"/>
      <c r="T185" s="5"/>
      <c r="U185" s="97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46"/>
      <c r="AY185" s="46"/>
      <c r="AZ185" s="46"/>
      <c r="BA185" s="46"/>
      <c r="BB185" s="46"/>
      <c r="BC185" s="46"/>
      <c r="BD185" s="46"/>
      <c r="BE185" s="46"/>
      <c r="BF185" s="46"/>
      <c r="BG185" s="46"/>
      <c r="BH185" s="46"/>
      <c r="BI185" s="46"/>
      <c r="BJ185" s="46"/>
      <c r="BK185" s="46"/>
      <c r="BL185" s="46"/>
      <c r="BM185" s="46"/>
      <c r="BN185" s="46"/>
      <c r="BO185" s="46"/>
      <c r="BP185" s="46"/>
      <c r="BQ185" s="46"/>
      <c r="BR185" s="46"/>
      <c r="BS185" s="46"/>
      <c r="BT185" s="46"/>
      <c r="BU185" s="46"/>
      <c r="BV185" s="46"/>
      <c r="BW185" s="46"/>
      <c r="BX185" s="46"/>
      <c r="BY185" s="46"/>
      <c r="BZ185" s="46"/>
      <c r="CA185" s="46"/>
      <c r="CB185" s="46"/>
      <c r="CC185" s="46"/>
      <c r="CD185" s="46"/>
      <c r="CE185" s="111"/>
    </row>
    <row r="186" spans="1:83" s="45" customFormat="1" ht="15" customHeight="1" outlineLevel="1" x14ac:dyDescent="0.3">
      <c r="A186" s="111"/>
      <c r="B186" s="30"/>
      <c r="C186" s="110"/>
      <c r="D186" s="134" t="s">
        <v>74</v>
      </c>
      <c r="E186" s="28"/>
      <c r="F186" s="28"/>
      <c r="G186" s="28"/>
      <c r="H186" s="28"/>
      <c r="I186" s="6"/>
      <c r="J186" s="6"/>
      <c r="K186" s="6"/>
      <c r="L186" s="6"/>
      <c r="M186" s="68" t="s">
        <v>75</v>
      </c>
      <c r="N186" s="5"/>
      <c r="O186" s="97"/>
      <c r="P186" s="5"/>
      <c r="Q186" s="5"/>
      <c r="R186" s="5"/>
      <c r="S186" s="5"/>
      <c r="T186" s="5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97"/>
      <c r="AH186" s="97"/>
      <c r="AI186" s="97"/>
      <c r="AJ186" s="97"/>
      <c r="AK186" s="97"/>
      <c r="AL186" s="97"/>
      <c r="AM186" s="97"/>
      <c r="AN186" s="97"/>
      <c r="AO186" s="97"/>
      <c r="AP186" s="97"/>
      <c r="AQ186" s="97"/>
      <c r="AR186" s="97"/>
      <c r="AS186" s="97"/>
      <c r="AT186" s="97"/>
      <c r="AU186" s="97"/>
      <c r="AV186" s="97"/>
      <c r="AW186" s="97"/>
      <c r="AX186" s="97"/>
      <c r="AY186" s="97"/>
      <c r="AZ186" s="97"/>
      <c r="BA186" s="97"/>
      <c r="BB186" s="97"/>
      <c r="BC186" s="97"/>
      <c r="BD186" s="97"/>
      <c r="BE186" s="97"/>
      <c r="BF186" s="97"/>
      <c r="BG186" s="97"/>
      <c r="BH186" s="97"/>
      <c r="BI186" s="97"/>
      <c r="BJ186" s="97"/>
      <c r="BK186" s="97"/>
      <c r="BL186" s="97"/>
      <c r="BM186" s="97"/>
      <c r="BN186" s="97"/>
      <c r="BO186" s="97"/>
      <c r="BP186" s="97"/>
      <c r="BQ186" s="97"/>
      <c r="BR186" s="97"/>
      <c r="BS186" s="97"/>
      <c r="BT186" s="97"/>
      <c r="BU186" s="97"/>
      <c r="BV186" s="97"/>
      <c r="BW186" s="97"/>
      <c r="BX186" s="97"/>
      <c r="BY186" s="97"/>
      <c r="BZ186" s="97"/>
      <c r="CA186" s="97"/>
      <c r="CB186" s="97"/>
      <c r="CC186" s="97"/>
      <c r="CD186" s="110"/>
      <c r="CE186" s="111"/>
    </row>
    <row r="187" spans="1:83" s="45" customFormat="1" ht="15" customHeight="1" outlineLevel="1" x14ac:dyDescent="0.3">
      <c r="A187" s="111"/>
      <c r="B187" s="30"/>
      <c r="C187" s="110"/>
      <c r="D187" s="166" t="str">
        <f>D170</f>
        <v>Покупка земельного участка</v>
      </c>
      <c r="E187" s="114"/>
      <c r="F187" s="114"/>
      <c r="G187" s="114"/>
      <c r="H187" s="114"/>
      <c r="I187" s="31" t="str">
        <f>Ввод!$M$12</f>
        <v>руб</v>
      </c>
      <c r="J187" s="31"/>
      <c r="K187" s="31"/>
      <c r="L187" s="31"/>
      <c r="M187" s="95">
        <v>0</v>
      </c>
      <c r="N187" s="191">
        <f t="shared" ref="N187:N191" ca="1" si="270">SUM(P187:T187)</f>
        <v>0</v>
      </c>
      <c r="O187" s="139"/>
      <c r="P187" s="191">
        <f t="shared" ref="P187:T191" ca="1" si="271">SUMIF($V$4:$CC$4,P$4,$V187:$CC187)</f>
        <v>0</v>
      </c>
      <c r="Q187" s="191">
        <f t="shared" ca="1" si="271"/>
        <v>0</v>
      </c>
      <c r="R187" s="191">
        <f t="shared" ca="1" si="271"/>
        <v>0</v>
      </c>
      <c r="S187" s="191">
        <f t="shared" ca="1" si="271"/>
        <v>0</v>
      </c>
      <c r="T187" s="191">
        <f t="shared" ca="1" si="271"/>
        <v>0</v>
      </c>
      <c r="U187" s="139"/>
      <c r="V187" s="191">
        <f ca="1">IFERROR(SUM(OFFSET(V178,0,-MIN($M187-1,V$5-$V$5)):V178)/$M187,0)*-1</f>
        <v>0</v>
      </c>
      <c r="W187" s="191">
        <f ca="1">IFERROR(SUM(OFFSET(W178,0,-MIN($M187-1,W$5-$V$5)):W178)/$M187,0)*-1</f>
        <v>0</v>
      </c>
      <c r="X187" s="191">
        <f ca="1">IFERROR(SUM(OFFSET(X178,0,-MIN($M187-1,X$5-$V$5)):X178)/$M187,0)*-1</f>
        <v>0</v>
      </c>
      <c r="Y187" s="191">
        <f ca="1">IFERROR(SUM(OFFSET(Y178,0,-MIN($M187-1,Y$5-$V$5)):Y178)/$M187,0)*-1</f>
        <v>0</v>
      </c>
      <c r="Z187" s="191">
        <f ca="1">IFERROR(SUM(OFFSET(Z178,0,-MIN($M187-1,Z$5-$V$5)):Z178)/$M187,0)*-1</f>
        <v>0</v>
      </c>
      <c r="AA187" s="191">
        <f ca="1">IFERROR(SUM(OFFSET(AA178,0,-MIN($M187-1,AA$5-$V$5)):AA178)/$M187,0)*-1</f>
        <v>0</v>
      </c>
      <c r="AB187" s="191">
        <f ca="1">IFERROR(SUM(OFFSET(AB178,0,-MIN($M187-1,AB$5-$V$5)):AB178)/$M187,0)*-1</f>
        <v>0</v>
      </c>
      <c r="AC187" s="191">
        <f ca="1">IFERROR(SUM(OFFSET(AC178,0,-MIN($M187-1,AC$5-$V$5)):AC178)/$M187,0)*-1</f>
        <v>0</v>
      </c>
      <c r="AD187" s="191">
        <f ca="1">IFERROR(SUM(OFFSET(AD178,0,-MIN($M187-1,AD$5-$V$5)):AD178)/$M187,0)*-1</f>
        <v>0</v>
      </c>
      <c r="AE187" s="191">
        <f ca="1">IFERROR(SUM(OFFSET(AE178,0,-MIN($M187-1,AE$5-$V$5)):AE178)/$M187,0)*-1</f>
        <v>0</v>
      </c>
      <c r="AF187" s="191">
        <f ca="1">IFERROR(SUM(OFFSET(AF178,0,-MIN($M187-1,AF$5-$V$5)):AF178)/$M187,0)*-1</f>
        <v>0</v>
      </c>
      <c r="AG187" s="191">
        <f ca="1">IFERROR(SUM(OFFSET(AG178,0,-MIN($M187-1,AG$5-$V$5)):AG178)/$M187,0)*-1</f>
        <v>0</v>
      </c>
      <c r="AH187" s="191">
        <f ca="1">IFERROR(SUM(OFFSET(AH178,0,-MIN($M187-1,AH$5-$V$5)):AH178)/$M187,0)*-1</f>
        <v>0</v>
      </c>
      <c r="AI187" s="191">
        <f ca="1">IFERROR(SUM(OFFSET(AI178,0,-MIN($M187-1,AI$5-$V$5)):AI178)/$M187,0)*-1</f>
        <v>0</v>
      </c>
      <c r="AJ187" s="191">
        <f ca="1">IFERROR(SUM(OFFSET(AJ178,0,-MIN($M187-1,AJ$5-$V$5)):AJ178)/$M187,0)*-1</f>
        <v>0</v>
      </c>
      <c r="AK187" s="191">
        <f ca="1">IFERROR(SUM(OFFSET(AK178,0,-MIN($M187-1,AK$5-$V$5)):AK178)/$M187,0)*-1</f>
        <v>0</v>
      </c>
      <c r="AL187" s="191">
        <f ca="1">IFERROR(SUM(OFFSET(AL178,0,-MIN($M187-1,AL$5-$V$5)):AL178)/$M187,0)*-1</f>
        <v>0</v>
      </c>
      <c r="AM187" s="191">
        <f ca="1">IFERROR(SUM(OFFSET(AM178,0,-MIN($M187-1,AM$5-$V$5)):AM178)/$M187,0)*-1</f>
        <v>0</v>
      </c>
      <c r="AN187" s="191">
        <f ca="1">IFERROR(SUM(OFFSET(AN178,0,-MIN($M187-1,AN$5-$V$5)):AN178)/$M187,0)*-1</f>
        <v>0</v>
      </c>
      <c r="AO187" s="191">
        <f ca="1">IFERROR(SUM(OFFSET(AO178,0,-MIN($M187-1,AO$5-$V$5)):AO178)/$M187,0)*-1</f>
        <v>0</v>
      </c>
      <c r="AP187" s="191">
        <f ca="1">IFERROR(SUM(OFFSET(AP178,0,-MIN($M187-1,AP$5-$V$5)):AP178)/$M187,0)*-1</f>
        <v>0</v>
      </c>
      <c r="AQ187" s="191">
        <f ca="1">IFERROR(SUM(OFFSET(AQ178,0,-MIN($M187-1,AQ$5-$V$5)):AQ178)/$M187,0)*-1</f>
        <v>0</v>
      </c>
      <c r="AR187" s="191">
        <f ca="1">IFERROR(SUM(OFFSET(AR178,0,-MIN($M187-1,AR$5-$V$5)):AR178)/$M187,0)*-1</f>
        <v>0</v>
      </c>
      <c r="AS187" s="191">
        <f ca="1">IFERROR(SUM(OFFSET(AS178,0,-MIN($M187-1,AS$5-$V$5)):AS178)/$M187,0)*-1</f>
        <v>0</v>
      </c>
      <c r="AT187" s="191">
        <f ca="1">IFERROR(SUM(OFFSET(AT178,0,-MIN($M187-1,AT$5-$V$5)):AT178)/$M187,0)*-1</f>
        <v>0</v>
      </c>
      <c r="AU187" s="191">
        <f ca="1">IFERROR(SUM(OFFSET(AU178,0,-MIN($M187-1,AU$5-$V$5)):AU178)/$M187,0)*-1</f>
        <v>0</v>
      </c>
      <c r="AV187" s="191">
        <f ca="1">IFERROR(SUM(OFFSET(AV178,0,-MIN($M187-1,AV$5-$V$5)):AV178)/$M187,0)*-1</f>
        <v>0</v>
      </c>
      <c r="AW187" s="191">
        <f ca="1">IFERROR(SUM(OFFSET(AW178,0,-MIN($M187-1,AW$5-$V$5)):AW178)/$M187,0)*-1</f>
        <v>0</v>
      </c>
      <c r="AX187" s="191">
        <f ca="1">IFERROR(SUM(OFFSET(AX178,0,-MIN($M187-1,AX$5-$V$5)):AX178)/$M187,0)*-1</f>
        <v>0</v>
      </c>
      <c r="AY187" s="191">
        <f ca="1">IFERROR(SUM(OFFSET(AY178,0,-MIN($M187-1,AY$5-$V$5)):AY178)/$M187,0)*-1</f>
        <v>0</v>
      </c>
      <c r="AZ187" s="191">
        <f ca="1">IFERROR(SUM(OFFSET(AZ178,0,-MIN($M187-1,AZ$5-$V$5)):AZ178)/$M187,0)*-1</f>
        <v>0</v>
      </c>
      <c r="BA187" s="191">
        <f ca="1">IFERROR(SUM(OFFSET(BA178,0,-MIN($M187-1,BA$5-$V$5)):BA178)/$M187,0)*-1</f>
        <v>0</v>
      </c>
      <c r="BB187" s="191">
        <f ca="1">IFERROR(SUM(OFFSET(BB178,0,-MIN($M187-1,BB$5-$V$5)):BB178)/$M187,0)*-1</f>
        <v>0</v>
      </c>
      <c r="BC187" s="191">
        <f ca="1">IFERROR(SUM(OFFSET(BC178,0,-MIN($M187-1,BC$5-$V$5)):BC178)/$M187,0)*-1</f>
        <v>0</v>
      </c>
      <c r="BD187" s="191">
        <f ca="1">IFERROR(SUM(OFFSET(BD178,0,-MIN($M187-1,BD$5-$V$5)):BD178)/$M187,0)*-1</f>
        <v>0</v>
      </c>
      <c r="BE187" s="191">
        <f ca="1">IFERROR(SUM(OFFSET(BE178,0,-MIN($M187-1,BE$5-$V$5)):BE178)/$M187,0)*-1</f>
        <v>0</v>
      </c>
      <c r="BF187" s="191">
        <f ca="1">IFERROR(SUM(OFFSET(BF178,0,-MIN($M187-1,BF$5-$V$5)):BF178)/$M187,0)*-1</f>
        <v>0</v>
      </c>
      <c r="BG187" s="191">
        <f ca="1">IFERROR(SUM(OFFSET(BG178,0,-MIN($M187-1,BG$5-$V$5)):BG178)/$M187,0)*-1</f>
        <v>0</v>
      </c>
      <c r="BH187" s="191">
        <f ca="1">IFERROR(SUM(OFFSET(BH178,0,-MIN($M187-1,BH$5-$V$5)):BH178)/$M187,0)*-1</f>
        <v>0</v>
      </c>
      <c r="BI187" s="191">
        <f ca="1">IFERROR(SUM(OFFSET(BI178,0,-MIN($M187-1,BI$5-$V$5)):BI178)/$M187,0)*-1</f>
        <v>0</v>
      </c>
      <c r="BJ187" s="191">
        <f ca="1">IFERROR(SUM(OFFSET(BJ178,0,-MIN($M187-1,BJ$5-$V$5)):BJ178)/$M187,0)*-1</f>
        <v>0</v>
      </c>
      <c r="BK187" s="191">
        <f ca="1">IFERROR(SUM(OFFSET(BK178,0,-MIN($M187-1,BK$5-$V$5)):BK178)/$M187,0)*-1</f>
        <v>0</v>
      </c>
      <c r="BL187" s="191">
        <f ca="1">IFERROR(SUM(OFFSET(BL178,0,-MIN($M187-1,BL$5-$V$5)):BL178)/$M187,0)*-1</f>
        <v>0</v>
      </c>
      <c r="BM187" s="191">
        <f ca="1">IFERROR(SUM(OFFSET(BM178,0,-MIN($M187-1,BM$5-$V$5)):BM178)/$M187,0)*-1</f>
        <v>0</v>
      </c>
      <c r="BN187" s="191">
        <f ca="1">IFERROR(SUM(OFFSET(BN178,0,-MIN($M187-1,BN$5-$V$5)):BN178)/$M187,0)*-1</f>
        <v>0</v>
      </c>
      <c r="BO187" s="191">
        <f ca="1">IFERROR(SUM(OFFSET(BO178,0,-MIN($M187-1,BO$5-$V$5)):BO178)/$M187,0)*-1</f>
        <v>0</v>
      </c>
      <c r="BP187" s="191">
        <f ca="1">IFERROR(SUM(OFFSET(BP178,0,-MIN($M187-1,BP$5-$V$5)):BP178)/$M187,0)*-1</f>
        <v>0</v>
      </c>
      <c r="BQ187" s="191">
        <f ca="1">IFERROR(SUM(OFFSET(BQ178,0,-MIN($M187-1,BQ$5-$V$5)):BQ178)/$M187,0)*-1</f>
        <v>0</v>
      </c>
      <c r="BR187" s="191">
        <f ca="1">IFERROR(SUM(OFFSET(BR178,0,-MIN($M187-1,BR$5-$V$5)):BR178)/$M187,0)*-1</f>
        <v>0</v>
      </c>
      <c r="BS187" s="191">
        <f ca="1">IFERROR(SUM(OFFSET(BS178,0,-MIN($M187-1,BS$5-$V$5)):BS178)/$M187,0)*-1</f>
        <v>0</v>
      </c>
      <c r="BT187" s="191">
        <f ca="1">IFERROR(SUM(OFFSET(BT178,0,-MIN($M187-1,BT$5-$V$5)):BT178)/$M187,0)*-1</f>
        <v>0</v>
      </c>
      <c r="BU187" s="191">
        <f ca="1">IFERROR(SUM(OFFSET(BU178,0,-MIN($M187-1,BU$5-$V$5)):BU178)/$M187,0)*-1</f>
        <v>0</v>
      </c>
      <c r="BV187" s="191">
        <f ca="1">IFERROR(SUM(OFFSET(BV178,0,-MIN($M187-1,BV$5-$V$5)):BV178)/$M187,0)*-1</f>
        <v>0</v>
      </c>
      <c r="BW187" s="191">
        <f ca="1">IFERROR(SUM(OFFSET(BW178,0,-MIN($M187-1,BW$5-$V$5)):BW178)/$M187,0)*-1</f>
        <v>0</v>
      </c>
      <c r="BX187" s="191">
        <f ca="1">IFERROR(SUM(OFFSET(BX178,0,-MIN($M187-1,BX$5-$V$5)):BX178)/$M187,0)*-1</f>
        <v>0</v>
      </c>
      <c r="BY187" s="191">
        <f ca="1">IFERROR(SUM(OFFSET(BY178,0,-MIN($M187-1,BY$5-$V$5)):BY178)/$M187,0)*-1</f>
        <v>0</v>
      </c>
      <c r="BZ187" s="191">
        <f ca="1">IFERROR(SUM(OFFSET(BZ178,0,-MIN($M187-1,BZ$5-$V$5)):BZ178)/$M187,0)*-1</f>
        <v>0</v>
      </c>
      <c r="CA187" s="191">
        <f ca="1">IFERROR(SUM(OFFSET(CA178,0,-MIN($M187-1,CA$5-$V$5)):CA178)/$M187,0)*-1</f>
        <v>0</v>
      </c>
      <c r="CB187" s="191">
        <f ca="1">IFERROR(SUM(OFFSET(CB178,0,-MIN($M187-1,CB$5-$V$5)):CB178)/$M187,0)*-1</f>
        <v>0</v>
      </c>
      <c r="CC187" s="191">
        <f ca="1">IFERROR(SUM(OFFSET(CC178,0,-MIN($M187-1,CC$5-$V$5)):CC178)/$M187,0)*-1</f>
        <v>0</v>
      </c>
      <c r="CD187" s="110"/>
      <c r="CE187" s="111"/>
    </row>
    <row r="188" spans="1:83" s="45" customFormat="1" ht="15" customHeight="1" outlineLevel="1" x14ac:dyDescent="0.3">
      <c r="A188" s="111"/>
      <c r="B188" s="30"/>
      <c r="C188" s="110"/>
      <c r="D188" s="166" t="str">
        <f>D171</f>
        <v>Первая очередь цех</v>
      </c>
      <c r="E188" s="114"/>
      <c r="F188" s="114"/>
      <c r="G188" s="114"/>
      <c r="H188" s="114"/>
      <c r="I188" s="31" t="str">
        <f>Ввод!$M$12</f>
        <v>руб</v>
      </c>
      <c r="J188" s="31"/>
      <c r="K188" s="31"/>
      <c r="L188" s="31"/>
      <c r="M188" s="95">
        <v>120</v>
      </c>
      <c r="N188" s="191">
        <f t="shared" ca="1" si="270"/>
        <v>-3893442.6229508203</v>
      </c>
      <c r="O188" s="139"/>
      <c r="P188" s="191">
        <f t="shared" ca="1" si="271"/>
        <v>-614754.09836065583</v>
      </c>
      <c r="Q188" s="191">
        <f t="shared" ca="1" si="271"/>
        <v>-819672.13114754122</v>
      </c>
      <c r="R188" s="191">
        <f t="shared" ca="1" si="271"/>
        <v>-819672.13114754122</v>
      </c>
      <c r="S188" s="191">
        <f t="shared" ca="1" si="271"/>
        <v>-819672.13114754122</v>
      </c>
      <c r="T188" s="191">
        <f t="shared" ca="1" si="271"/>
        <v>-819672.13114754122</v>
      </c>
      <c r="U188" s="139"/>
      <c r="V188" s="191">
        <f ca="1">IFERROR(SUM(OFFSET(V179,0,-MIN($M188-1,V$5-$V$5)):V179)/$M188,0)*-1</f>
        <v>0</v>
      </c>
      <c r="W188" s="191">
        <f ca="1">IFERROR(SUM(OFFSET(W179,0,-MIN($M188-1,W$5-$V$5)):W179)/$M188,0)*-1</f>
        <v>0</v>
      </c>
      <c r="X188" s="191">
        <f ca="1">IFERROR(SUM(OFFSET(X179,0,-MIN($M188-1,X$5-$V$5)):X179)/$M188,0)*-1</f>
        <v>0</v>
      </c>
      <c r="Y188" s="191">
        <f ca="1">IFERROR(SUM(OFFSET(Y179,0,-MIN($M188-1,Y$5-$V$5)):Y179)/$M188,0)*-1</f>
        <v>-68306.010928961754</v>
      </c>
      <c r="Z188" s="191">
        <f ca="1">IFERROR(SUM(OFFSET(Z179,0,-MIN($M188-1,Z$5-$V$5)):Z179)/$M188,0)*-1</f>
        <v>-68306.010928961754</v>
      </c>
      <c r="AA188" s="191">
        <f ca="1">IFERROR(SUM(OFFSET(AA179,0,-MIN($M188-1,AA$5-$V$5)):AA179)/$M188,0)*-1</f>
        <v>-68306.010928961754</v>
      </c>
      <c r="AB188" s="191">
        <f ca="1">IFERROR(SUM(OFFSET(AB179,0,-MIN($M188-1,AB$5-$V$5)):AB179)/$M188,0)*-1</f>
        <v>-68306.010928961754</v>
      </c>
      <c r="AC188" s="191">
        <f ca="1">IFERROR(SUM(OFFSET(AC179,0,-MIN($M188-1,AC$5-$V$5)):AC179)/$M188,0)*-1</f>
        <v>-68306.010928961754</v>
      </c>
      <c r="AD188" s="191">
        <f ca="1">IFERROR(SUM(OFFSET(AD179,0,-MIN($M188-1,AD$5-$V$5)):AD179)/$M188,0)*-1</f>
        <v>-68306.010928961754</v>
      </c>
      <c r="AE188" s="191">
        <f ca="1">IFERROR(SUM(OFFSET(AE179,0,-MIN($M188-1,AE$5-$V$5)):AE179)/$M188,0)*-1</f>
        <v>-68306.010928961754</v>
      </c>
      <c r="AF188" s="191">
        <f ca="1">IFERROR(SUM(OFFSET(AF179,0,-MIN($M188-1,AF$5-$V$5)):AF179)/$M188,0)*-1</f>
        <v>-68306.010928961754</v>
      </c>
      <c r="AG188" s="191">
        <f ca="1">IFERROR(SUM(OFFSET(AG179,0,-MIN($M188-1,AG$5-$V$5)):AG179)/$M188,0)*-1</f>
        <v>-68306.010928961754</v>
      </c>
      <c r="AH188" s="191">
        <f ca="1">IFERROR(SUM(OFFSET(AH179,0,-MIN($M188-1,AH$5-$V$5)):AH179)/$M188,0)*-1</f>
        <v>-68306.010928961754</v>
      </c>
      <c r="AI188" s="191">
        <f ca="1">IFERROR(SUM(OFFSET(AI179,0,-MIN($M188-1,AI$5-$V$5)):AI179)/$M188,0)*-1</f>
        <v>-68306.010928961754</v>
      </c>
      <c r="AJ188" s="191">
        <f ca="1">IFERROR(SUM(OFFSET(AJ179,0,-MIN($M188-1,AJ$5-$V$5)):AJ179)/$M188,0)*-1</f>
        <v>-68306.010928961754</v>
      </c>
      <c r="AK188" s="191">
        <f ca="1">IFERROR(SUM(OFFSET(AK179,0,-MIN($M188-1,AK$5-$V$5)):AK179)/$M188,0)*-1</f>
        <v>-68306.010928961754</v>
      </c>
      <c r="AL188" s="191">
        <f ca="1">IFERROR(SUM(OFFSET(AL179,0,-MIN($M188-1,AL$5-$V$5)):AL179)/$M188,0)*-1</f>
        <v>-68306.010928961754</v>
      </c>
      <c r="AM188" s="191">
        <f ca="1">IFERROR(SUM(OFFSET(AM179,0,-MIN($M188-1,AM$5-$V$5)):AM179)/$M188,0)*-1</f>
        <v>-68306.010928961754</v>
      </c>
      <c r="AN188" s="191">
        <f ca="1">IFERROR(SUM(OFFSET(AN179,0,-MIN($M188-1,AN$5-$V$5)):AN179)/$M188,0)*-1</f>
        <v>-68306.010928961754</v>
      </c>
      <c r="AO188" s="191">
        <f ca="1">IFERROR(SUM(OFFSET(AO179,0,-MIN($M188-1,AO$5-$V$5)):AO179)/$M188,0)*-1</f>
        <v>-68306.010928961754</v>
      </c>
      <c r="AP188" s="191">
        <f ca="1">IFERROR(SUM(OFFSET(AP179,0,-MIN($M188-1,AP$5-$V$5)):AP179)/$M188,0)*-1</f>
        <v>-68306.010928961754</v>
      </c>
      <c r="AQ188" s="191">
        <f ca="1">IFERROR(SUM(OFFSET(AQ179,0,-MIN($M188-1,AQ$5-$V$5)):AQ179)/$M188,0)*-1</f>
        <v>-68306.010928961754</v>
      </c>
      <c r="AR188" s="191">
        <f ca="1">IFERROR(SUM(OFFSET(AR179,0,-MIN($M188-1,AR$5-$V$5)):AR179)/$M188,0)*-1</f>
        <v>-68306.010928961754</v>
      </c>
      <c r="AS188" s="191">
        <f ca="1">IFERROR(SUM(OFFSET(AS179,0,-MIN($M188-1,AS$5-$V$5)):AS179)/$M188,0)*-1</f>
        <v>-68306.010928961754</v>
      </c>
      <c r="AT188" s="191">
        <f ca="1">IFERROR(SUM(OFFSET(AT179,0,-MIN($M188-1,AT$5-$V$5)):AT179)/$M188,0)*-1</f>
        <v>-68306.010928961754</v>
      </c>
      <c r="AU188" s="191">
        <f ca="1">IFERROR(SUM(OFFSET(AU179,0,-MIN($M188-1,AU$5-$V$5)):AU179)/$M188,0)*-1</f>
        <v>-68306.010928961754</v>
      </c>
      <c r="AV188" s="191">
        <f ca="1">IFERROR(SUM(OFFSET(AV179,0,-MIN($M188-1,AV$5-$V$5)):AV179)/$M188,0)*-1</f>
        <v>-68306.010928961754</v>
      </c>
      <c r="AW188" s="191">
        <f ca="1">IFERROR(SUM(OFFSET(AW179,0,-MIN($M188-1,AW$5-$V$5)):AW179)/$M188,0)*-1</f>
        <v>-68306.010928961754</v>
      </c>
      <c r="AX188" s="191">
        <f ca="1">IFERROR(SUM(OFFSET(AX179,0,-MIN($M188-1,AX$5-$V$5)):AX179)/$M188,0)*-1</f>
        <v>-68306.010928961754</v>
      </c>
      <c r="AY188" s="191">
        <f ca="1">IFERROR(SUM(OFFSET(AY179,0,-MIN($M188-1,AY$5-$V$5)):AY179)/$M188,0)*-1</f>
        <v>-68306.010928961754</v>
      </c>
      <c r="AZ188" s="191">
        <f ca="1">IFERROR(SUM(OFFSET(AZ179,0,-MIN($M188-1,AZ$5-$V$5)):AZ179)/$M188,0)*-1</f>
        <v>-68306.010928961754</v>
      </c>
      <c r="BA188" s="191">
        <f ca="1">IFERROR(SUM(OFFSET(BA179,0,-MIN($M188-1,BA$5-$V$5)):BA179)/$M188,0)*-1</f>
        <v>-68306.010928961754</v>
      </c>
      <c r="BB188" s="191">
        <f ca="1">IFERROR(SUM(OFFSET(BB179,0,-MIN($M188-1,BB$5-$V$5)):BB179)/$M188,0)*-1</f>
        <v>-68306.010928961754</v>
      </c>
      <c r="BC188" s="191">
        <f ca="1">IFERROR(SUM(OFFSET(BC179,0,-MIN($M188-1,BC$5-$V$5)):BC179)/$M188,0)*-1</f>
        <v>-68306.010928961754</v>
      </c>
      <c r="BD188" s="191">
        <f ca="1">IFERROR(SUM(OFFSET(BD179,0,-MIN($M188-1,BD$5-$V$5)):BD179)/$M188,0)*-1</f>
        <v>-68306.010928961754</v>
      </c>
      <c r="BE188" s="191">
        <f ca="1">IFERROR(SUM(OFFSET(BE179,0,-MIN($M188-1,BE$5-$V$5)):BE179)/$M188,0)*-1</f>
        <v>-68306.010928961754</v>
      </c>
      <c r="BF188" s="191">
        <f ca="1">IFERROR(SUM(OFFSET(BF179,0,-MIN($M188-1,BF$5-$V$5)):BF179)/$M188,0)*-1</f>
        <v>-68306.010928961754</v>
      </c>
      <c r="BG188" s="191">
        <f ca="1">IFERROR(SUM(OFFSET(BG179,0,-MIN($M188-1,BG$5-$V$5)):BG179)/$M188,0)*-1</f>
        <v>-68306.010928961754</v>
      </c>
      <c r="BH188" s="191">
        <f ca="1">IFERROR(SUM(OFFSET(BH179,0,-MIN($M188-1,BH$5-$V$5)):BH179)/$M188,0)*-1</f>
        <v>-68306.010928961754</v>
      </c>
      <c r="BI188" s="191">
        <f ca="1">IFERROR(SUM(OFFSET(BI179,0,-MIN($M188-1,BI$5-$V$5)):BI179)/$M188,0)*-1</f>
        <v>-68306.010928961754</v>
      </c>
      <c r="BJ188" s="191">
        <f ca="1">IFERROR(SUM(OFFSET(BJ179,0,-MIN($M188-1,BJ$5-$V$5)):BJ179)/$M188,0)*-1</f>
        <v>-68306.010928961754</v>
      </c>
      <c r="BK188" s="191">
        <f ca="1">IFERROR(SUM(OFFSET(BK179,0,-MIN($M188-1,BK$5-$V$5)):BK179)/$M188,0)*-1</f>
        <v>-68306.010928961754</v>
      </c>
      <c r="BL188" s="191">
        <f ca="1">IFERROR(SUM(OFFSET(BL179,0,-MIN($M188-1,BL$5-$V$5)):BL179)/$M188,0)*-1</f>
        <v>-68306.010928961754</v>
      </c>
      <c r="BM188" s="191">
        <f ca="1">IFERROR(SUM(OFFSET(BM179,0,-MIN($M188-1,BM$5-$V$5)):BM179)/$M188,0)*-1</f>
        <v>-68306.010928961754</v>
      </c>
      <c r="BN188" s="191">
        <f ca="1">IFERROR(SUM(OFFSET(BN179,0,-MIN($M188-1,BN$5-$V$5)):BN179)/$M188,0)*-1</f>
        <v>-68306.010928961754</v>
      </c>
      <c r="BO188" s="191">
        <f ca="1">IFERROR(SUM(OFFSET(BO179,0,-MIN($M188-1,BO$5-$V$5)):BO179)/$M188,0)*-1</f>
        <v>-68306.010928961754</v>
      </c>
      <c r="BP188" s="191">
        <f ca="1">IFERROR(SUM(OFFSET(BP179,0,-MIN($M188-1,BP$5-$V$5)):BP179)/$M188,0)*-1</f>
        <v>-68306.010928961754</v>
      </c>
      <c r="BQ188" s="191">
        <f ca="1">IFERROR(SUM(OFFSET(BQ179,0,-MIN($M188-1,BQ$5-$V$5)):BQ179)/$M188,0)*-1</f>
        <v>-68306.010928961754</v>
      </c>
      <c r="BR188" s="191">
        <f ca="1">IFERROR(SUM(OFFSET(BR179,0,-MIN($M188-1,BR$5-$V$5)):BR179)/$M188,0)*-1</f>
        <v>-68306.010928961754</v>
      </c>
      <c r="BS188" s="191">
        <f ca="1">IFERROR(SUM(OFFSET(BS179,0,-MIN($M188-1,BS$5-$V$5)):BS179)/$M188,0)*-1</f>
        <v>-68306.010928961754</v>
      </c>
      <c r="BT188" s="191">
        <f ca="1">IFERROR(SUM(OFFSET(BT179,0,-MIN($M188-1,BT$5-$V$5)):BT179)/$M188,0)*-1</f>
        <v>-68306.010928961754</v>
      </c>
      <c r="BU188" s="191">
        <f ca="1">IFERROR(SUM(OFFSET(BU179,0,-MIN($M188-1,BU$5-$V$5)):BU179)/$M188,0)*-1</f>
        <v>-68306.010928961754</v>
      </c>
      <c r="BV188" s="191">
        <f ca="1">IFERROR(SUM(OFFSET(BV179,0,-MIN($M188-1,BV$5-$V$5)):BV179)/$M188,0)*-1</f>
        <v>-68306.010928961754</v>
      </c>
      <c r="BW188" s="191">
        <f ca="1">IFERROR(SUM(OFFSET(BW179,0,-MIN($M188-1,BW$5-$V$5)):BW179)/$M188,0)*-1</f>
        <v>-68306.010928961754</v>
      </c>
      <c r="BX188" s="191">
        <f ca="1">IFERROR(SUM(OFFSET(BX179,0,-MIN($M188-1,BX$5-$V$5)):BX179)/$M188,0)*-1</f>
        <v>-68306.010928961754</v>
      </c>
      <c r="BY188" s="191">
        <f ca="1">IFERROR(SUM(OFFSET(BY179,0,-MIN($M188-1,BY$5-$V$5)):BY179)/$M188,0)*-1</f>
        <v>-68306.010928961754</v>
      </c>
      <c r="BZ188" s="191">
        <f ca="1">IFERROR(SUM(OFFSET(BZ179,0,-MIN($M188-1,BZ$5-$V$5)):BZ179)/$M188,0)*-1</f>
        <v>-68306.010928961754</v>
      </c>
      <c r="CA188" s="191">
        <f ca="1">IFERROR(SUM(OFFSET(CA179,0,-MIN($M188-1,CA$5-$V$5)):CA179)/$M188,0)*-1</f>
        <v>-68306.010928961754</v>
      </c>
      <c r="CB188" s="191">
        <f ca="1">IFERROR(SUM(OFFSET(CB179,0,-MIN($M188-1,CB$5-$V$5)):CB179)/$M188,0)*-1</f>
        <v>-68306.010928961754</v>
      </c>
      <c r="CC188" s="191">
        <f ca="1">IFERROR(SUM(OFFSET(CC179,0,-MIN($M188-1,CC$5-$V$5)):CC179)/$M188,0)*-1</f>
        <v>-68306.010928961754</v>
      </c>
      <c r="CD188" s="110"/>
      <c r="CE188" s="111"/>
    </row>
    <row r="189" spans="1:83" s="45" customFormat="1" ht="15" customHeight="1" outlineLevel="1" x14ac:dyDescent="0.3">
      <c r="A189" s="111"/>
      <c r="B189" s="30"/>
      <c r="C189" s="110"/>
      <c r="D189" s="166" t="str">
        <f>D172</f>
        <v>Вторая очередь цех</v>
      </c>
      <c r="E189" s="114"/>
      <c r="F189" s="114"/>
      <c r="G189" s="114"/>
      <c r="H189" s="114"/>
      <c r="I189" s="31" t="str">
        <f>Ввод!$M$12</f>
        <v>руб</v>
      </c>
      <c r="J189" s="31"/>
      <c r="K189" s="31"/>
      <c r="L189" s="31"/>
      <c r="M189" s="95">
        <v>120</v>
      </c>
      <c r="N189" s="191">
        <f t="shared" ca="1" si="270"/>
        <v>-3688524.590163935</v>
      </c>
      <c r="O189" s="139"/>
      <c r="P189" s="191">
        <f t="shared" ca="1" si="271"/>
        <v>-409836.06557377049</v>
      </c>
      <c r="Q189" s="191">
        <f t="shared" ca="1" si="271"/>
        <v>-819672.13114754122</v>
      </c>
      <c r="R189" s="191">
        <f t="shared" ca="1" si="271"/>
        <v>-819672.13114754122</v>
      </c>
      <c r="S189" s="191">
        <f t="shared" ca="1" si="271"/>
        <v>-819672.13114754122</v>
      </c>
      <c r="T189" s="191">
        <f t="shared" ca="1" si="271"/>
        <v>-819672.13114754122</v>
      </c>
      <c r="U189" s="139"/>
      <c r="V189" s="191">
        <f ca="1">IFERROR(SUM(OFFSET(V180,0,-MIN($M189-1,V$5-$V$5)):V180)/$M189,0)*-1</f>
        <v>0</v>
      </c>
      <c r="W189" s="191">
        <f ca="1">IFERROR(SUM(OFFSET(W180,0,-MIN($M189-1,W$5-$V$5)):W180)/$M189,0)*-1</f>
        <v>0</v>
      </c>
      <c r="X189" s="191">
        <f ca="1">IFERROR(SUM(OFFSET(X180,0,-MIN($M189-1,X$5-$V$5)):X180)/$M189,0)*-1</f>
        <v>0</v>
      </c>
      <c r="Y189" s="191">
        <f ca="1">IFERROR(SUM(OFFSET(Y180,0,-MIN($M189-1,Y$5-$V$5)):Y180)/$M189,0)*-1</f>
        <v>0</v>
      </c>
      <c r="Z189" s="191">
        <f ca="1">IFERROR(SUM(OFFSET(Z180,0,-MIN($M189-1,Z$5-$V$5)):Z180)/$M189,0)*-1</f>
        <v>0</v>
      </c>
      <c r="AA189" s="191">
        <f ca="1">IFERROR(SUM(OFFSET(AA180,0,-MIN($M189-1,AA$5-$V$5)):AA180)/$M189,0)*-1</f>
        <v>0</v>
      </c>
      <c r="AB189" s="191">
        <f ca="1">IFERROR(SUM(OFFSET(AB180,0,-MIN($M189-1,AB$5-$V$5)):AB180)/$M189,0)*-1</f>
        <v>-68306.010928961754</v>
      </c>
      <c r="AC189" s="191">
        <f ca="1">IFERROR(SUM(OFFSET(AC180,0,-MIN($M189-1,AC$5-$V$5)):AC180)/$M189,0)*-1</f>
        <v>-68306.010928961754</v>
      </c>
      <c r="AD189" s="191">
        <f ca="1">IFERROR(SUM(OFFSET(AD180,0,-MIN($M189-1,AD$5-$V$5)):AD180)/$M189,0)*-1</f>
        <v>-68306.010928961754</v>
      </c>
      <c r="AE189" s="191">
        <f ca="1">IFERROR(SUM(OFFSET(AE180,0,-MIN($M189-1,AE$5-$V$5)):AE180)/$M189,0)*-1</f>
        <v>-68306.010928961754</v>
      </c>
      <c r="AF189" s="191">
        <f ca="1">IFERROR(SUM(OFFSET(AF180,0,-MIN($M189-1,AF$5-$V$5)):AF180)/$M189,0)*-1</f>
        <v>-68306.010928961754</v>
      </c>
      <c r="AG189" s="191">
        <f ca="1">IFERROR(SUM(OFFSET(AG180,0,-MIN($M189-1,AG$5-$V$5)):AG180)/$M189,0)*-1</f>
        <v>-68306.010928961754</v>
      </c>
      <c r="AH189" s="191">
        <f ca="1">IFERROR(SUM(OFFSET(AH180,0,-MIN($M189-1,AH$5-$V$5)):AH180)/$M189,0)*-1</f>
        <v>-68306.010928961754</v>
      </c>
      <c r="AI189" s="191">
        <f ca="1">IFERROR(SUM(OFFSET(AI180,0,-MIN($M189-1,AI$5-$V$5)):AI180)/$M189,0)*-1</f>
        <v>-68306.010928961754</v>
      </c>
      <c r="AJ189" s="191">
        <f ca="1">IFERROR(SUM(OFFSET(AJ180,0,-MIN($M189-1,AJ$5-$V$5)):AJ180)/$M189,0)*-1</f>
        <v>-68306.010928961754</v>
      </c>
      <c r="AK189" s="191">
        <f ca="1">IFERROR(SUM(OFFSET(AK180,0,-MIN($M189-1,AK$5-$V$5)):AK180)/$M189,0)*-1</f>
        <v>-68306.010928961754</v>
      </c>
      <c r="AL189" s="191">
        <f ca="1">IFERROR(SUM(OFFSET(AL180,0,-MIN($M189-1,AL$5-$V$5)):AL180)/$M189,0)*-1</f>
        <v>-68306.010928961754</v>
      </c>
      <c r="AM189" s="191">
        <f ca="1">IFERROR(SUM(OFFSET(AM180,0,-MIN($M189-1,AM$5-$V$5)):AM180)/$M189,0)*-1</f>
        <v>-68306.010928961754</v>
      </c>
      <c r="AN189" s="191">
        <f ca="1">IFERROR(SUM(OFFSET(AN180,0,-MIN($M189-1,AN$5-$V$5)):AN180)/$M189,0)*-1</f>
        <v>-68306.010928961754</v>
      </c>
      <c r="AO189" s="191">
        <f ca="1">IFERROR(SUM(OFFSET(AO180,0,-MIN($M189-1,AO$5-$V$5)):AO180)/$M189,0)*-1</f>
        <v>-68306.010928961754</v>
      </c>
      <c r="AP189" s="191">
        <f ca="1">IFERROR(SUM(OFFSET(AP180,0,-MIN($M189-1,AP$5-$V$5)):AP180)/$M189,0)*-1</f>
        <v>-68306.010928961754</v>
      </c>
      <c r="AQ189" s="191">
        <f ca="1">IFERROR(SUM(OFFSET(AQ180,0,-MIN($M189-1,AQ$5-$V$5)):AQ180)/$M189,0)*-1</f>
        <v>-68306.010928961754</v>
      </c>
      <c r="AR189" s="191">
        <f ca="1">IFERROR(SUM(OFFSET(AR180,0,-MIN($M189-1,AR$5-$V$5)):AR180)/$M189,0)*-1</f>
        <v>-68306.010928961754</v>
      </c>
      <c r="AS189" s="191">
        <f ca="1">IFERROR(SUM(OFFSET(AS180,0,-MIN($M189-1,AS$5-$V$5)):AS180)/$M189,0)*-1</f>
        <v>-68306.010928961754</v>
      </c>
      <c r="AT189" s="191">
        <f ca="1">IFERROR(SUM(OFFSET(AT180,0,-MIN($M189-1,AT$5-$V$5)):AT180)/$M189,0)*-1</f>
        <v>-68306.010928961754</v>
      </c>
      <c r="AU189" s="191">
        <f ca="1">IFERROR(SUM(OFFSET(AU180,0,-MIN($M189-1,AU$5-$V$5)):AU180)/$M189,0)*-1</f>
        <v>-68306.010928961754</v>
      </c>
      <c r="AV189" s="191">
        <f ca="1">IFERROR(SUM(OFFSET(AV180,0,-MIN($M189-1,AV$5-$V$5)):AV180)/$M189,0)*-1</f>
        <v>-68306.010928961754</v>
      </c>
      <c r="AW189" s="191">
        <f ca="1">IFERROR(SUM(OFFSET(AW180,0,-MIN($M189-1,AW$5-$V$5)):AW180)/$M189,0)*-1</f>
        <v>-68306.010928961754</v>
      </c>
      <c r="AX189" s="191">
        <f ca="1">IFERROR(SUM(OFFSET(AX180,0,-MIN($M189-1,AX$5-$V$5)):AX180)/$M189,0)*-1</f>
        <v>-68306.010928961754</v>
      </c>
      <c r="AY189" s="191">
        <f ca="1">IFERROR(SUM(OFFSET(AY180,0,-MIN($M189-1,AY$5-$V$5)):AY180)/$M189,0)*-1</f>
        <v>-68306.010928961754</v>
      </c>
      <c r="AZ189" s="191">
        <f ca="1">IFERROR(SUM(OFFSET(AZ180,0,-MIN($M189-1,AZ$5-$V$5)):AZ180)/$M189,0)*-1</f>
        <v>-68306.010928961754</v>
      </c>
      <c r="BA189" s="191">
        <f ca="1">IFERROR(SUM(OFFSET(BA180,0,-MIN($M189-1,BA$5-$V$5)):BA180)/$M189,0)*-1</f>
        <v>-68306.010928961754</v>
      </c>
      <c r="BB189" s="191">
        <f ca="1">IFERROR(SUM(OFFSET(BB180,0,-MIN($M189-1,BB$5-$V$5)):BB180)/$M189,0)*-1</f>
        <v>-68306.010928961754</v>
      </c>
      <c r="BC189" s="191">
        <f ca="1">IFERROR(SUM(OFFSET(BC180,0,-MIN($M189-1,BC$5-$V$5)):BC180)/$M189,0)*-1</f>
        <v>-68306.010928961754</v>
      </c>
      <c r="BD189" s="191">
        <f ca="1">IFERROR(SUM(OFFSET(BD180,0,-MIN($M189-1,BD$5-$V$5)):BD180)/$M189,0)*-1</f>
        <v>-68306.010928961754</v>
      </c>
      <c r="BE189" s="191">
        <f ca="1">IFERROR(SUM(OFFSET(BE180,0,-MIN($M189-1,BE$5-$V$5)):BE180)/$M189,0)*-1</f>
        <v>-68306.010928961754</v>
      </c>
      <c r="BF189" s="191">
        <f ca="1">IFERROR(SUM(OFFSET(BF180,0,-MIN($M189-1,BF$5-$V$5)):BF180)/$M189,0)*-1</f>
        <v>-68306.010928961754</v>
      </c>
      <c r="BG189" s="191">
        <f ca="1">IFERROR(SUM(OFFSET(BG180,0,-MIN($M189-1,BG$5-$V$5)):BG180)/$M189,0)*-1</f>
        <v>-68306.010928961754</v>
      </c>
      <c r="BH189" s="191">
        <f ca="1">IFERROR(SUM(OFFSET(BH180,0,-MIN($M189-1,BH$5-$V$5)):BH180)/$M189,0)*-1</f>
        <v>-68306.010928961754</v>
      </c>
      <c r="BI189" s="191">
        <f ca="1">IFERROR(SUM(OFFSET(BI180,0,-MIN($M189-1,BI$5-$V$5)):BI180)/$M189,0)*-1</f>
        <v>-68306.010928961754</v>
      </c>
      <c r="BJ189" s="191">
        <f ca="1">IFERROR(SUM(OFFSET(BJ180,0,-MIN($M189-1,BJ$5-$V$5)):BJ180)/$M189,0)*-1</f>
        <v>-68306.010928961754</v>
      </c>
      <c r="BK189" s="191">
        <f ca="1">IFERROR(SUM(OFFSET(BK180,0,-MIN($M189-1,BK$5-$V$5)):BK180)/$M189,0)*-1</f>
        <v>-68306.010928961754</v>
      </c>
      <c r="BL189" s="191">
        <f ca="1">IFERROR(SUM(OFFSET(BL180,0,-MIN($M189-1,BL$5-$V$5)):BL180)/$M189,0)*-1</f>
        <v>-68306.010928961754</v>
      </c>
      <c r="BM189" s="191">
        <f ca="1">IFERROR(SUM(OFFSET(BM180,0,-MIN($M189-1,BM$5-$V$5)):BM180)/$M189,0)*-1</f>
        <v>-68306.010928961754</v>
      </c>
      <c r="BN189" s="191">
        <f ca="1">IFERROR(SUM(OFFSET(BN180,0,-MIN($M189-1,BN$5-$V$5)):BN180)/$M189,0)*-1</f>
        <v>-68306.010928961754</v>
      </c>
      <c r="BO189" s="191">
        <f ca="1">IFERROR(SUM(OFFSET(BO180,0,-MIN($M189-1,BO$5-$V$5)):BO180)/$M189,0)*-1</f>
        <v>-68306.010928961754</v>
      </c>
      <c r="BP189" s="191">
        <f ca="1">IFERROR(SUM(OFFSET(BP180,0,-MIN($M189-1,BP$5-$V$5)):BP180)/$M189,0)*-1</f>
        <v>-68306.010928961754</v>
      </c>
      <c r="BQ189" s="191">
        <f ca="1">IFERROR(SUM(OFFSET(BQ180,0,-MIN($M189-1,BQ$5-$V$5)):BQ180)/$M189,0)*-1</f>
        <v>-68306.010928961754</v>
      </c>
      <c r="BR189" s="191">
        <f ca="1">IFERROR(SUM(OFFSET(BR180,0,-MIN($M189-1,BR$5-$V$5)):BR180)/$M189,0)*-1</f>
        <v>-68306.010928961754</v>
      </c>
      <c r="BS189" s="191">
        <f ca="1">IFERROR(SUM(OFFSET(BS180,0,-MIN($M189-1,BS$5-$V$5)):BS180)/$M189,0)*-1</f>
        <v>-68306.010928961754</v>
      </c>
      <c r="BT189" s="191">
        <f ca="1">IFERROR(SUM(OFFSET(BT180,0,-MIN($M189-1,BT$5-$V$5)):BT180)/$M189,0)*-1</f>
        <v>-68306.010928961754</v>
      </c>
      <c r="BU189" s="191">
        <f ca="1">IFERROR(SUM(OFFSET(BU180,0,-MIN($M189-1,BU$5-$V$5)):BU180)/$M189,0)*-1</f>
        <v>-68306.010928961754</v>
      </c>
      <c r="BV189" s="191">
        <f ca="1">IFERROR(SUM(OFFSET(BV180,0,-MIN($M189-1,BV$5-$V$5)):BV180)/$M189,0)*-1</f>
        <v>-68306.010928961754</v>
      </c>
      <c r="BW189" s="191">
        <f ca="1">IFERROR(SUM(OFFSET(BW180,0,-MIN($M189-1,BW$5-$V$5)):BW180)/$M189,0)*-1</f>
        <v>-68306.010928961754</v>
      </c>
      <c r="BX189" s="191">
        <f ca="1">IFERROR(SUM(OFFSET(BX180,0,-MIN($M189-1,BX$5-$V$5)):BX180)/$M189,0)*-1</f>
        <v>-68306.010928961754</v>
      </c>
      <c r="BY189" s="191">
        <f ca="1">IFERROR(SUM(OFFSET(BY180,0,-MIN($M189-1,BY$5-$V$5)):BY180)/$M189,0)*-1</f>
        <v>-68306.010928961754</v>
      </c>
      <c r="BZ189" s="191">
        <f ca="1">IFERROR(SUM(OFFSET(BZ180,0,-MIN($M189-1,BZ$5-$V$5)):BZ180)/$M189,0)*-1</f>
        <v>-68306.010928961754</v>
      </c>
      <c r="CA189" s="191">
        <f ca="1">IFERROR(SUM(OFFSET(CA180,0,-MIN($M189-1,CA$5-$V$5)):CA180)/$M189,0)*-1</f>
        <v>-68306.010928961754</v>
      </c>
      <c r="CB189" s="191">
        <f ca="1">IFERROR(SUM(OFFSET(CB180,0,-MIN($M189-1,CB$5-$V$5)):CB180)/$M189,0)*-1</f>
        <v>-68306.010928961754</v>
      </c>
      <c r="CC189" s="191">
        <f ca="1">IFERROR(SUM(OFFSET(CC180,0,-MIN($M189-1,CC$5-$V$5)):CC180)/$M189,0)*-1</f>
        <v>-68306.010928961754</v>
      </c>
      <c r="CD189" s="110"/>
      <c r="CE189" s="111"/>
    </row>
    <row r="190" spans="1:83" s="45" customFormat="1" ht="15" customHeight="1" outlineLevel="1" x14ac:dyDescent="0.3">
      <c r="A190" s="111"/>
      <c r="B190" s="30"/>
      <c r="C190" s="110"/>
      <c r="D190" s="166" t="str">
        <f>D173</f>
        <v>Оборудование и пусконаладочные работы</v>
      </c>
      <c r="E190" s="114"/>
      <c r="F190" s="114"/>
      <c r="G190" s="114"/>
      <c r="H190" s="114"/>
      <c r="I190" s="31" t="str">
        <f>Ввод!$M$12</f>
        <v>руб</v>
      </c>
      <c r="J190" s="31"/>
      <c r="K190" s="31"/>
      <c r="L190" s="31"/>
      <c r="M190" s="95">
        <v>60</v>
      </c>
      <c r="N190" s="191">
        <f t="shared" ca="1" si="270"/>
        <v>-18613387.978142072</v>
      </c>
      <c r="O190" s="139"/>
      <c r="P190" s="191">
        <f t="shared" ca="1" si="271"/>
        <v>-2219945.3551912564</v>
      </c>
      <c r="Q190" s="191">
        <f t="shared" ca="1" si="271"/>
        <v>-4098360.6557377041</v>
      </c>
      <c r="R190" s="191">
        <f t="shared" ca="1" si="271"/>
        <v>-4098360.6557377041</v>
      </c>
      <c r="S190" s="191">
        <f t="shared" ca="1" si="271"/>
        <v>-4098360.6557377041</v>
      </c>
      <c r="T190" s="191">
        <f t="shared" ca="1" si="271"/>
        <v>-4098360.6557377041</v>
      </c>
      <c r="U190" s="139"/>
      <c r="V190" s="191">
        <f ca="1">IFERROR(SUM(OFFSET(V181,0,-MIN($M190-1,V$5-$V$5)):V181)/$M190,0)*-1</f>
        <v>0</v>
      </c>
      <c r="W190" s="191">
        <f ca="1">IFERROR(SUM(OFFSET(W181,0,-MIN($M190-1,W$5-$V$5)):W181)/$M190,0)*-1</f>
        <v>0</v>
      </c>
      <c r="X190" s="191">
        <f ca="1">IFERROR(SUM(OFFSET(X181,0,-MIN($M190-1,X$5-$V$5)):X181)/$M190,0)*-1</f>
        <v>0</v>
      </c>
      <c r="Y190" s="191">
        <f ca="1">IFERROR(SUM(OFFSET(Y181,0,-MIN($M190-1,Y$5-$V$5)):Y181)/$M190,0)*-1</f>
        <v>0</v>
      </c>
      <c r="Z190" s="191">
        <f ca="1">IFERROR(SUM(OFFSET(Z181,0,-MIN($M190-1,Z$5-$V$5)):Z181)/$M190,0)*-1</f>
        <v>-170765.02732240438</v>
      </c>
      <c r="AA190" s="191">
        <f ca="1">IFERROR(SUM(OFFSET(AA181,0,-MIN($M190-1,AA$5-$V$5)):AA181)/$M190,0)*-1</f>
        <v>-170765.02732240438</v>
      </c>
      <c r="AB190" s="191">
        <f ca="1">IFERROR(SUM(OFFSET(AB181,0,-MIN($M190-1,AB$5-$V$5)):AB181)/$M190,0)*-1</f>
        <v>-170765.02732240438</v>
      </c>
      <c r="AC190" s="191">
        <f ca="1">IFERROR(SUM(OFFSET(AC181,0,-MIN($M190-1,AC$5-$V$5)):AC181)/$M190,0)*-1</f>
        <v>-341530.05464480876</v>
      </c>
      <c r="AD190" s="191">
        <f ca="1">IFERROR(SUM(OFFSET(AD181,0,-MIN($M190-1,AD$5-$V$5)):AD181)/$M190,0)*-1</f>
        <v>-341530.05464480876</v>
      </c>
      <c r="AE190" s="191">
        <f ca="1">IFERROR(SUM(OFFSET(AE181,0,-MIN($M190-1,AE$5-$V$5)):AE181)/$M190,0)*-1</f>
        <v>-341530.05464480876</v>
      </c>
      <c r="AF190" s="191">
        <f ca="1">IFERROR(SUM(OFFSET(AF181,0,-MIN($M190-1,AF$5-$V$5)):AF181)/$M190,0)*-1</f>
        <v>-341530.05464480876</v>
      </c>
      <c r="AG190" s="191">
        <f ca="1">IFERROR(SUM(OFFSET(AG181,0,-MIN($M190-1,AG$5-$V$5)):AG181)/$M190,0)*-1</f>
        <v>-341530.05464480876</v>
      </c>
      <c r="AH190" s="191">
        <f ca="1">IFERROR(SUM(OFFSET(AH181,0,-MIN($M190-1,AH$5-$V$5)):AH181)/$M190,0)*-1</f>
        <v>-341530.05464480876</v>
      </c>
      <c r="AI190" s="191">
        <f ca="1">IFERROR(SUM(OFFSET(AI181,0,-MIN($M190-1,AI$5-$V$5)):AI181)/$M190,0)*-1</f>
        <v>-341530.05464480876</v>
      </c>
      <c r="AJ190" s="191">
        <f ca="1">IFERROR(SUM(OFFSET(AJ181,0,-MIN($M190-1,AJ$5-$V$5)):AJ181)/$M190,0)*-1</f>
        <v>-341530.05464480876</v>
      </c>
      <c r="AK190" s="191">
        <f ca="1">IFERROR(SUM(OFFSET(AK181,0,-MIN($M190-1,AK$5-$V$5)):AK181)/$M190,0)*-1</f>
        <v>-341530.05464480876</v>
      </c>
      <c r="AL190" s="191">
        <f ca="1">IFERROR(SUM(OFFSET(AL181,0,-MIN($M190-1,AL$5-$V$5)):AL181)/$M190,0)*-1</f>
        <v>-341530.05464480876</v>
      </c>
      <c r="AM190" s="191">
        <f ca="1">IFERROR(SUM(OFFSET(AM181,0,-MIN($M190-1,AM$5-$V$5)):AM181)/$M190,0)*-1</f>
        <v>-341530.05464480876</v>
      </c>
      <c r="AN190" s="191">
        <f ca="1">IFERROR(SUM(OFFSET(AN181,0,-MIN($M190-1,AN$5-$V$5)):AN181)/$M190,0)*-1</f>
        <v>-341530.05464480876</v>
      </c>
      <c r="AO190" s="191">
        <f ca="1">IFERROR(SUM(OFFSET(AO181,0,-MIN($M190-1,AO$5-$V$5)):AO181)/$M190,0)*-1</f>
        <v>-341530.05464480876</v>
      </c>
      <c r="AP190" s="191">
        <f ca="1">IFERROR(SUM(OFFSET(AP181,0,-MIN($M190-1,AP$5-$V$5)):AP181)/$M190,0)*-1</f>
        <v>-341530.05464480876</v>
      </c>
      <c r="AQ190" s="191">
        <f ca="1">IFERROR(SUM(OFFSET(AQ181,0,-MIN($M190-1,AQ$5-$V$5)):AQ181)/$M190,0)*-1</f>
        <v>-341530.05464480876</v>
      </c>
      <c r="AR190" s="191">
        <f ca="1">IFERROR(SUM(OFFSET(AR181,0,-MIN($M190-1,AR$5-$V$5)):AR181)/$M190,0)*-1</f>
        <v>-341530.05464480876</v>
      </c>
      <c r="AS190" s="191">
        <f ca="1">IFERROR(SUM(OFFSET(AS181,0,-MIN($M190-1,AS$5-$V$5)):AS181)/$M190,0)*-1</f>
        <v>-341530.05464480876</v>
      </c>
      <c r="AT190" s="191">
        <f ca="1">IFERROR(SUM(OFFSET(AT181,0,-MIN($M190-1,AT$5-$V$5)):AT181)/$M190,0)*-1</f>
        <v>-341530.05464480876</v>
      </c>
      <c r="AU190" s="191">
        <f ca="1">IFERROR(SUM(OFFSET(AU181,0,-MIN($M190-1,AU$5-$V$5)):AU181)/$M190,0)*-1</f>
        <v>-341530.05464480876</v>
      </c>
      <c r="AV190" s="191">
        <f ca="1">IFERROR(SUM(OFFSET(AV181,0,-MIN($M190-1,AV$5-$V$5)):AV181)/$M190,0)*-1</f>
        <v>-341530.05464480876</v>
      </c>
      <c r="AW190" s="191">
        <f ca="1">IFERROR(SUM(OFFSET(AW181,0,-MIN($M190-1,AW$5-$V$5)):AW181)/$M190,0)*-1</f>
        <v>-341530.05464480876</v>
      </c>
      <c r="AX190" s="191">
        <f ca="1">IFERROR(SUM(OFFSET(AX181,0,-MIN($M190-1,AX$5-$V$5)):AX181)/$M190,0)*-1</f>
        <v>-341530.05464480876</v>
      </c>
      <c r="AY190" s="191">
        <f ca="1">IFERROR(SUM(OFFSET(AY181,0,-MIN($M190-1,AY$5-$V$5)):AY181)/$M190,0)*-1</f>
        <v>-341530.05464480876</v>
      </c>
      <c r="AZ190" s="191">
        <f ca="1">IFERROR(SUM(OFFSET(AZ181,0,-MIN($M190-1,AZ$5-$V$5)):AZ181)/$M190,0)*-1</f>
        <v>-341530.05464480876</v>
      </c>
      <c r="BA190" s="191">
        <f ca="1">IFERROR(SUM(OFFSET(BA181,0,-MIN($M190-1,BA$5-$V$5)):BA181)/$M190,0)*-1</f>
        <v>-341530.05464480876</v>
      </c>
      <c r="BB190" s="191">
        <f ca="1">IFERROR(SUM(OFFSET(BB181,0,-MIN($M190-1,BB$5-$V$5)):BB181)/$M190,0)*-1</f>
        <v>-341530.05464480876</v>
      </c>
      <c r="BC190" s="191">
        <f ca="1">IFERROR(SUM(OFFSET(BC181,0,-MIN($M190-1,BC$5-$V$5)):BC181)/$M190,0)*-1</f>
        <v>-341530.05464480876</v>
      </c>
      <c r="BD190" s="191">
        <f ca="1">IFERROR(SUM(OFFSET(BD181,0,-MIN($M190-1,BD$5-$V$5)):BD181)/$M190,0)*-1</f>
        <v>-341530.05464480876</v>
      </c>
      <c r="BE190" s="191">
        <f ca="1">IFERROR(SUM(OFFSET(BE181,0,-MIN($M190-1,BE$5-$V$5)):BE181)/$M190,0)*-1</f>
        <v>-341530.05464480876</v>
      </c>
      <c r="BF190" s="191">
        <f ca="1">IFERROR(SUM(OFFSET(BF181,0,-MIN($M190-1,BF$5-$V$5)):BF181)/$M190,0)*-1</f>
        <v>-341530.05464480876</v>
      </c>
      <c r="BG190" s="191">
        <f ca="1">IFERROR(SUM(OFFSET(BG181,0,-MIN($M190-1,BG$5-$V$5)):BG181)/$M190,0)*-1</f>
        <v>-341530.05464480876</v>
      </c>
      <c r="BH190" s="191">
        <f ca="1">IFERROR(SUM(OFFSET(BH181,0,-MIN($M190-1,BH$5-$V$5)):BH181)/$M190,0)*-1</f>
        <v>-341530.05464480876</v>
      </c>
      <c r="BI190" s="191">
        <f ca="1">IFERROR(SUM(OFFSET(BI181,0,-MIN($M190-1,BI$5-$V$5)):BI181)/$M190,0)*-1</f>
        <v>-341530.05464480876</v>
      </c>
      <c r="BJ190" s="191">
        <f ca="1">IFERROR(SUM(OFFSET(BJ181,0,-MIN($M190-1,BJ$5-$V$5)):BJ181)/$M190,0)*-1</f>
        <v>-341530.05464480876</v>
      </c>
      <c r="BK190" s="191">
        <f ca="1">IFERROR(SUM(OFFSET(BK181,0,-MIN($M190-1,BK$5-$V$5)):BK181)/$M190,0)*-1</f>
        <v>-341530.05464480876</v>
      </c>
      <c r="BL190" s="191">
        <f ca="1">IFERROR(SUM(OFFSET(BL181,0,-MIN($M190-1,BL$5-$V$5)):BL181)/$M190,0)*-1</f>
        <v>-341530.05464480876</v>
      </c>
      <c r="BM190" s="191">
        <f ca="1">IFERROR(SUM(OFFSET(BM181,0,-MIN($M190-1,BM$5-$V$5)):BM181)/$M190,0)*-1</f>
        <v>-341530.05464480876</v>
      </c>
      <c r="BN190" s="191">
        <f ca="1">IFERROR(SUM(OFFSET(BN181,0,-MIN($M190-1,BN$5-$V$5)):BN181)/$M190,0)*-1</f>
        <v>-341530.05464480876</v>
      </c>
      <c r="BO190" s="191">
        <f ca="1">IFERROR(SUM(OFFSET(BO181,0,-MIN($M190-1,BO$5-$V$5)):BO181)/$M190,0)*-1</f>
        <v>-341530.05464480876</v>
      </c>
      <c r="BP190" s="191">
        <f ca="1">IFERROR(SUM(OFFSET(BP181,0,-MIN($M190-1,BP$5-$V$5)):BP181)/$M190,0)*-1</f>
        <v>-341530.05464480876</v>
      </c>
      <c r="BQ190" s="191">
        <f ca="1">IFERROR(SUM(OFFSET(BQ181,0,-MIN($M190-1,BQ$5-$V$5)):BQ181)/$M190,0)*-1</f>
        <v>-341530.05464480876</v>
      </c>
      <c r="BR190" s="191">
        <f ca="1">IFERROR(SUM(OFFSET(BR181,0,-MIN($M190-1,BR$5-$V$5)):BR181)/$M190,0)*-1</f>
        <v>-341530.05464480876</v>
      </c>
      <c r="BS190" s="191">
        <f ca="1">IFERROR(SUM(OFFSET(BS181,0,-MIN($M190-1,BS$5-$V$5)):BS181)/$M190,0)*-1</f>
        <v>-341530.05464480876</v>
      </c>
      <c r="BT190" s="191">
        <f ca="1">IFERROR(SUM(OFFSET(BT181,0,-MIN($M190-1,BT$5-$V$5)):BT181)/$M190,0)*-1</f>
        <v>-341530.05464480876</v>
      </c>
      <c r="BU190" s="191">
        <f ca="1">IFERROR(SUM(OFFSET(BU181,0,-MIN($M190-1,BU$5-$V$5)):BU181)/$M190,0)*-1</f>
        <v>-341530.05464480876</v>
      </c>
      <c r="BV190" s="191">
        <f ca="1">IFERROR(SUM(OFFSET(BV181,0,-MIN($M190-1,BV$5-$V$5)):BV181)/$M190,0)*-1</f>
        <v>-341530.05464480876</v>
      </c>
      <c r="BW190" s="191">
        <f ca="1">IFERROR(SUM(OFFSET(BW181,0,-MIN($M190-1,BW$5-$V$5)):BW181)/$M190,0)*-1</f>
        <v>-341530.05464480876</v>
      </c>
      <c r="BX190" s="191">
        <f ca="1">IFERROR(SUM(OFFSET(BX181,0,-MIN($M190-1,BX$5-$V$5)):BX181)/$M190,0)*-1</f>
        <v>-341530.05464480876</v>
      </c>
      <c r="BY190" s="191">
        <f ca="1">IFERROR(SUM(OFFSET(BY181,0,-MIN($M190-1,BY$5-$V$5)):BY181)/$M190,0)*-1</f>
        <v>-341530.05464480876</v>
      </c>
      <c r="BZ190" s="191">
        <f ca="1">IFERROR(SUM(OFFSET(BZ181,0,-MIN($M190-1,BZ$5-$V$5)):BZ181)/$M190,0)*-1</f>
        <v>-341530.05464480876</v>
      </c>
      <c r="CA190" s="191">
        <f ca="1">IFERROR(SUM(OFFSET(CA181,0,-MIN($M190-1,CA$5-$V$5)):CA181)/$M190,0)*-1</f>
        <v>-341530.05464480876</v>
      </c>
      <c r="CB190" s="191">
        <f ca="1">IFERROR(SUM(OFFSET(CB181,0,-MIN($M190-1,CB$5-$V$5)):CB181)/$M190,0)*-1</f>
        <v>-341530.05464480876</v>
      </c>
      <c r="CC190" s="191">
        <f ca="1">IFERROR(SUM(OFFSET(CC181,0,-MIN($M190-1,CC$5-$V$5)):CC181)/$M190,0)*-1</f>
        <v>-341530.05464480876</v>
      </c>
      <c r="CD190" s="110"/>
      <c r="CE190" s="111"/>
    </row>
    <row r="191" spans="1:83" s="45" customFormat="1" ht="15" customHeight="1" outlineLevel="1" x14ac:dyDescent="0.3">
      <c r="A191" s="111"/>
      <c r="B191" s="30"/>
      <c r="C191" s="110"/>
      <c r="D191" s="166" t="str">
        <f>D174</f>
        <v>Покупка ГАЗон+манипулятор</v>
      </c>
      <c r="E191" s="114"/>
      <c r="F191" s="114"/>
      <c r="G191" s="114"/>
      <c r="H191" s="114"/>
      <c r="I191" s="31" t="str">
        <f>Ввод!$M$12</f>
        <v>руб</v>
      </c>
      <c r="J191" s="31"/>
      <c r="K191" s="31"/>
      <c r="L191" s="31"/>
      <c r="M191" s="95">
        <v>36</v>
      </c>
      <c r="N191" s="191">
        <f t="shared" ca="1" si="270"/>
        <v>-12295081.967213113</v>
      </c>
      <c r="O191" s="139"/>
      <c r="P191" s="191">
        <f t="shared" ca="1" si="271"/>
        <v>-2219945.3551912564</v>
      </c>
      <c r="Q191" s="191">
        <f t="shared" ca="1" si="271"/>
        <v>-4098360.6557377041</v>
      </c>
      <c r="R191" s="191">
        <f t="shared" ca="1" si="271"/>
        <v>-4098360.6557377041</v>
      </c>
      <c r="S191" s="191">
        <f t="shared" ca="1" si="271"/>
        <v>-1878415.300546448</v>
      </c>
      <c r="T191" s="191">
        <f t="shared" ca="1" si="271"/>
        <v>0</v>
      </c>
      <c r="U191" s="139"/>
      <c r="V191" s="191">
        <f ca="1">IFERROR(SUM(OFFSET(V182,0,-MIN($M191-1,V$5-$V$5)):V182)/$M191,0)*-1</f>
        <v>0</v>
      </c>
      <c r="W191" s="191">
        <f ca="1">IFERROR(SUM(OFFSET(W182,0,-MIN($M191-1,W$5-$V$5)):W182)/$M191,0)*-1</f>
        <v>0</v>
      </c>
      <c r="X191" s="191">
        <f ca="1">IFERROR(SUM(OFFSET(X182,0,-MIN($M191-1,X$5-$V$5)):X182)/$M191,0)*-1</f>
        <v>0</v>
      </c>
      <c r="Y191" s="191">
        <f ca="1">IFERROR(SUM(OFFSET(Y182,0,-MIN($M191-1,Y$5-$V$5)):Y182)/$M191,0)*-1</f>
        <v>0</v>
      </c>
      <c r="Z191" s="191">
        <f ca="1">IFERROR(SUM(OFFSET(Z182,0,-MIN($M191-1,Z$5-$V$5)):Z182)/$M191,0)*-1</f>
        <v>-170765.02732240438</v>
      </c>
      <c r="AA191" s="191">
        <f ca="1">IFERROR(SUM(OFFSET(AA182,0,-MIN($M191-1,AA$5-$V$5)):AA182)/$M191,0)*-1</f>
        <v>-170765.02732240438</v>
      </c>
      <c r="AB191" s="191">
        <f ca="1">IFERROR(SUM(OFFSET(AB182,0,-MIN($M191-1,AB$5-$V$5)):AB182)/$M191,0)*-1</f>
        <v>-170765.02732240438</v>
      </c>
      <c r="AC191" s="191">
        <f ca="1">IFERROR(SUM(OFFSET(AC182,0,-MIN($M191-1,AC$5-$V$5)):AC182)/$M191,0)*-1</f>
        <v>-341530.05464480876</v>
      </c>
      <c r="AD191" s="191">
        <f ca="1">IFERROR(SUM(OFFSET(AD182,0,-MIN($M191-1,AD$5-$V$5)):AD182)/$M191,0)*-1</f>
        <v>-341530.05464480876</v>
      </c>
      <c r="AE191" s="191">
        <f ca="1">IFERROR(SUM(OFFSET(AE182,0,-MIN($M191-1,AE$5-$V$5)):AE182)/$M191,0)*-1</f>
        <v>-341530.05464480876</v>
      </c>
      <c r="AF191" s="191">
        <f ca="1">IFERROR(SUM(OFFSET(AF182,0,-MIN($M191-1,AF$5-$V$5)):AF182)/$M191,0)*-1</f>
        <v>-341530.05464480876</v>
      </c>
      <c r="AG191" s="191">
        <f ca="1">IFERROR(SUM(OFFSET(AG182,0,-MIN($M191-1,AG$5-$V$5)):AG182)/$M191,0)*-1</f>
        <v>-341530.05464480876</v>
      </c>
      <c r="AH191" s="191">
        <f ca="1">IFERROR(SUM(OFFSET(AH182,0,-MIN($M191-1,AH$5-$V$5)):AH182)/$M191,0)*-1</f>
        <v>-341530.05464480876</v>
      </c>
      <c r="AI191" s="191">
        <f ca="1">IFERROR(SUM(OFFSET(AI182,0,-MIN($M191-1,AI$5-$V$5)):AI182)/$M191,0)*-1</f>
        <v>-341530.05464480876</v>
      </c>
      <c r="AJ191" s="191">
        <f ca="1">IFERROR(SUM(OFFSET(AJ182,0,-MIN($M191-1,AJ$5-$V$5)):AJ182)/$M191,0)*-1</f>
        <v>-341530.05464480876</v>
      </c>
      <c r="AK191" s="191">
        <f ca="1">IFERROR(SUM(OFFSET(AK182,0,-MIN($M191-1,AK$5-$V$5)):AK182)/$M191,0)*-1</f>
        <v>-341530.05464480876</v>
      </c>
      <c r="AL191" s="191">
        <f ca="1">IFERROR(SUM(OFFSET(AL182,0,-MIN($M191-1,AL$5-$V$5)):AL182)/$M191,0)*-1</f>
        <v>-341530.05464480876</v>
      </c>
      <c r="AM191" s="191">
        <f ca="1">IFERROR(SUM(OFFSET(AM182,0,-MIN($M191-1,AM$5-$V$5)):AM182)/$M191,0)*-1</f>
        <v>-341530.05464480876</v>
      </c>
      <c r="AN191" s="191">
        <f ca="1">IFERROR(SUM(OFFSET(AN182,0,-MIN($M191-1,AN$5-$V$5)):AN182)/$M191,0)*-1</f>
        <v>-341530.05464480876</v>
      </c>
      <c r="AO191" s="191">
        <f ca="1">IFERROR(SUM(OFFSET(AO182,0,-MIN($M191-1,AO$5-$V$5)):AO182)/$M191,0)*-1</f>
        <v>-341530.05464480876</v>
      </c>
      <c r="AP191" s="191">
        <f ca="1">IFERROR(SUM(OFFSET(AP182,0,-MIN($M191-1,AP$5-$V$5)):AP182)/$M191,0)*-1</f>
        <v>-341530.05464480876</v>
      </c>
      <c r="AQ191" s="191">
        <f ca="1">IFERROR(SUM(OFFSET(AQ182,0,-MIN($M191-1,AQ$5-$V$5)):AQ182)/$M191,0)*-1</f>
        <v>-341530.05464480876</v>
      </c>
      <c r="AR191" s="191">
        <f ca="1">IFERROR(SUM(OFFSET(AR182,0,-MIN($M191-1,AR$5-$V$5)):AR182)/$M191,0)*-1</f>
        <v>-341530.05464480876</v>
      </c>
      <c r="AS191" s="191">
        <f ca="1">IFERROR(SUM(OFFSET(AS182,0,-MIN($M191-1,AS$5-$V$5)):AS182)/$M191,0)*-1</f>
        <v>-341530.05464480876</v>
      </c>
      <c r="AT191" s="191">
        <f ca="1">IFERROR(SUM(OFFSET(AT182,0,-MIN($M191-1,AT$5-$V$5)):AT182)/$M191,0)*-1</f>
        <v>-341530.05464480876</v>
      </c>
      <c r="AU191" s="191">
        <f ca="1">IFERROR(SUM(OFFSET(AU182,0,-MIN($M191-1,AU$5-$V$5)):AU182)/$M191,0)*-1</f>
        <v>-341530.05464480876</v>
      </c>
      <c r="AV191" s="191">
        <f ca="1">IFERROR(SUM(OFFSET(AV182,0,-MIN($M191-1,AV$5-$V$5)):AV182)/$M191,0)*-1</f>
        <v>-341530.05464480876</v>
      </c>
      <c r="AW191" s="191">
        <f ca="1">IFERROR(SUM(OFFSET(AW182,0,-MIN($M191-1,AW$5-$V$5)):AW182)/$M191,0)*-1</f>
        <v>-341530.05464480876</v>
      </c>
      <c r="AX191" s="191">
        <f ca="1">IFERROR(SUM(OFFSET(AX182,0,-MIN($M191-1,AX$5-$V$5)):AX182)/$M191,0)*-1</f>
        <v>-341530.05464480876</v>
      </c>
      <c r="AY191" s="191">
        <f ca="1">IFERROR(SUM(OFFSET(AY182,0,-MIN($M191-1,AY$5-$V$5)):AY182)/$M191,0)*-1</f>
        <v>-341530.05464480876</v>
      </c>
      <c r="AZ191" s="191">
        <f ca="1">IFERROR(SUM(OFFSET(AZ182,0,-MIN($M191-1,AZ$5-$V$5)):AZ182)/$M191,0)*-1</f>
        <v>-341530.05464480876</v>
      </c>
      <c r="BA191" s="191">
        <f ca="1">IFERROR(SUM(OFFSET(BA182,0,-MIN($M191-1,BA$5-$V$5)):BA182)/$M191,0)*-1</f>
        <v>-341530.05464480876</v>
      </c>
      <c r="BB191" s="191">
        <f ca="1">IFERROR(SUM(OFFSET(BB182,0,-MIN($M191-1,BB$5-$V$5)):BB182)/$M191,0)*-1</f>
        <v>-341530.05464480876</v>
      </c>
      <c r="BC191" s="191">
        <f ca="1">IFERROR(SUM(OFFSET(BC182,0,-MIN($M191-1,BC$5-$V$5)):BC182)/$M191,0)*-1</f>
        <v>-341530.05464480876</v>
      </c>
      <c r="BD191" s="191">
        <f ca="1">IFERROR(SUM(OFFSET(BD182,0,-MIN($M191-1,BD$5-$V$5)):BD182)/$M191,0)*-1</f>
        <v>-341530.05464480876</v>
      </c>
      <c r="BE191" s="191">
        <f ca="1">IFERROR(SUM(OFFSET(BE182,0,-MIN($M191-1,BE$5-$V$5)):BE182)/$M191,0)*-1</f>
        <v>-341530.05464480876</v>
      </c>
      <c r="BF191" s="191">
        <f ca="1">IFERROR(SUM(OFFSET(BF182,0,-MIN($M191-1,BF$5-$V$5)):BF182)/$M191,0)*-1</f>
        <v>-341530.05464480876</v>
      </c>
      <c r="BG191" s="191">
        <f ca="1">IFERROR(SUM(OFFSET(BG182,0,-MIN($M191-1,BG$5-$V$5)):BG182)/$M191,0)*-1</f>
        <v>-341530.05464480876</v>
      </c>
      <c r="BH191" s="191">
        <f ca="1">IFERROR(SUM(OFFSET(BH182,0,-MIN($M191-1,BH$5-$V$5)):BH182)/$M191,0)*-1</f>
        <v>-341530.05464480876</v>
      </c>
      <c r="BI191" s="191">
        <f ca="1">IFERROR(SUM(OFFSET(BI182,0,-MIN($M191-1,BI$5-$V$5)):BI182)/$M191,0)*-1</f>
        <v>-341530.05464480876</v>
      </c>
      <c r="BJ191" s="191">
        <f ca="1">IFERROR(SUM(OFFSET(BJ182,0,-MIN($M191-1,BJ$5-$V$5)):BJ182)/$M191,0)*-1</f>
        <v>-170765.02732240438</v>
      </c>
      <c r="BK191" s="191">
        <f ca="1">IFERROR(SUM(OFFSET(BK182,0,-MIN($M191-1,BK$5-$V$5)):BK182)/$M191,0)*-1</f>
        <v>-170765.02732240438</v>
      </c>
      <c r="BL191" s="191">
        <f ca="1">IFERROR(SUM(OFFSET(BL182,0,-MIN($M191-1,BL$5-$V$5)):BL182)/$M191,0)*-1</f>
        <v>-170765.02732240438</v>
      </c>
      <c r="BM191" s="191">
        <f ca="1">IFERROR(SUM(OFFSET(BM182,0,-MIN($M191-1,BM$5-$V$5)):BM182)/$M191,0)*-1</f>
        <v>0</v>
      </c>
      <c r="BN191" s="191">
        <f ca="1">IFERROR(SUM(OFFSET(BN182,0,-MIN($M191-1,BN$5-$V$5)):BN182)/$M191,0)*-1</f>
        <v>0</v>
      </c>
      <c r="BO191" s="191">
        <f ca="1">IFERROR(SUM(OFFSET(BO182,0,-MIN($M191-1,BO$5-$V$5)):BO182)/$M191,0)*-1</f>
        <v>0</v>
      </c>
      <c r="BP191" s="191">
        <f ca="1">IFERROR(SUM(OFFSET(BP182,0,-MIN($M191-1,BP$5-$V$5)):BP182)/$M191,0)*-1</f>
        <v>0</v>
      </c>
      <c r="BQ191" s="191">
        <f ca="1">IFERROR(SUM(OFFSET(BQ182,0,-MIN($M191-1,BQ$5-$V$5)):BQ182)/$M191,0)*-1</f>
        <v>0</v>
      </c>
      <c r="BR191" s="191">
        <f ca="1">IFERROR(SUM(OFFSET(BR182,0,-MIN($M191-1,BR$5-$V$5)):BR182)/$M191,0)*-1</f>
        <v>0</v>
      </c>
      <c r="BS191" s="191">
        <f ca="1">IFERROR(SUM(OFFSET(BS182,0,-MIN($M191-1,BS$5-$V$5)):BS182)/$M191,0)*-1</f>
        <v>0</v>
      </c>
      <c r="BT191" s="191">
        <f ca="1">IFERROR(SUM(OFFSET(BT182,0,-MIN($M191-1,BT$5-$V$5)):BT182)/$M191,0)*-1</f>
        <v>0</v>
      </c>
      <c r="BU191" s="191">
        <f ca="1">IFERROR(SUM(OFFSET(BU182,0,-MIN($M191-1,BU$5-$V$5)):BU182)/$M191,0)*-1</f>
        <v>0</v>
      </c>
      <c r="BV191" s="191">
        <f ca="1">IFERROR(SUM(OFFSET(BV182,0,-MIN($M191-1,BV$5-$V$5)):BV182)/$M191,0)*-1</f>
        <v>0</v>
      </c>
      <c r="BW191" s="191">
        <f ca="1">IFERROR(SUM(OFFSET(BW182,0,-MIN($M191-1,BW$5-$V$5)):BW182)/$M191,0)*-1</f>
        <v>0</v>
      </c>
      <c r="BX191" s="191">
        <f ca="1">IFERROR(SUM(OFFSET(BX182,0,-MIN($M191-1,BX$5-$V$5)):BX182)/$M191,0)*-1</f>
        <v>0</v>
      </c>
      <c r="BY191" s="191">
        <f ca="1">IFERROR(SUM(OFFSET(BY182,0,-MIN($M191-1,BY$5-$V$5)):BY182)/$M191,0)*-1</f>
        <v>0</v>
      </c>
      <c r="BZ191" s="191">
        <f ca="1">IFERROR(SUM(OFFSET(BZ182,0,-MIN($M191-1,BZ$5-$V$5)):BZ182)/$M191,0)*-1</f>
        <v>0</v>
      </c>
      <c r="CA191" s="191">
        <f ca="1">IFERROR(SUM(OFFSET(CA182,0,-MIN($M191-1,CA$5-$V$5)):CA182)/$M191,0)*-1</f>
        <v>0</v>
      </c>
      <c r="CB191" s="191">
        <f ca="1">IFERROR(SUM(OFFSET(CB182,0,-MIN($M191-1,CB$5-$V$5)):CB182)/$M191,0)*-1</f>
        <v>0</v>
      </c>
      <c r="CC191" s="191">
        <f ca="1">IFERROR(SUM(OFFSET(CC182,0,-MIN($M191-1,CC$5-$V$5)):CC182)/$M191,0)*-1</f>
        <v>0</v>
      </c>
      <c r="CD191" s="110"/>
      <c r="CE191" s="111"/>
    </row>
    <row r="192" spans="1:83" s="45" customFormat="1" ht="15" customHeight="1" outlineLevel="1" x14ac:dyDescent="0.3">
      <c r="A192" s="111"/>
      <c r="B192" s="30"/>
      <c r="C192" s="110"/>
      <c r="D192" s="165"/>
      <c r="E192" s="151"/>
      <c r="F192" s="151"/>
      <c r="G192" s="151"/>
      <c r="H192" s="151"/>
      <c r="I192" s="31"/>
      <c r="J192" s="31"/>
      <c r="K192" s="31"/>
      <c r="L192" s="31"/>
      <c r="M192" s="228"/>
      <c r="N192" s="191"/>
      <c r="O192" s="139"/>
      <c r="P192" s="191"/>
      <c r="Q192" s="191"/>
      <c r="R192" s="191"/>
      <c r="S192" s="191"/>
      <c r="T192" s="191"/>
      <c r="U192" s="139"/>
      <c r="V192" s="191"/>
      <c r="W192" s="191"/>
      <c r="X192" s="191"/>
      <c r="Y192" s="191"/>
      <c r="Z192" s="191"/>
      <c r="AA192" s="191"/>
      <c r="AB192" s="191"/>
      <c r="AC192" s="191"/>
      <c r="AD192" s="191"/>
      <c r="AE192" s="191"/>
      <c r="AF192" s="191"/>
      <c r="AG192" s="191"/>
      <c r="AH192" s="191"/>
      <c r="AI192" s="191"/>
      <c r="AJ192" s="191"/>
      <c r="AK192" s="191"/>
      <c r="AL192" s="191"/>
      <c r="AM192" s="191"/>
      <c r="AN192" s="191"/>
      <c r="AO192" s="191"/>
      <c r="AP192" s="191"/>
      <c r="AQ192" s="191"/>
      <c r="AR192" s="191"/>
      <c r="AS192" s="191"/>
      <c r="AT192" s="191"/>
      <c r="AU192" s="191"/>
      <c r="AV192" s="191"/>
      <c r="AW192" s="191"/>
      <c r="AX192" s="191"/>
      <c r="AY192" s="191"/>
      <c r="AZ192" s="191"/>
      <c r="BA192" s="191"/>
      <c r="BB192" s="191"/>
      <c r="BC192" s="191"/>
      <c r="BD192" s="191"/>
      <c r="BE192" s="191"/>
      <c r="BF192" s="191"/>
      <c r="BG192" s="191"/>
      <c r="BH192" s="191"/>
      <c r="BI192" s="191"/>
      <c r="BJ192" s="191"/>
      <c r="BK192" s="191"/>
      <c r="BL192" s="191"/>
      <c r="BM192" s="191"/>
      <c r="BN192" s="191"/>
      <c r="BO192" s="191"/>
      <c r="BP192" s="191"/>
      <c r="BQ192" s="191"/>
      <c r="BR192" s="191"/>
      <c r="BS192" s="191"/>
      <c r="BT192" s="191"/>
      <c r="BU192" s="191"/>
      <c r="BV192" s="191"/>
      <c r="BW192" s="191"/>
      <c r="BX192" s="191"/>
      <c r="BY192" s="191"/>
      <c r="BZ192" s="191"/>
      <c r="CA192" s="191"/>
      <c r="CB192" s="191"/>
      <c r="CC192" s="191"/>
      <c r="CD192" s="110"/>
      <c r="CE192" s="111"/>
    </row>
    <row r="193" spans="1:83" s="22" customFormat="1" ht="15" customHeight="1" outlineLevel="1" x14ac:dyDescent="0.3">
      <c r="A193" s="51"/>
      <c r="D193" s="207" t="s">
        <v>74</v>
      </c>
      <c r="E193" s="208"/>
      <c r="F193" s="208"/>
      <c r="G193" s="208"/>
      <c r="H193" s="208"/>
      <c r="I193" s="209" t="str">
        <f>Ввод!$M$12</f>
        <v>руб</v>
      </c>
      <c r="J193" s="209"/>
      <c r="K193" s="209"/>
      <c r="L193" s="209"/>
      <c r="M193" s="230"/>
      <c r="N193" s="230">
        <f ca="1">SUM(P193:T193)</f>
        <v>-26195355.191256821</v>
      </c>
      <c r="O193" s="139"/>
      <c r="P193" s="230">
        <f ca="1">SUMIF($V$4:$CC$4,P$4,$V193:$CC193)</f>
        <v>-3244535.5191256823</v>
      </c>
      <c r="Q193" s="230">
        <f ca="1">SUMIF($V$4:$CC$4,Q$4,$V193:$CC193)</f>
        <v>-5737704.9180327849</v>
      </c>
      <c r="R193" s="230">
        <f ca="1">SUMIF($V$4:$CC$4,R$4,$V193:$CC193)</f>
        <v>-5737704.9180327849</v>
      </c>
      <c r="S193" s="230">
        <f ca="1">SUMIF($V$4:$CC$4,S$4,$V193:$CC193)</f>
        <v>-5737704.9180327849</v>
      </c>
      <c r="T193" s="230">
        <f ca="1">SUMIF($V$4:$CC$4,T$4,$V193:$CC193)</f>
        <v>-5737704.9180327849</v>
      </c>
      <c r="U193" s="139"/>
      <c r="V193" s="230">
        <f t="shared" ref="V193:BA193" ca="1" si="272">SUM(V187:V190)</f>
        <v>0</v>
      </c>
      <c r="W193" s="230">
        <f t="shared" ca="1" si="272"/>
        <v>0</v>
      </c>
      <c r="X193" s="230">
        <f t="shared" ca="1" si="272"/>
        <v>0</v>
      </c>
      <c r="Y193" s="230">
        <f t="shared" ca="1" si="272"/>
        <v>-68306.010928961754</v>
      </c>
      <c r="Z193" s="230">
        <f t="shared" ca="1" si="272"/>
        <v>-239071.03825136612</v>
      </c>
      <c r="AA193" s="230">
        <f t="shared" ca="1" si="272"/>
        <v>-239071.03825136612</v>
      </c>
      <c r="AB193" s="230">
        <f t="shared" ca="1" si="272"/>
        <v>-307377.04918032791</v>
      </c>
      <c r="AC193" s="230">
        <f t="shared" ca="1" si="272"/>
        <v>-478142.07650273223</v>
      </c>
      <c r="AD193" s="230">
        <f t="shared" ca="1" si="272"/>
        <v>-478142.07650273223</v>
      </c>
      <c r="AE193" s="230">
        <f t="shared" ca="1" si="272"/>
        <v>-478142.07650273223</v>
      </c>
      <c r="AF193" s="230">
        <f t="shared" ca="1" si="272"/>
        <v>-478142.07650273223</v>
      </c>
      <c r="AG193" s="230">
        <f t="shared" ca="1" si="272"/>
        <v>-478142.07650273223</v>
      </c>
      <c r="AH193" s="230">
        <f t="shared" ca="1" si="272"/>
        <v>-478142.07650273223</v>
      </c>
      <c r="AI193" s="230">
        <f t="shared" ca="1" si="272"/>
        <v>-478142.07650273223</v>
      </c>
      <c r="AJ193" s="230">
        <f t="shared" ca="1" si="272"/>
        <v>-478142.07650273223</v>
      </c>
      <c r="AK193" s="230">
        <f t="shared" ca="1" si="272"/>
        <v>-478142.07650273223</v>
      </c>
      <c r="AL193" s="230">
        <f t="shared" ca="1" si="272"/>
        <v>-478142.07650273223</v>
      </c>
      <c r="AM193" s="230">
        <f t="shared" ca="1" si="272"/>
        <v>-478142.07650273223</v>
      </c>
      <c r="AN193" s="230">
        <f t="shared" ca="1" si="272"/>
        <v>-478142.07650273223</v>
      </c>
      <c r="AO193" s="230">
        <f t="shared" ca="1" si="272"/>
        <v>-478142.07650273223</v>
      </c>
      <c r="AP193" s="230">
        <f t="shared" ca="1" si="272"/>
        <v>-478142.07650273223</v>
      </c>
      <c r="AQ193" s="230">
        <f t="shared" ca="1" si="272"/>
        <v>-478142.07650273223</v>
      </c>
      <c r="AR193" s="230">
        <f t="shared" ca="1" si="272"/>
        <v>-478142.07650273223</v>
      </c>
      <c r="AS193" s="230">
        <f t="shared" ca="1" si="272"/>
        <v>-478142.07650273223</v>
      </c>
      <c r="AT193" s="230">
        <f t="shared" ca="1" si="272"/>
        <v>-478142.07650273223</v>
      </c>
      <c r="AU193" s="230">
        <f t="shared" ca="1" si="272"/>
        <v>-478142.07650273223</v>
      </c>
      <c r="AV193" s="230">
        <f t="shared" ca="1" si="272"/>
        <v>-478142.07650273223</v>
      </c>
      <c r="AW193" s="230">
        <f t="shared" ca="1" si="272"/>
        <v>-478142.07650273223</v>
      </c>
      <c r="AX193" s="230">
        <f t="shared" ca="1" si="272"/>
        <v>-478142.07650273223</v>
      </c>
      <c r="AY193" s="230">
        <f t="shared" ca="1" si="272"/>
        <v>-478142.07650273223</v>
      </c>
      <c r="AZ193" s="230">
        <f t="shared" ca="1" si="272"/>
        <v>-478142.07650273223</v>
      </c>
      <c r="BA193" s="230">
        <f t="shared" ca="1" si="272"/>
        <v>-478142.07650273223</v>
      </c>
      <c r="BB193" s="230">
        <f t="shared" ref="BB193:CC193" ca="1" si="273">SUM(BB187:BB190)</f>
        <v>-478142.07650273223</v>
      </c>
      <c r="BC193" s="230">
        <f t="shared" ca="1" si="273"/>
        <v>-478142.07650273223</v>
      </c>
      <c r="BD193" s="230">
        <f t="shared" ca="1" si="273"/>
        <v>-478142.07650273223</v>
      </c>
      <c r="BE193" s="230">
        <f t="shared" ca="1" si="273"/>
        <v>-478142.07650273223</v>
      </c>
      <c r="BF193" s="230">
        <f t="shared" ca="1" si="273"/>
        <v>-478142.07650273223</v>
      </c>
      <c r="BG193" s="230">
        <f t="shared" ca="1" si="273"/>
        <v>-478142.07650273223</v>
      </c>
      <c r="BH193" s="230">
        <f t="shared" ca="1" si="273"/>
        <v>-478142.07650273223</v>
      </c>
      <c r="BI193" s="230">
        <f t="shared" ca="1" si="273"/>
        <v>-478142.07650273223</v>
      </c>
      <c r="BJ193" s="230">
        <f t="shared" ca="1" si="273"/>
        <v>-478142.07650273223</v>
      </c>
      <c r="BK193" s="230">
        <f t="shared" ca="1" si="273"/>
        <v>-478142.07650273223</v>
      </c>
      <c r="BL193" s="230">
        <f t="shared" ca="1" si="273"/>
        <v>-478142.07650273223</v>
      </c>
      <c r="BM193" s="230">
        <f t="shared" ca="1" si="273"/>
        <v>-478142.07650273223</v>
      </c>
      <c r="BN193" s="230">
        <f t="shared" ca="1" si="273"/>
        <v>-478142.07650273223</v>
      </c>
      <c r="BO193" s="230">
        <f t="shared" ca="1" si="273"/>
        <v>-478142.07650273223</v>
      </c>
      <c r="BP193" s="230">
        <f t="shared" ca="1" si="273"/>
        <v>-478142.07650273223</v>
      </c>
      <c r="BQ193" s="230">
        <f t="shared" ca="1" si="273"/>
        <v>-478142.07650273223</v>
      </c>
      <c r="BR193" s="230">
        <f t="shared" ca="1" si="273"/>
        <v>-478142.07650273223</v>
      </c>
      <c r="BS193" s="230">
        <f t="shared" ca="1" si="273"/>
        <v>-478142.07650273223</v>
      </c>
      <c r="BT193" s="230">
        <f t="shared" ca="1" si="273"/>
        <v>-478142.07650273223</v>
      </c>
      <c r="BU193" s="230">
        <f t="shared" ca="1" si="273"/>
        <v>-478142.07650273223</v>
      </c>
      <c r="BV193" s="230">
        <f t="shared" ca="1" si="273"/>
        <v>-478142.07650273223</v>
      </c>
      <c r="BW193" s="230">
        <f t="shared" ca="1" si="273"/>
        <v>-478142.07650273223</v>
      </c>
      <c r="BX193" s="230">
        <f t="shared" ca="1" si="273"/>
        <v>-478142.07650273223</v>
      </c>
      <c r="BY193" s="230">
        <f t="shared" ca="1" si="273"/>
        <v>-478142.07650273223</v>
      </c>
      <c r="BZ193" s="230">
        <f t="shared" ca="1" si="273"/>
        <v>-478142.07650273223</v>
      </c>
      <c r="CA193" s="230">
        <f t="shared" ca="1" si="273"/>
        <v>-478142.07650273223</v>
      </c>
      <c r="CB193" s="230">
        <f t="shared" ca="1" si="273"/>
        <v>-478142.07650273223</v>
      </c>
      <c r="CC193" s="230">
        <f t="shared" ca="1" si="273"/>
        <v>-478142.07650273223</v>
      </c>
      <c r="CE193" s="51"/>
    </row>
    <row r="194" spans="1:83" s="23" customFormat="1" ht="15" customHeight="1" x14ac:dyDescent="0.3">
      <c r="A194" s="111"/>
      <c r="B194" s="110"/>
      <c r="C194" s="110"/>
      <c r="D194" s="131"/>
      <c r="E194" s="114"/>
      <c r="F194" s="114"/>
      <c r="G194" s="114"/>
      <c r="H194" s="114"/>
      <c r="I194" s="114"/>
      <c r="J194" s="114"/>
      <c r="K194" s="114"/>
      <c r="L194" s="114"/>
      <c r="M194" s="110"/>
      <c r="N194" s="110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97"/>
      <c r="AH194" s="97"/>
      <c r="AI194" s="97"/>
      <c r="AJ194" s="97"/>
      <c r="AK194" s="97"/>
      <c r="AL194" s="97"/>
      <c r="AM194" s="97"/>
      <c r="AN194" s="97"/>
      <c r="AO194" s="97"/>
      <c r="AP194" s="97"/>
      <c r="AQ194" s="97"/>
      <c r="AR194" s="97"/>
      <c r="AS194" s="97"/>
      <c r="AT194" s="97"/>
      <c r="AU194" s="97"/>
      <c r="AV194" s="97"/>
      <c r="AW194" s="97"/>
      <c r="AX194" s="97"/>
      <c r="AY194" s="97"/>
      <c r="AZ194" s="97"/>
      <c r="BA194" s="97"/>
      <c r="BB194" s="97"/>
      <c r="BC194" s="97"/>
      <c r="BD194" s="97"/>
      <c r="BE194" s="97"/>
      <c r="BF194" s="97"/>
      <c r="BG194" s="97"/>
      <c r="BH194" s="97"/>
      <c r="BI194" s="97"/>
      <c r="BJ194" s="97"/>
      <c r="BK194" s="97"/>
      <c r="BL194" s="97"/>
      <c r="BM194" s="97"/>
      <c r="BN194" s="97"/>
      <c r="BO194" s="97"/>
      <c r="BP194" s="97"/>
      <c r="BQ194" s="97"/>
      <c r="BR194" s="97"/>
      <c r="BS194" s="97"/>
      <c r="BT194" s="97"/>
      <c r="BU194" s="97"/>
      <c r="BV194" s="97"/>
      <c r="BW194" s="97"/>
      <c r="BX194" s="97"/>
      <c r="BY194" s="97"/>
      <c r="BZ194" s="97"/>
      <c r="CA194" s="97"/>
      <c r="CB194" s="97"/>
      <c r="CC194" s="97"/>
      <c r="CD194" s="110"/>
      <c r="CE194" s="111"/>
    </row>
    <row r="195" spans="1:83" s="23" customFormat="1" ht="15" customHeight="1" x14ac:dyDescent="0.3">
      <c r="A195" s="111"/>
      <c r="B195" s="110"/>
      <c r="C195" s="110"/>
      <c r="D195" s="133" t="s">
        <v>34</v>
      </c>
      <c r="E195" s="123"/>
      <c r="F195" s="123"/>
      <c r="G195" s="123"/>
      <c r="H195" s="123"/>
      <c r="I195" s="124"/>
      <c r="J195" s="124"/>
      <c r="K195" s="124"/>
      <c r="L195" s="124"/>
      <c r="M195" s="125"/>
      <c r="N195" s="126"/>
      <c r="O195" s="97"/>
      <c r="P195" s="126"/>
      <c r="Q195" s="126"/>
      <c r="R195" s="126"/>
      <c r="S195" s="126"/>
      <c r="T195" s="126"/>
      <c r="U195" s="97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6"/>
      <c r="AH195" s="126"/>
      <c r="AI195" s="126"/>
      <c r="AJ195" s="126"/>
      <c r="AK195" s="126"/>
      <c r="AL195" s="126"/>
      <c r="AM195" s="126"/>
      <c r="AN195" s="126"/>
      <c r="AO195" s="126"/>
      <c r="AP195" s="126"/>
      <c r="AQ195" s="126"/>
      <c r="AR195" s="126"/>
      <c r="AS195" s="126"/>
      <c r="AT195" s="126"/>
      <c r="AU195" s="126"/>
      <c r="AV195" s="126"/>
      <c r="AW195" s="126"/>
      <c r="AX195" s="126"/>
      <c r="AY195" s="126"/>
      <c r="AZ195" s="126"/>
      <c r="BA195" s="126"/>
      <c r="BB195" s="126"/>
      <c r="BC195" s="126"/>
      <c r="BD195" s="126"/>
      <c r="BE195" s="126"/>
      <c r="BF195" s="126"/>
      <c r="BG195" s="126"/>
      <c r="BH195" s="126"/>
      <c r="BI195" s="126"/>
      <c r="BJ195" s="126"/>
      <c r="BK195" s="126"/>
      <c r="BL195" s="126"/>
      <c r="BM195" s="126"/>
      <c r="BN195" s="126"/>
      <c r="BO195" s="126"/>
      <c r="BP195" s="126"/>
      <c r="BQ195" s="126"/>
      <c r="BR195" s="126"/>
      <c r="BS195" s="126"/>
      <c r="BT195" s="126"/>
      <c r="BU195" s="126"/>
      <c r="BV195" s="126"/>
      <c r="BW195" s="126"/>
      <c r="BX195" s="126"/>
      <c r="BY195" s="126"/>
      <c r="BZ195" s="126"/>
      <c r="CA195" s="126"/>
      <c r="CB195" s="126"/>
      <c r="CC195" s="126"/>
      <c r="CD195" s="110"/>
      <c r="CE195" s="111"/>
    </row>
    <row r="196" spans="1:83" s="45" customFormat="1" ht="15" customHeight="1" outlineLevel="1" x14ac:dyDescent="0.3">
      <c r="A196" s="111"/>
      <c r="B196" s="30"/>
      <c r="C196" s="110"/>
      <c r="D196" s="134"/>
      <c r="E196" s="28"/>
      <c r="F196" s="28"/>
      <c r="G196" s="28"/>
      <c r="H196" s="28"/>
      <c r="I196" s="6"/>
      <c r="J196" s="6"/>
      <c r="K196" s="6"/>
      <c r="L196" s="6"/>
      <c r="M196" s="49"/>
      <c r="N196" s="5"/>
      <c r="O196" s="97"/>
      <c r="P196" s="5"/>
      <c r="Q196" s="5"/>
      <c r="R196" s="5"/>
      <c r="S196" s="5"/>
      <c r="T196" s="5"/>
      <c r="U196" s="97"/>
      <c r="V196" s="54"/>
      <c r="W196" s="54"/>
      <c r="X196" s="54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  <c r="BH196" s="29"/>
      <c r="BI196" s="29"/>
      <c r="BJ196" s="29"/>
      <c r="BK196" s="29"/>
      <c r="BL196" s="29"/>
      <c r="BM196" s="29"/>
      <c r="BN196" s="29"/>
      <c r="BO196" s="29"/>
      <c r="BP196" s="29"/>
      <c r="BQ196" s="29"/>
      <c r="BR196" s="29"/>
      <c r="BS196" s="29"/>
      <c r="BT196" s="29"/>
      <c r="BU196" s="29"/>
      <c r="BV196" s="29"/>
      <c r="BW196" s="29"/>
      <c r="BX196" s="29"/>
      <c r="BY196" s="29"/>
      <c r="BZ196" s="29"/>
      <c r="CA196" s="29"/>
      <c r="CB196" s="29"/>
      <c r="CC196" s="29"/>
      <c r="CD196" s="30"/>
      <c r="CE196" s="111"/>
    </row>
    <row r="197" spans="1:83" s="45" customFormat="1" ht="15" customHeight="1" outlineLevel="1" x14ac:dyDescent="0.3">
      <c r="A197" s="111"/>
      <c r="B197" s="30"/>
      <c r="C197" s="110"/>
      <c r="D197" s="141" t="s">
        <v>60</v>
      </c>
      <c r="E197" s="39"/>
      <c r="F197" s="39"/>
      <c r="G197" s="39"/>
      <c r="H197" s="39"/>
      <c r="I197" s="6"/>
      <c r="J197" s="6"/>
      <c r="K197" s="6"/>
      <c r="L197" s="6"/>
      <c r="M197" s="49"/>
      <c r="N197" s="5"/>
      <c r="O197" s="97"/>
      <c r="P197" s="5"/>
      <c r="Q197" s="5"/>
      <c r="R197" s="5"/>
      <c r="S197" s="5"/>
      <c r="T197" s="5"/>
      <c r="U197" s="97"/>
      <c r="V197" s="54"/>
      <c r="W197" s="54"/>
      <c r="X197" s="54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  <c r="BG197" s="29"/>
      <c r="BH197" s="29"/>
      <c r="BI197" s="29"/>
      <c r="BJ197" s="29"/>
      <c r="BK197" s="29"/>
      <c r="BL197" s="29"/>
      <c r="BM197" s="29"/>
      <c r="BN197" s="29"/>
      <c r="BO197" s="29"/>
      <c r="BP197" s="29"/>
      <c r="BQ197" s="29"/>
      <c r="BR197" s="29"/>
      <c r="BS197" s="29"/>
      <c r="BT197" s="29"/>
      <c r="BU197" s="29"/>
      <c r="BV197" s="29"/>
      <c r="BW197" s="29"/>
      <c r="BX197" s="29"/>
      <c r="BY197" s="29"/>
      <c r="BZ197" s="29"/>
      <c r="CA197" s="29"/>
      <c r="CB197" s="29"/>
      <c r="CC197" s="29"/>
      <c r="CD197" s="30"/>
      <c r="CE197" s="111"/>
    </row>
    <row r="198" spans="1:83" s="30" customFormat="1" ht="15" customHeight="1" outlineLevel="1" x14ac:dyDescent="0.3">
      <c r="A198" s="44"/>
      <c r="D198" s="132" t="s">
        <v>35</v>
      </c>
      <c r="E198" s="27"/>
      <c r="F198" s="27"/>
      <c r="G198" s="27"/>
      <c r="H198" s="27"/>
      <c r="I198" s="31" t="s">
        <v>36</v>
      </c>
      <c r="J198" s="31"/>
      <c r="K198" s="31"/>
      <c r="L198" s="31"/>
      <c r="M198" s="94">
        <f>Ввод!M18</f>
        <v>0.22</v>
      </c>
      <c r="N198" s="29"/>
      <c r="O198" s="97"/>
      <c r="P198" s="29"/>
      <c r="Q198" s="29"/>
      <c r="R198" s="29"/>
      <c r="S198" s="29"/>
      <c r="T198" s="29"/>
      <c r="U198" s="97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  <c r="AQ198" s="42"/>
      <c r="AR198" s="42"/>
      <c r="AS198" s="42"/>
      <c r="AT198" s="42"/>
      <c r="AU198" s="42"/>
      <c r="AV198" s="42"/>
      <c r="AW198" s="42"/>
      <c r="AX198" s="42"/>
      <c r="AY198" s="42"/>
      <c r="AZ198" s="42"/>
      <c r="BA198" s="42"/>
      <c r="BB198" s="42"/>
      <c r="BC198" s="42"/>
      <c r="BD198" s="42"/>
      <c r="BE198" s="42"/>
      <c r="BF198" s="42"/>
      <c r="BG198" s="42"/>
      <c r="BH198" s="42"/>
      <c r="BI198" s="42"/>
      <c r="BJ198" s="42"/>
      <c r="BK198" s="42"/>
      <c r="BL198" s="42"/>
      <c r="BM198" s="42"/>
      <c r="BN198" s="42"/>
      <c r="BO198" s="42"/>
      <c r="BP198" s="42"/>
      <c r="BQ198" s="42"/>
      <c r="BR198" s="42"/>
      <c r="BS198" s="42"/>
      <c r="BT198" s="42"/>
      <c r="BU198" s="42"/>
      <c r="BV198" s="42"/>
      <c r="BW198" s="42"/>
      <c r="BX198" s="42"/>
      <c r="BY198" s="42"/>
      <c r="BZ198" s="42"/>
      <c r="CA198" s="42"/>
      <c r="CB198" s="42"/>
      <c r="CC198" s="42"/>
      <c r="CD198" s="42"/>
      <c r="CE198" s="44"/>
    </row>
    <row r="199" spans="1:83" s="30" customFormat="1" ht="15" customHeight="1" outlineLevel="1" x14ac:dyDescent="0.3">
      <c r="A199" s="44"/>
      <c r="D199" s="132" t="s">
        <v>37</v>
      </c>
      <c r="E199" s="27"/>
      <c r="F199" s="27"/>
      <c r="G199" s="27"/>
      <c r="H199" s="27"/>
      <c r="I199" s="31" t="s">
        <v>36</v>
      </c>
      <c r="J199" s="31"/>
      <c r="K199" s="31"/>
      <c r="L199" s="31"/>
      <c r="M199" s="94">
        <f>Ввод!M19</f>
        <v>0.22</v>
      </c>
      <c r="N199" s="29"/>
      <c r="O199" s="97"/>
      <c r="P199" s="29"/>
      <c r="Q199" s="29"/>
      <c r="R199" s="29"/>
      <c r="S199" s="29"/>
      <c r="T199" s="29"/>
      <c r="U199" s="97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/>
      <c r="AQ199" s="42"/>
      <c r="AR199" s="42"/>
      <c r="AS199" s="42"/>
      <c r="AT199" s="42"/>
      <c r="AU199" s="42"/>
      <c r="AV199" s="42"/>
      <c r="AW199" s="42"/>
      <c r="AX199" s="42"/>
      <c r="AY199" s="42"/>
      <c r="AZ199" s="42"/>
      <c r="BA199" s="42"/>
      <c r="BB199" s="42"/>
      <c r="BC199" s="42"/>
      <c r="BD199" s="42"/>
      <c r="BE199" s="42"/>
      <c r="BF199" s="42"/>
      <c r="BG199" s="42"/>
      <c r="BH199" s="42"/>
      <c r="BI199" s="42"/>
      <c r="BJ199" s="42"/>
      <c r="BK199" s="42"/>
      <c r="BL199" s="42"/>
      <c r="BM199" s="42"/>
      <c r="BN199" s="42"/>
      <c r="BO199" s="42"/>
      <c r="BP199" s="42"/>
      <c r="BQ199" s="42"/>
      <c r="BR199" s="42"/>
      <c r="BS199" s="42"/>
      <c r="BT199" s="42"/>
      <c r="BU199" s="42"/>
      <c r="BV199" s="42"/>
      <c r="BW199" s="42"/>
      <c r="BX199" s="42"/>
      <c r="BY199" s="42"/>
      <c r="BZ199" s="42"/>
      <c r="CA199" s="42"/>
      <c r="CB199" s="42"/>
      <c r="CC199" s="42"/>
      <c r="CD199" s="42"/>
      <c r="CE199" s="44"/>
    </row>
    <row r="200" spans="1:83" s="30" customFormat="1" ht="15" customHeight="1" outlineLevel="1" x14ac:dyDescent="0.3">
      <c r="A200" s="44"/>
      <c r="D200" s="132" t="s">
        <v>38</v>
      </c>
      <c r="E200" s="27"/>
      <c r="F200" s="27"/>
      <c r="G200" s="27"/>
      <c r="H200" s="27"/>
      <c r="I200" s="31" t="s">
        <v>39</v>
      </c>
      <c r="J200" s="31"/>
      <c r="K200" s="31"/>
      <c r="L200" s="31"/>
      <c r="M200" s="251">
        <f>Ввод!$M$20</f>
        <v>1</v>
      </c>
      <c r="N200" s="191"/>
      <c r="O200" s="139"/>
      <c r="P200" s="191"/>
      <c r="Q200" s="191"/>
      <c r="R200" s="191"/>
      <c r="S200" s="191"/>
      <c r="T200" s="191"/>
      <c r="U200" s="139"/>
      <c r="V200" s="237"/>
      <c r="W200" s="237"/>
      <c r="X200" s="237"/>
      <c r="Y200" s="237"/>
      <c r="Z200" s="237"/>
      <c r="AA200" s="237"/>
      <c r="AB200" s="237"/>
      <c r="AC200" s="237"/>
      <c r="AD200" s="237"/>
      <c r="AE200" s="237"/>
      <c r="AF200" s="237"/>
      <c r="AG200" s="237"/>
      <c r="AH200" s="237"/>
      <c r="AI200" s="237"/>
      <c r="AJ200" s="237"/>
      <c r="AK200" s="237"/>
      <c r="AL200" s="237"/>
      <c r="AM200" s="237"/>
      <c r="AN200" s="237"/>
      <c r="AO200" s="237"/>
      <c r="AP200" s="237"/>
      <c r="AQ200" s="237"/>
      <c r="AR200" s="237"/>
      <c r="AS200" s="237"/>
      <c r="AT200" s="237"/>
      <c r="AU200" s="237"/>
      <c r="AV200" s="237"/>
      <c r="AW200" s="237"/>
      <c r="AX200" s="237"/>
      <c r="AY200" s="237"/>
      <c r="AZ200" s="237"/>
      <c r="BA200" s="237"/>
      <c r="BB200" s="237"/>
      <c r="BC200" s="237"/>
      <c r="BD200" s="237"/>
      <c r="BE200" s="237"/>
      <c r="BF200" s="237"/>
      <c r="BG200" s="237"/>
      <c r="BH200" s="237"/>
      <c r="BI200" s="237"/>
      <c r="BJ200" s="237"/>
      <c r="BK200" s="237"/>
      <c r="BL200" s="237"/>
      <c r="BM200" s="237"/>
      <c r="BN200" s="237"/>
      <c r="BO200" s="237"/>
      <c r="BP200" s="237"/>
      <c r="BQ200" s="237"/>
      <c r="BR200" s="237"/>
      <c r="BS200" s="237"/>
      <c r="BT200" s="237"/>
      <c r="BU200" s="237"/>
      <c r="BV200" s="237"/>
      <c r="BW200" s="237"/>
      <c r="BX200" s="237"/>
      <c r="BY200" s="237"/>
      <c r="BZ200" s="237"/>
      <c r="CA200" s="237"/>
      <c r="CB200" s="237"/>
      <c r="CC200" s="237"/>
      <c r="CD200" s="42"/>
      <c r="CE200" s="44"/>
    </row>
    <row r="201" spans="1:83" s="30" customFormat="1" ht="15" customHeight="1" outlineLevel="1" x14ac:dyDescent="0.3">
      <c r="A201" s="44"/>
      <c r="D201" s="168"/>
      <c r="I201" s="31"/>
      <c r="J201" s="31"/>
      <c r="K201" s="31"/>
      <c r="L201" s="31"/>
      <c r="M201" s="243"/>
      <c r="N201" s="191"/>
      <c r="O201" s="139"/>
      <c r="P201" s="191"/>
      <c r="Q201" s="191"/>
      <c r="R201" s="191"/>
      <c r="S201" s="191"/>
      <c r="T201" s="191"/>
      <c r="U201" s="139"/>
      <c r="V201" s="237"/>
      <c r="W201" s="237"/>
      <c r="X201" s="237"/>
      <c r="Y201" s="237"/>
      <c r="Z201" s="237"/>
      <c r="AA201" s="237"/>
      <c r="AB201" s="237"/>
      <c r="AC201" s="237"/>
      <c r="AD201" s="237"/>
      <c r="AE201" s="237"/>
      <c r="AF201" s="237"/>
      <c r="AG201" s="237"/>
      <c r="AH201" s="237"/>
      <c r="AI201" s="237"/>
      <c r="AJ201" s="237"/>
      <c r="AK201" s="237"/>
      <c r="AL201" s="237"/>
      <c r="AM201" s="237"/>
      <c r="AN201" s="237"/>
      <c r="AO201" s="237"/>
      <c r="AP201" s="237"/>
      <c r="AQ201" s="237"/>
      <c r="AR201" s="237"/>
      <c r="AS201" s="237"/>
      <c r="AT201" s="237"/>
      <c r="AU201" s="237"/>
      <c r="AV201" s="237"/>
      <c r="AW201" s="237"/>
      <c r="AX201" s="237"/>
      <c r="AY201" s="237"/>
      <c r="AZ201" s="237"/>
      <c r="BA201" s="237"/>
      <c r="BB201" s="237"/>
      <c r="BC201" s="237"/>
      <c r="BD201" s="237"/>
      <c r="BE201" s="237"/>
      <c r="BF201" s="237"/>
      <c r="BG201" s="237"/>
      <c r="BH201" s="237"/>
      <c r="BI201" s="237"/>
      <c r="BJ201" s="237"/>
      <c r="BK201" s="237"/>
      <c r="BL201" s="237"/>
      <c r="BM201" s="237"/>
      <c r="BN201" s="237"/>
      <c r="BO201" s="237"/>
      <c r="BP201" s="237"/>
      <c r="BQ201" s="237"/>
      <c r="BR201" s="237"/>
      <c r="BS201" s="237"/>
      <c r="BT201" s="237"/>
      <c r="BU201" s="237"/>
      <c r="BV201" s="237"/>
      <c r="BW201" s="237"/>
      <c r="BX201" s="237"/>
      <c r="BY201" s="237"/>
      <c r="BZ201" s="237"/>
      <c r="CA201" s="237"/>
      <c r="CB201" s="237"/>
      <c r="CC201" s="237"/>
      <c r="CD201" s="42"/>
      <c r="CE201" s="44"/>
    </row>
    <row r="202" spans="1:83" s="30" customFormat="1" ht="15" customHeight="1" outlineLevel="1" x14ac:dyDescent="0.3">
      <c r="A202" s="44"/>
      <c r="D202" s="132" t="s">
        <v>6</v>
      </c>
      <c r="E202" s="27"/>
      <c r="F202" s="27"/>
      <c r="G202" s="27"/>
      <c r="H202" s="27"/>
      <c r="I202" s="31" t="str">
        <f>Ввод!$M$12</f>
        <v>руб</v>
      </c>
      <c r="J202" s="31"/>
      <c r="K202" s="31"/>
      <c r="L202" s="31"/>
      <c r="M202" s="243"/>
      <c r="N202" s="191">
        <f>SUM(P202:T202)</f>
        <v>635000000</v>
      </c>
      <c r="O202" s="139"/>
      <c r="P202" s="191">
        <f t="shared" ref="P202:T203" si="274">SUMIF($V$4:$CC$4,P$4,$V202:$CC202)</f>
        <v>44600000</v>
      </c>
      <c r="Q202" s="191">
        <f t="shared" si="274"/>
        <v>104400000</v>
      </c>
      <c r="R202" s="191">
        <f t="shared" si="274"/>
        <v>133200000</v>
      </c>
      <c r="S202" s="191">
        <f t="shared" si="274"/>
        <v>162000000</v>
      </c>
      <c r="T202" s="191">
        <f t="shared" si="274"/>
        <v>190800000</v>
      </c>
      <c r="U202" s="139"/>
      <c r="V202" s="224">
        <f t="shared" ref="V202:BA202" si="275">V24</f>
        <v>0</v>
      </c>
      <c r="W202" s="224">
        <f t="shared" si="275"/>
        <v>0</v>
      </c>
      <c r="X202" s="224">
        <f t="shared" si="275"/>
        <v>0</v>
      </c>
      <c r="Y202" s="224">
        <f t="shared" si="275"/>
        <v>0</v>
      </c>
      <c r="Z202" s="224">
        <f t="shared" si="275"/>
        <v>0</v>
      </c>
      <c r="AA202" s="224">
        <f t="shared" si="275"/>
        <v>5000000</v>
      </c>
      <c r="AB202" s="224">
        <f t="shared" si="275"/>
        <v>5500000</v>
      </c>
      <c r="AC202" s="224">
        <f t="shared" si="275"/>
        <v>6000000</v>
      </c>
      <c r="AD202" s="224">
        <f t="shared" si="275"/>
        <v>6500000</v>
      </c>
      <c r="AE202" s="224">
        <f t="shared" si="275"/>
        <v>7000000</v>
      </c>
      <c r="AF202" s="224">
        <f t="shared" si="275"/>
        <v>7200000</v>
      </c>
      <c r="AG202" s="224">
        <f t="shared" si="275"/>
        <v>7400000</v>
      </c>
      <c r="AH202" s="224">
        <f t="shared" si="275"/>
        <v>7600000</v>
      </c>
      <c r="AI202" s="224">
        <f t="shared" si="275"/>
        <v>7800000</v>
      </c>
      <c r="AJ202" s="224">
        <f t="shared" si="275"/>
        <v>8000000</v>
      </c>
      <c r="AK202" s="224">
        <f t="shared" si="275"/>
        <v>8200000</v>
      </c>
      <c r="AL202" s="224">
        <f t="shared" si="275"/>
        <v>8400000</v>
      </c>
      <c r="AM202" s="224">
        <f t="shared" si="275"/>
        <v>8600000</v>
      </c>
      <c r="AN202" s="224">
        <f t="shared" si="275"/>
        <v>8800000</v>
      </c>
      <c r="AO202" s="224">
        <f t="shared" si="275"/>
        <v>9000000</v>
      </c>
      <c r="AP202" s="224">
        <f t="shared" si="275"/>
        <v>9200000</v>
      </c>
      <c r="AQ202" s="224">
        <f t="shared" si="275"/>
        <v>9400000</v>
      </c>
      <c r="AR202" s="224">
        <f t="shared" si="275"/>
        <v>9600000</v>
      </c>
      <c r="AS202" s="224">
        <f t="shared" si="275"/>
        <v>9800000</v>
      </c>
      <c r="AT202" s="224">
        <f t="shared" si="275"/>
        <v>10000000</v>
      </c>
      <c r="AU202" s="224">
        <f t="shared" si="275"/>
        <v>10200000</v>
      </c>
      <c r="AV202" s="224">
        <f t="shared" si="275"/>
        <v>10400000</v>
      </c>
      <c r="AW202" s="224">
        <f t="shared" si="275"/>
        <v>10600000</v>
      </c>
      <c r="AX202" s="224">
        <f t="shared" si="275"/>
        <v>10800000</v>
      </c>
      <c r="AY202" s="224">
        <f t="shared" si="275"/>
        <v>11000000</v>
      </c>
      <c r="AZ202" s="224">
        <f t="shared" si="275"/>
        <v>11200000</v>
      </c>
      <c r="BA202" s="224">
        <f t="shared" si="275"/>
        <v>11400000</v>
      </c>
      <c r="BB202" s="224">
        <f t="shared" ref="BB202:CC202" si="276">BB24</f>
        <v>11600000</v>
      </c>
      <c r="BC202" s="224">
        <f t="shared" si="276"/>
        <v>11800000</v>
      </c>
      <c r="BD202" s="224">
        <f t="shared" si="276"/>
        <v>12000000</v>
      </c>
      <c r="BE202" s="224">
        <f t="shared" si="276"/>
        <v>12200000</v>
      </c>
      <c r="BF202" s="224">
        <f t="shared" si="276"/>
        <v>12400000</v>
      </c>
      <c r="BG202" s="224">
        <f t="shared" si="276"/>
        <v>12600000</v>
      </c>
      <c r="BH202" s="224">
        <f t="shared" si="276"/>
        <v>12800000</v>
      </c>
      <c r="BI202" s="224">
        <f t="shared" si="276"/>
        <v>13000000</v>
      </c>
      <c r="BJ202" s="224">
        <f t="shared" si="276"/>
        <v>13200000</v>
      </c>
      <c r="BK202" s="224">
        <f t="shared" si="276"/>
        <v>13400000</v>
      </c>
      <c r="BL202" s="224">
        <f t="shared" si="276"/>
        <v>13600000</v>
      </c>
      <c r="BM202" s="224">
        <f t="shared" si="276"/>
        <v>13800000</v>
      </c>
      <c r="BN202" s="224">
        <f t="shared" si="276"/>
        <v>14000000</v>
      </c>
      <c r="BO202" s="224">
        <f t="shared" si="276"/>
        <v>14200000</v>
      </c>
      <c r="BP202" s="224">
        <f t="shared" si="276"/>
        <v>14400000</v>
      </c>
      <c r="BQ202" s="224">
        <f t="shared" si="276"/>
        <v>14600000</v>
      </c>
      <c r="BR202" s="224">
        <f t="shared" si="276"/>
        <v>14800000</v>
      </c>
      <c r="BS202" s="224">
        <f t="shared" si="276"/>
        <v>15000000</v>
      </c>
      <c r="BT202" s="224">
        <f t="shared" si="276"/>
        <v>15200000</v>
      </c>
      <c r="BU202" s="224">
        <f t="shared" si="276"/>
        <v>15400000</v>
      </c>
      <c r="BV202" s="224">
        <f t="shared" si="276"/>
        <v>15600000</v>
      </c>
      <c r="BW202" s="224">
        <f t="shared" si="276"/>
        <v>15800000</v>
      </c>
      <c r="BX202" s="224">
        <f t="shared" si="276"/>
        <v>16000000</v>
      </c>
      <c r="BY202" s="224">
        <f t="shared" si="276"/>
        <v>16200000</v>
      </c>
      <c r="BZ202" s="224">
        <f t="shared" si="276"/>
        <v>16400000</v>
      </c>
      <c r="CA202" s="224">
        <f t="shared" si="276"/>
        <v>16600000</v>
      </c>
      <c r="CB202" s="224">
        <f t="shared" si="276"/>
        <v>16800000</v>
      </c>
      <c r="CC202" s="224">
        <f t="shared" si="276"/>
        <v>17000000</v>
      </c>
      <c r="CD202" s="42"/>
      <c r="CE202" s="44"/>
    </row>
    <row r="203" spans="1:83" s="30" customFormat="1" ht="15" customHeight="1" outlineLevel="1" x14ac:dyDescent="0.3">
      <c r="A203" s="44"/>
      <c r="D203" s="132" t="s">
        <v>76</v>
      </c>
      <c r="E203" s="27"/>
      <c r="F203" s="27"/>
      <c r="G203" s="27"/>
      <c r="H203" s="27"/>
      <c r="I203" s="31" t="str">
        <f>Ввод!$M$12</f>
        <v>руб</v>
      </c>
      <c r="J203" s="31"/>
      <c r="K203" s="31"/>
      <c r="L203" s="31"/>
      <c r="M203" s="243"/>
      <c r="N203" s="191">
        <f>SUM(P203:T203)</f>
        <v>139700000</v>
      </c>
      <c r="O203" s="139"/>
      <c r="P203" s="191">
        <f t="shared" si="274"/>
        <v>9812000</v>
      </c>
      <c r="Q203" s="191">
        <f t="shared" si="274"/>
        <v>22968000</v>
      </c>
      <c r="R203" s="191">
        <f t="shared" si="274"/>
        <v>29304000</v>
      </c>
      <c r="S203" s="191">
        <f t="shared" si="274"/>
        <v>35640000</v>
      </c>
      <c r="T203" s="191">
        <f t="shared" si="274"/>
        <v>41976000</v>
      </c>
      <c r="U203" s="139"/>
      <c r="V203" s="237">
        <f>V202*$M$198</f>
        <v>0</v>
      </c>
      <c r="W203" s="237">
        <f t="shared" ref="W203:CC203" si="277">W202*$M$198</f>
        <v>0</v>
      </c>
      <c r="X203" s="237">
        <f t="shared" si="277"/>
        <v>0</v>
      </c>
      <c r="Y203" s="237">
        <f t="shared" si="277"/>
        <v>0</v>
      </c>
      <c r="Z203" s="237">
        <f t="shared" si="277"/>
        <v>0</v>
      </c>
      <c r="AA203" s="237">
        <f t="shared" si="277"/>
        <v>1100000</v>
      </c>
      <c r="AB203" s="237">
        <f t="shared" si="277"/>
        <v>1210000</v>
      </c>
      <c r="AC203" s="237">
        <f t="shared" si="277"/>
        <v>1320000</v>
      </c>
      <c r="AD203" s="237">
        <f t="shared" si="277"/>
        <v>1430000</v>
      </c>
      <c r="AE203" s="237">
        <f t="shared" si="277"/>
        <v>1540000</v>
      </c>
      <c r="AF203" s="237">
        <f t="shared" si="277"/>
        <v>1584000</v>
      </c>
      <c r="AG203" s="237">
        <f t="shared" si="277"/>
        <v>1628000</v>
      </c>
      <c r="AH203" s="237">
        <f t="shared" si="277"/>
        <v>1672000</v>
      </c>
      <c r="AI203" s="237">
        <f t="shared" si="277"/>
        <v>1716000</v>
      </c>
      <c r="AJ203" s="237">
        <f t="shared" si="277"/>
        <v>1760000</v>
      </c>
      <c r="AK203" s="237">
        <f t="shared" si="277"/>
        <v>1804000</v>
      </c>
      <c r="AL203" s="237">
        <f t="shared" si="277"/>
        <v>1848000</v>
      </c>
      <c r="AM203" s="237">
        <f t="shared" si="277"/>
        <v>1892000</v>
      </c>
      <c r="AN203" s="237">
        <f t="shared" si="277"/>
        <v>1936000</v>
      </c>
      <c r="AO203" s="237">
        <f t="shared" si="277"/>
        <v>1980000</v>
      </c>
      <c r="AP203" s="237">
        <f t="shared" si="277"/>
        <v>2024000</v>
      </c>
      <c r="AQ203" s="237">
        <f t="shared" si="277"/>
        <v>2068000</v>
      </c>
      <c r="AR203" s="237">
        <f t="shared" si="277"/>
        <v>2112000</v>
      </c>
      <c r="AS203" s="237">
        <f t="shared" si="277"/>
        <v>2156000</v>
      </c>
      <c r="AT203" s="237">
        <f t="shared" si="277"/>
        <v>2200000</v>
      </c>
      <c r="AU203" s="237">
        <f t="shared" si="277"/>
        <v>2244000</v>
      </c>
      <c r="AV203" s="237">
        <f t="shared" si="277"/>
        <v>2288000</v>
      </c>
      <c r="AW203" s="237">
        <f t="shared" si="277"/>
        <v>2332000</v>
      </c>
      <c r="AX203" s="237">
        <f t="shared" si="277"/>
        <v>2376000</v>
      </c>
      <c r="AY203" s="237">
        <f t="shared" si="277"/>
        <v>2420000</v>
      </c>
      <c r="AZ203" s="237">
        <f t="shared" si="277"/>
        <v>2464000</v>
      </c>
      <c r="BA203" s="237">
        <f t="shared" si="277"/>
        <v>2508000</v>
      </c>
      <c r="BB203" s="237">
        <f t="shared" si="277"/>
        <v>2552000</v>
      </c>
      <c r="BC203" s="237">
        <f t="shared" si="277"/>
        <v>2596000</v>
      </c>
      <c r="BD203" s="237">
        <f t="shared" si="277"/>
        <v>2640000</v>
      </c>
      <c r="BE203" s="237">
        <f t="shared" si="277"/>
        <v>2684000</v>
      </c>
      <c r="BF203" s="237">
        <f t="shared" si="277"/>
        <v>2728000</v>
      </c>
      <c r="BG203" s="237">
        <f t="shared" si="277"/>
        <v>2772000</v>
      </c>
      <c r="BH203" s="237">
        <f t="shared" si="277"/>
        <v>2816000</v>
      </c>
      <c r="BI203" s="237">
        <f t="shared" si="277"/>
        <v>2860000</v>
      </c>
      <c r="BJ203" s="237">
        <f t="shared" si="277"/>
        <v>2904000</v>
      </c>
      <c r="BK203" s="237">
        <f t="shared" si="277"/>
        <v>2948000</v>
      </c>
      <c r="BL203" s="237">
        <f t="shared" si="277"/>
        <v>2992000</v>
      </c>
      <c r="BM203" s="237">
        <f t="shared" si="277"/>
        <v>3036000</v>
      </c>
      <c r="BN203" s="237">
        <f t="shared" si="277"/>
        <v>3080000</v>
      </c>
      <c r="BO203" s="237">
        <f t="shared" si="277"/>
        <v>3124000</v>
      </c>
      <c r="BP203" s="237">
        <f t="shared" si="277"/>
        <v>3168000</v>
      </c>
      <c r="BQ203" s="237">
        <f t="shared" si="277"/>
        <v>3212000</v>
      </c>
      <c r="BR203" s="237">
        <f t="shared" si="277"/>
        <v>3256000</v>
      </c>
      <c r="BS203" s="237">
        <f t="shared" si="277"/>
        <v>3300000</v>
      </c>
      <c r="BT203" s="237">
        <f t="shared" si="277"/>
        <v>3344000</v>
      </c>
      <c r="BU203" s="237">
        <f t="shared" si="277"/>
        <v>3388000</v>
      </c>
      <c r="BV203" s="237">
        <f t="shared" si="277"/>
        <v>3432000</v>
      </c>
      <c r="BW203" s="237">
        <f t="shared" si="277"/>
        <v>3476000</v>
      </c>
      <c r="BX203" s="237">
        <f t="shared" si="277"/>
        <v>3520000</v>
      </c>
      <c r="BY203" s="237">
        <f t="shared" si="277"/>
        <v>3564000</v>
      </c>
      <c r="BZ203" s="237">
        <f t="shared" si="277"/>
        <v>3608000</v>
      </c>
      <c r="CA203" s="237">
        <f t="shared" si="277"/>
        <v>3652000</v>
      </c>
      <c r="CB203" s="237">
        <f t="shared" si="277"/>
        <v>3696000</v>
      </c>
      <c r="CC203" s="237">
        <f t="shared" si="277"/>
        <v>3740000</v>
      </c>
      <c r="CD203" s="42"/>
      <c r="CE203" s="44"/>
    </row>
    <row r="204" spans="1:83" s="30" customFormat="1" ht="15" customHeight="1" outlineLevel="1" x14ac:dyDescent="0.3">
      <c r="A204" s="44"/>
      <c r="D204" s="132" t="s">
        <v>77</v>
      </c>
      <c r="E204" s="27"/>
      <c r="F204" s="27"/>
      <c r="G204" s="27"/>
      <c r="H204" s="27"/>
      <c r="I204" s="31" t="str">
        <f>Ввод!$M$12</f>
        <v>руб</v>
      </c>
      <c r="J204" s="31"/>
      <c r="K204" s="31"/>
      <c r="L204" s="31"/>
      <c r="M204" s="243"/>
      <c r="N204" s="370">
        <f>SUM(P204:T204)</f>
        <v>342100000</v>
      </c>
      <c r="O204" s="139"/>
      <c r="P204" s="191">
        <f>SUMIFS($V204:$CC204,$V$4:$CC$4,P$4,$V$6:$CC$6,12)</f>
        <v>9812000</v>
      </c>
      <c r="Q204" s="191">
        <f t="shared" ref="Q204:T204" si="278">SUMIFS($V204:$CC204,$V$4:$CC$4,Q$4,$V$6:$CC$6,12)</f>
        <v>32780000</v>
      </c>
      <c r="R204" s="191">
        <f t="shared" si="278"/>
        <v>62084000</v>
      </c>
      <c r="S204" s="191">
        <f t="shared" si="278"/>
        <v>97724000</v>
      </c>
      <c r="T204" s="191">
        <f t="shared" si="278"/>
        <v>139700000</v>
      </c>
      <c r="U204" s="139"/>
      <c r="V204" s="237">
        <f>SUM($V$203:V203)</f>
        <v>0</v>
      </c>
      <c r="W204" s="237">
        <f>SUM($V$203:W203)</f>
        <v>0</v>
      </c>
      <c r="X204" s="237">
        <f>SUM($V$203:X203)</f>
        <v>0</v>
      </c>
      <c r="Y204" s="237">
        <f>SUM($V$203:Y203)</f>
        <v>0</v>
      </c>
      <c r="Z204" s="237">
        <f>SUM($V$203:Z203)</f>
        <v>0</v>
      </c>
      <c r="AA204" s="237">
        <f>SUM($V$203:AA203)</f>
        <v>1100000</v>
      </c>
      <c r="AB204" s="237">
        <f>SUM($V$203:AB203)</f>
        <v>2310000</v>
      </c>
      <c r="AC204" s="237">
        <f>SUM($V$203:AC203)</f>
        <v>3630000</v>
      </c>
      <c r="AD204" s="237">
        <f>SUM($V$203:AD203)</f>
        <v>5060000</v>
      </c>
      <c r="AE204" s="237">
        <f>SUM($V$203:AE203)</f>
        <v>6600000</v>
      </c>
      <c r="AF204" s="237">
        <f>SUM($V$203:AF203)</f>
        <v>8184000</v>
      </c>
      <c r="AG204" s="237">
        <f>SUM($V$203:AG203)</f>
        <v>9812000</v>
      </c>
      <c r="AH204" s="237">
        <f>SUM($V$203:AH203)</f>
        <v>11484000</v>
      </c>
      <c r="AI204" s="237">
        <f>SUM($V$203:AI203)</f>
        <v>13200000</v>
      </c>
      <c r="AJ204" s="237">
        <f>SUM($V$203:AJ203)</f>
        <v>14960000</v>
      </c>
      <c r="AK204" s="237">
        <f>SUM($V$203:AK203)</f>
        <v>16764000</v>
      </c>
      <c r="AL204" s="237">
        <f>SUM($V$203:AL203)</f>
        <v>18612000</v>
      </c>
      <c r="AM204" s="237">
        <f>SUM($V$203:AM203)</f>
        <v>20504000</v>
      </c>
      <c r="AN204" s="237">
        <f>SUM($V$203:AN203)</f>
        <v>22440000</v>
      </c>
      <c r="AO204" s="237">
        <f>SUM($V$203:AO203)</f>
        <v>24420000</v>
      </c>
      <c r="AP204" s="237">
        <f>SUM($V$203:AP203)</f>
        <v>26444000</v>
      </c>
      <c r="AQ204" s="237">
        <f>SUM($V$203:AQ203)</f>
        <v>28512000</v>
      </c>
      <c r="AR204" s="237">
        <f>SUM($V$203:AR203)</f>
        <v>30624000</v>
      </c>
      <c r="AS204" s="237">
        <f>SUM($V$203:AS203)</f>
        <v>32780000</v>
      </c>
      <c r="AT204" s="237">
        <f>SUM($V$203:AT203)</f>
        <v>34980000</v>
      </c>
      <c r="AU204" s="237">
        <f>SUM($V$203:AU203)</f>
        <v>37224000</v>
      </c>
      <c r="AV204" s="237">
        <f>SUM($V$203:AV203)</f>
        <v>39512000</v>
      </c>
      <c r="AW204" s="237">
        <f>SUM($V$203:AW203)</f>
        <v>41844000</v>
      </c>
      <c r="AX204" s="237">
        <f>SUM($V$203:AX203)</f>
        <v>44220000</v>
      </c>
      <c r="AY204" s="237">
        <f>SUM($V$203:AY203)</f>
        <v>46640000</v>
      </c>
      <c r="AZ204" s="237">
        <f>SUM($V$203:AZ203)</f>
        <v>49104000</v>
      </c>
      <c r="BA204" s="237">
        <f>SUM($V$203:BA203)</f>
        <v>51612000</v>
      </c>
      <c r="BB204" s="237">
        <f>SUM($V$203:BB203)</f>
        <v>54164000</v>
      </c>
      <c r="BC204" s="237">
        <f>SUM($V$203:BC203)</f>
        <v>56760000</v>
      </c>
      <c r="BD204" s="237">
        <f>SUM($V$203:BD203)</f>
        <v>59400000</v>
      </c>
      <c r="BE204" s="237">
        <f>SUM($V$203:BE203)</f>
        <v>62084000</v>
      </c>
      <c r="BF204" s="237">
        <f>SUM($V$203:BF203)</f>
        <v>64812000</v>
      </c>
      <c r="BG204" s="237">
        <f>SUM($V$203:BG203)</f>
        <v>67584000</v>
      </c>
      <c r="BH204" s="237">
        <f>SUM($V$203:BH203)</f>
        <v>70400000</v>
      </c>
      <c r="BI204" s="237">
        <f>SUM($V$203:BI203)</f>
        <v>73260000</v>
      </c>
      <c r="BJ204" s="237">
        <f>SUM($V$203:BJ203)</f>
        <v>76164000</v>
      </c>
      <c r="BK204" s="237">
        <f>SUM($V$203:BK203)</f>
        <v>79112000</v>
      </c>
      <c r="BL204" s="237">
        <f>SUM($V$203:BL203)</f>
        <v>82104000</v>
      </c>
      <c r="BM204" s="237">
        <f>SUM($V$203:BM203)</f>
        <v>85140000</v>
      </c>
      <c r="BN204" s="237">
        <f>SUM($V$203:BN203)</f>
        <v>88220000</v>
      </c>
      <c r="BO204" s="237">
        <f>SUM($V$203:BO203)</f>
        <v>91344000</v>
      </c>
      <c r="BP204" s="237">
        <f>SUM($V$203:BP203)</f>
        <v>94512000</v>
      </c>
      <c r="BQ204" s="237">
        <f>SUM($V$203:BQ203)</f>
        <v>97724000</v>
      </c>
      <c r="BR204" s="237">
        <f>SUM($V$203:BR203)</f>
        <v>100980000</v>
      </c>
      <c r="BS204" s="237">
        <f>SUM($V$203:BS203)</f>
        <v>104280000</v>
      </c>
      <c r="BT204" s="237">
        <f>SUM($V$203:BT203)</f>
        <v>107624000</v>
      </c>
      <c r="BU204" s="237">
        <f>SUM($V$203:BU203)</f>
        <v>111012000</v>
      </c>
      <c r="BV204" s="237">
        <f>SUM($V$203:BV203)</f>
        <v>114444000</v>
      </c>
      <c r="BW204" s="237">
        <f>SUM($V$203:BW203)</f>
        <v>117920000</v>
      </c>
      <c r="BX204" s="237">
        <f>SUM($V$203:BX203)</f>
        <v>121440000</v>
      </c>
      <c r="BY204" s="237">
        <f>SUM($V$203:BY203)</f>
        <v>125004000</v>
      </c>
      <c r="BZ204" s="237">
        <f>SUM($V$203:BZ203)</f>
        <v>128612000</v>
      </c>
      <c r="CA204" s="237">
        <f>SUM($V$203:CA203)</f>
        <v>132264000</v>
      </c>
      <c r="CB204" s="237">
        <f>SUM($V$203:CB203)</f>
        <v>135960000</v>
      </c>
      <c r="CC204" s="237">
        <f>SUM($V$203:CC203)</f>
        <v>139700000</v>
      </c>
      <c r="CD204" s="42"/>
      <c r="CE204" s="44"/>
    </row>
    <row r="205" spans="1:83" s="30" customFormat="1" ht="15" customHeight="1" outlineLevel="1" x14ac:dyDescent="0.3">
      <c r="A205" s="44"/>
      <c r="D205" s="169"/>
      <c r="E205" s="60"/>
      <c r="F205" s="60"/>
      <c r="G205" s="60"/>
      <c r="H205" s="60"/>
      <c r="I205" s="31"/>
      <c r="J205" s="31"/>
      <c r="K205" s="31"/>
      <c r="L205" s="31"/>
      <c r="M205" s="243"/>
      <c r="N205" s="191"/>
      <c r="O205" s="139"/>
      <c r="P205" s="191"/>
      <c r="Q205" s="191"/>
      <c r="R205" s="191"/>
      <c r="S205" s="191"/>
      <c r="T205" s="191"/>
      <c r="U205" s="139"/>
      <c r="V205" s="237"/>
      <c r="W205" s="237"/>
      <c r="X205" s="237"/>
      <c r="Y205" s="237"/>
      <c r="Z205" s="237"/>
      <c r="AA205" s="237"/>
      <c r="AB205" s="237"/>
      <c r="AC205" s="237"/>
      <c r="AD205" s="237"/>
      <c r="AE205" s="237"/>
      <c r="AF205" s="237"/>
      <c r="AG205" s="237"/>
      <c r="AH205" s="237"/>
      <c r="AI205" s="237"/>
      <c r="AJ205" s="237"/>
      <c r="AK205" s="237"/>
      <c r="AL205" s="237"/>
      <c r="AM205" s="237"/>
      <c r="AN205" s="237"/>
      <c r="AO205" s="237"/>
      <c r="AP205" s="237"/>
      <c r="AQ205" s="237"/>
      <c r="AR205" s="237"/>
      <c r="AS205" s="237"/>
      <c r="AT205" s="237"/>
      <c r="AU205" s="237"/>
      <c r="AV205" s="237"/>
      <c r="AW205" s="237"/>
      <c r="AX205" s="237"/>
      <c r="AY205" s="237"/>
      <c r="AZ205" s="237"/>
      <c r="BA205" s="237"/>
      <c r="BB205" s="237"/>
      <c r="BC205" s="237"/>
      <c r="BD205" s="237"/>
      <c r="BE205" s="237"/>
      <c r="BF205" s="237"/>
      <c r="BG205" s="237"/>
      <c r="BH205" s="237"/>
      <c r="BI205" s="237"/>
      <c r="BJ205" s="237"/>
      <c r="BK205" s="237"/>
      <c r="BL205" s="237"/>
      <c r="BM205" s="237"/>
      <c r="BN205" s="237"/>
      <c r="BO205" s="237"/>
      <c r="BP205" s="237"/>
      <c r="BQ205" s="237"/>
      <c r="BR205" s="237"/>
      <c r="BS205" s="237"/>
      <c r="BT205" s="237"/>
      <c r="BU205" s="237"/>
      <c r="BV205" s="237"/>
      <c r="BW205" s="237"/>
      <c r="BX205" s="237"/>
      <c r="BY205" s="237"/>
      <c r="BZ205" s="237"/>
      <c r="CA205" s="237"/>
      <c r="CB205" s="237"/>
      <c r="CC205" s="237"/>
      <c r="CD205" s="42"/>
      <c r="CE205" s="44"/>
    </row>
    <row r="206" spans="1:83" s="30" customFormat="1" ht="15" customHeight="1" outlineLevel="1" x14ac:dyDescent="0.3">
      <c r="A206" s="44"/>
      <c r="D206" s="132" t="s">
        <v>78</v>
      </c>
      <c r="E206" s="27"/>
      <c r="F206" s="27"/>
      <c r="G206" s="27"/>
      <c r="H206" s="27"/>
      <c r="I206" s="31" t="str">
        <f>Ввод!$M$12</f>
        <v>руб</v>
      </c>
      <c r="J206" s="31"/>
      <c r="K206" s="31"/>
      <c r="L206" s="31"/>
      <c r="M206" s="243"/>
      <c r="N206" s="191">
        <f>SUM(P206:T206)</f>
        <v>-316455000</v>
      </c>
      <c r="O206" s="139"/>
      <c r="P206" s="191">
        <f t="shared" ref="P206:T208" si="279">SUMIF($V$4:$CC$4,P$4,$V206:$CC206)</f>
        <v>-25003800</v>
      </c>
      <c r="Q206" s="191">
        <f t="shared" si="279"/>
        <v>-53293200</v>
      </c>
      <c r="R206" s="191">
        <f t="shared" si="279"/>
        <v>-66339600</v>
      </c>
      <c r="S206" s="191">
        <f t="shared" si="279"/>
        <v>-79386000</v>
      </c>
      <c r="T206" s="191">
        <f t="shared" si="279"/>
        <v>-92432400</v>
      </c>
      <c r="U206" s="139"/>
      <c r="V206" s="224">
        <f>V40+V71</f>
        <v>-260000</v>
      </c>
      <c r="W206" s="224">
        <f t="shared" ref="W206:BA206" si="280">W40+W71</f>
        <v>-260000</v>
      </c>
      <c r="X206" s="224">
        <f t="shared" si="280"/>
        <v>-260000</v>
      </c>
      <c r="Y206" s="224">
        <f t="shared" si="280"/>
        <v>-260000</v>
      </c>
      <c r="Z206" s="224">
        <f t="shared" si="280"/>
        <v>-260000</v>
      </c>
      <c r="AA206" s="224">
        <f t="shared" si="280"/>
        <v>-2765000</v>
      </c>
      <c r="AB206" s="224">
        <f t="shared" si="280"/>
        <v>-2991500</v>
      </c>
      <c r="AC206" s="224">
        <f t="shared" si="280"/>
        <v>-3218000</v>
      </c>
      <c r="AD206" s="224">
        <f t="shared" si="280"/>
        <v>-3444500</v>
      </c>
      <c r="AE206" s="224">
        <f t="shared" si="280"/>
        <v>-3671000</v>
      </c>
      <c r="AF206" s="224">
        <f t="shared" si="280"/>
        <v>-3761600</v>
      </c>
      <c r="AG206" s="224">
        <f t="shared" si="280"/>
        <v>-3852200</v>
      </c>
      <c r="AH206" s="224">
        <f t="shared" si="280"/>
        <v>-3942800</v>
      </c>
      <c r="AI206" s="224">
        <f t="shared" si="280"/>
        <v>-4033400</v>
      </c>
      <c r="AJ206" s="224">
        <f t="shared" si="280"/>
        <v>-4124000</v>
      </c>
      <c r="AK206" s="224">
        <f t="shared" si="280"/>
        <v>-4214600</v>
      </c>
      <c r="AL206" s="224">
        <f t="shared" si="280"/>
        <v>-4305200</v>
      </c>
      <c r="AM206" s="224">
        <f t="shared" si="280"/>
        <v>-4395800</v>
      </c>
      <c r="AN206" s="224">
        <f t="shared" si="280"/>
        <v>-4486400</v>
      </c>
      <c r="AO206" s="224">
        <f t="shared" si="280"/>
        <v>-4577000</v>
      </c>
      <c r="AP206" s="224">
        <f t="shared" si="280"/>
        <v>-4667600</v>
      </c>
      <c r="AQ206" s="224">
        <f t="shared" si="280"/>
        <v>-4758200</v>
      </c>
      <c r="AR206" s="224">
        <f t="shared" si="280"/>
        <v>-4848800</v>
      </c>
      <c r="AS206" s="224">
        <f t="shared" si="280"/>
        <v>-4939400</v>
      </c>
      <c r="AT206" s="224">
        <f t="shared" si="280"/>
        <v>-5030000</v>
      </c>
      <c r="AU206" s="224">
        <f t="shared" si="280"/>
        <v>-5120600</v>
      </c>
      <c r="AV206" s="224">
        <f t="shared" si="280"/>
        <v>-5211200</v>
      </c>
      <c r="AW206" s="224">
        <f t="shared" si="280"/>
        <v>-5301800</v>
      </c>
      <c r="AX206" s="224">
        <f t="shared" si="280"/>
        <v>-5392400</v>
      </c>
      <c r="AY206" s="224">
        <f t="shared" si="280"/>
        <v>-5483000</v>
      </c>
      <c r="AZ206" s="224">
        <f t="shared" si="280"/>
        <v>-5573600</v>
      </c>
      <c r="BA206" s="224">
        <f t="shared" si="280"/>
        <v>-5664200</v>
      </c>
      <c r="BB206" s="224">
        <f t="shared" ref="BB206:CC206" si="281">BB40+BB71</f>
        <v>-5754800</v>
      </c>
      <c r="BC206" s="224">
        <f t="shared" si="281"/>
        <v>-5845400</v>
      </c>
      <c r="BD206" s="224">
        <f t="shared" si="281"/>
        <v>-5936000</v>
      </c>
      <c r="BE206" s="224">
        <f t="shared" si="281"/>
        <v>-6026600</v>
      </c>
      <c r="BF206" s="224">
        <f t="shared" si="281"/>
        <v>-6117200</v>
      </c>
      <c r="BG206" s="224">
        <f t="shared" si="281"/>
        <v>-6207800</v>
      </c>
      <c r="BH206" s="224">
        <f t="shared" si="281"/>
        <v>-6298400</v>
      </c>
      <c r="BI206" s="224">
        <f t="shared" si="281"/>
        <v>-6389000</v>
      </c>
      <c r="BJ206" s="224">
        <f t="shared" si="281"/>
        <v>-6479600</v>
      </c>
      <c r="BK206" s="224">
        <f t="shared" si="281"/>
        <v>-6570200</v>
      </c>
      <c r="BL206" s="224">
        <f t="shared" si="281"/>
        <v>-6660800</v>
      </c>
      <c r="BM206" s="224">
        <f t="shared" si="281"/>
        <v>-6751400</v>
      </c>
      <c r="BN206" s="224">
        <f t="shared" si="281"/>
        <v>-6842000</v>
      </c>
      <c r="BO206" s="224">
        <f t="shared" si="281"/>
        <v>-6932600</v>
      </c>
      <c r="BP206" s="224">
        <f t="shared" si="281"/>
        <v>-7023200</v>
      </c>
      <c r="BQ206" s="224">
        <f t="shared" si="281"/>
        <v>-7113800</v>
      </c>
      <c r="BR206" s="224">
        <f t="shared" si="281"/>
        <v>-7204400</v>
      </c>
      <c r="BS206" s="224">
        <f t="shared" si="281"/>
        <v>-7295000</v>
      </c>
      <c r="BT206" s="224">
        <f t="shared" si="281"/>
        <v>-7385600</v>
      </c>
      <c r="BU206" s="224">
        <f t="shared" si="281"/>
        <v>-7476200</v>
      </c>
      <c r="BV206" s="224">
        <f t="shared" si="281"/>
        <v>-7566800</v>
      </c>
      <c r="BW206" s="224">
        <f t="shared" si="281"/>
        <v>-7657400</v>
      </c>
      <c r="BX206" s="224">
        <f t="shared" si="281"/>
        <v>-7748000</v>
      </c>
      <c r="BY206" s="224">
        <f t="shared" si="281"/>
        <v>-7838600</v>
      </c>
      <c r="BZ206" s="224">
        <f t="shared" si="281"/>
        <v>-7929200</v>
      </c>
      <c r="CA206" s="224">
        <f t="shared" si="281"/>
        <v>-8019800</v>
      </c>
      <c r="CB206" s="224">
        <f t="shared" si="281"/>
        <v>-8110400</v>
      </c>
      <c r="CC206" s="224">
        <f t="shared" si="281"/>
        <v>-8201000</v>
      </c>
      <c r="CD206" s="42"/>
      <c r="CE206" s="44"/>
    </row>
    <row r="207" spans="1:83" s="30" customFormat="1" ht="15" customHeight="1" outlineLevel="1" x14ac:dyDescent="0.3">
      <c r="A207" s="44"/>
      <c r="D207" s="132" t="s">
        <v>57</v>
      </c>
      <c r="E207" s="27"/>
      <c r="F207" s="27"/>
      <c r="G207" s="27"/>
      <c r="H207" s="27"/>
      <c r="I207" s="31" t="str">
        <f>Ввод!$M$12</f>
        <v>руб</v>
      </c>
      <c r="J207" s="31"/>
      <c r="K207" s="31"/>
      <c r="L207" s="31"/>
      <c r="M207" s="243"/>
      <c r="N207" s="191">
        <f>SUM(P207:T207)</f>
        <v>49180327.868852459</v>
      </c>
      <c r="O207" s="139"/>
      <c r="P207" s="191">
        <f t="shared" si="279"/>
        <v>49180327.868852459</v>
      </c>
      <c r="Q207" s="191">
        <f t="shared" si="279"/>
        <v>0</v>
      </c>
      <c r="R207" s="191">
        <f t="shared" si="279"/>
        <v>0</v>
      </c>
      <c r="S207" s="191">
        <f t="shared" si="279"/>
        <v>0</v>
      </c>
      <c r="T207" s="191">
        <f t="shared" si="279"/>
        <v>0</v>
      </c>
      <c r="U207" s="139"/>
      <c r="V207" s="224">
        <f t="shared" ref="V207:BA207" si="282">V184</f>
        <v>12295081.967213115</v>
      </c>
      <c r="W207" s="224">
        <f t="shared" si="282"/>
        <v>0</v>
      </c>
      <c r="X207" s="224">
        <f t="shared" si="282"/>
        <v>0</v>
      </c>
      <c r="Y207" s="224">
        <f t="shared" si="282"/>
        <v>8196721.3114754101</v>
      </c>
      <c r="Z207" s="224">
        <f t="shared" si="282"/>
        <v>10245901.639344262</v>
      </c>
      <c r="AA207" s="224">
        <f t="shared" si="282"/>
        <v>0</v>
      </c>
      <c r="AB207" s="224">
        <f t="shared" si="282"/>
        <v>8196721.3114754101</v>
      </c>
      <c r="AC207" s="224">
        <f t="shared" si="282"/>
        <v>10245901.639344262</v>
      </c>
      <c r="AD207" s="224">
        <f t="shared" si="282"/>
        <v>0</v>
      </c>
      <c r="AE207" s="224">
        <f t="shared" si="282"/>
        <v>0</v>
      </c>
      <c r="AF207" s="224">
        <f t="shared" si="282"/>
        <v>0</v>
      </c>
      <c r="AG207" s="224">
        <f t="shared" si="282"/>
        <v>0</v>
      </c>
      <c r="AH207" s="224">
        <f t="shared" si="282"/>
        <v>0</v>
      </c>
      <c r="AI207" s="224">
        <f t="shared" si="282"/>
        <v>0</v>
      </c>
      <c r="AJ207" s="224">
        <f t="shared" si="282"/>
        <v>0</v>
      </c>
      <c r="AK207" s="224">
        <f t="shared" si="282"/>
        <v>0</v>
      </c>
      <c r="AL207" s="224">
        <f t="shared" si="282"/>
        <v>0</v>
      </c>
      <c r="AM207" s="224">
        <f t="shared" si="282"/>
        <v>0</v>
      </c>
      <c r="AN207" s="224">
        <f t="shared" si="282"/>
        <v>0</v>
      </c>
      <c r="AO207" s="224">
        <f t="shared" si="282"/>
        <v>0</v>
      </c>
      <c r="AP207" s="224">
        <f t="shared" si="282"/>
        <v>0</v>
      </c>
      <c r="AQ207" s="224">
        <f t="shared" si="282"/>
        <v>0</v>
      </c>
      <c r="AR207" s="224">
        <f t="shared" si="282"/>
        <v>0</v>
      </c>
      <c r="AS207" s="224">
        <f t="shared" si="282"/>
        <v>0</v>
      </c>
      <c r="AT207" s="224">
        <f t="shared" si="282"/>
        <v>0</v>
      </c>
      <c r="AU207" s="224">
        <f t="shared" si="282"/>
        <v>0</v>
      </c>
      <c r="AV207" s="224">
        <f t="shared" si="282"/>
        <v>0</v>
      </c>
      <c r="AW207" s="224">
        <f t="shared" si="282"/>
        <v>0</v>
      </c>
      <c r="AX207" s="224">
        <f t="shared" si="282"/>
        <v>0</v>
      </c>
      <c r="AY207" s="224">
        <f t="shared" si="282"/>
        <v>0</v>
      </c>
      <c r="AZ207" s="224">
        <f t="shared" si="282"/>
        <v>0</v>
      </c>
      <c r="BA207" s="224">
        <f t="shared" si="282"/>
        <v>0</v>
      </c>
      <c r="BB207" s="224">
        <f t="shared" ref="BB207:CC207" si="283">BB184</f>
        <v>0</v>
      </c>
      <c r="BC207" s="224">
        <f t="shared" si="283"/>
        <v>0</v>
      </c>
      <c r="BD207" s="224">
        <f t="shared" si="283"/>
        <v>0</v>
      </c>
      <c r="BE207" s="224">
        <f t="shared" si="283"/>
        <v>0</v>
      </c>
      <c r="BF207" s="224">
        <f t="shared" si="283"/>
        <v>0</v>
      </c>
      <c r="BG207" s="224">
        <f t="shared" si="283"/>
        <v>0</v>
      </c>
      <c r="BH207" s="224">
        <f t="shared" si="283"/>
        <v>0</v>
      </c>
      <c r="BI207" s="224">
        <f t="shared" si="283"/>
        <v>0</v>
      </c>
      <c r="BJ207" s="224">
        <f t="shared" si="283"/>
        <v>0</v>
      </c>
      <c r="BK207" s="224">
        <f t="shared" si="283"/>
        <v>0</v>
      </c>
      <c r="BL207" s="224">
        <f t="shared" si="283"/>
        <v>0</v>
      </c>
      <c r="BM207" s="224">
        <f t="shared" si="283"/>
        <v>0</v>
      </c>
      <c r="BN207" s="224">
        <f t="shared" si="283"/>
        <v>0</v>
      </c>
      <c r="BO207" s="224">
        <f t="shared" si="283"/>
        <v>0</v>
      </c>
      <c r="BP207" s="224">
        <f t="shared" si="283"/>
        <v>0</v>
      </c>
      <c r="BQ207" s="224">
        <f t="shared" si="283"/>
        <v>0</v>
      </c>
      <c r="BR207" s="224">
        <f t="shared" si="283"/>
        <v>0</v>
      </c>
      <c r="BS207" s="224">
        <f t="shared" si="283"/>
        <v>0</v>
      </c>
      <c r="BT207" s="224">
        <f t="shared" si="283"/>
        <v>0</v>
      </c>
      <c r="BU207" s="224">
        <f t="shared" si="283"/>
        <v>0</v>
      </c>
      <c r="BV207" s="224">
        <f t="shared" si="283"/>
        <v>0</v>
      </c>
      <c r="BW207" s="224">
        <f t="shared" si="283"/>
        <v>0</v>
      </c>
      <c r="BX207" s="224">
        <f t="shared" si="283"/>
        <v>0</v>
      </c>
      <c r="BY207" s="224">
        <f t="shared" si="283"/>
        <v>0</v>
      </c>
      <c r="BZ207" s="224">
        <f t="shared" si="283"/>
        <v>0</v>
      </c>
      <c r="CA207" s="224">
        <f t="shared" si="283"/>
        <v>0</v>
      </c>
      <c r="CB207" s="224">
        <f t="shared" si="283"/>
        <v>0</v>
      </c>
      <c r="CC207" s="224">
        <f t="shared" si="283"/>
        <v>0</v>
      </c>
      <c r="CD207" s="42"/>
      <c r="CE207" s="44"/>
    </row>
    <row r="208" spans="1:83" s="30" customFormat="1" ht="15" customHeight="1" outlineLevel="1" x14ac:dyDescent="0.3">
      <c r="A208" s="44"/>
      <c r="D208" s="132" t="s">
        <v>79</v>
      </c>
      <c r="E208" s="27"/>
      <c r="F208" s="27"/>
      <c r="G208" s="27"/>
      <c r="H208" s="27"/>
      <c r="I208" s="31" t="str">
        <f>Ввод!$M$12</f>
        <v>руб</v>
      </c>
      <c r="J208" s="31"/>
      <c r="K208" s="31"/>
      <c r="L208" s="31"/>
      <c r="M208" s="243"/>
      <c r="N208" s="191">
        <f>SUM(P208:T208)</f>
        <v>-58800427.868852459</v>
      </c>
      <c r="O208" s="139"/>
      <c r="P208" s="191">
        <f t="shared" si="279"/>
        <v>5318836.131147543</v>
      </c>
      <c r="Q208" s="191">
        <f t="shared" si="279"/>
        <v>-11724504</v>
      </c>
      <c r="R208" s="191">
        <f t="shared" si="279"/>
        <v>-14594712</v>
      </c>
      <c r="S208" s="191">
        <f t="shared" si="279"/>
        <v>-17464920</v>
      </c>
      <c r="T208" s="191">
        <f t="shared" si="279"/>
        <v>-20335128</v>
      </c>
      <c r="U208" s="139"/>
      <c r="V208" s="237">
        <f>SUM(V206:V207)*$M$199*$M$200</f>
        <v>2647718.0327868853</v>
      </c>
      <c r="W208" s="237">
        <f t="shared" ref="W208:CC208" si="284">SUM(W206:W207)*$M$199*$M$200</f>
        <v>-57200</v>
      </c>
      <c r="X208" s="237">
        <f t="shared" si="284"/>
        <v>-57200</v>
      </c>
      <c r="Y208" s="237">
        <f t="shared" si="284"/>
        <v>1746078.6885245903</v>
      </c>
      <c r="Z208" s="237">
        <f t="shared" si="284"/>
        <v>2196898.3606557376</v>
      </c>
      <c r="AA208" s="237">
        <f t="shared" si="284"/>
        <v>-608300</v>
      </c>
      <c r="AB208" s="237">
        <f t="shared" si="284"/>
        <v>1145148.6885245903</v>
      </c>
      <c r="AC208" s="237">
        <f t="shared" si="284"/>
        <v>1546138.3606557376</v>
      </c>
      <c r="AD208" s="237">
        <f t="shared" si="284"/>
        <v>-757790</v>
      </c>
      <c r="AE208" s="237">
        <f t="shared" si="284"/>
        <v>-807620</v>
      </c>
      <c r="AF208" s="237">
        <f t="shared" si="284"/>
        <v>-827552</v>
      </c>
      <c r="AG208" s="237">
        <f t="shared" si="284"/>
        <v>-847484</v>
      </c>
      <c r="AH208" s="237">
        <f t="shared" si="284"/>
        <v>-867416</v>
      </c>
      <c r="AI208" s="237">
        <f t="shared" si="284"/>
        <v>-887348</v>
      </c>
      <c r="AJ208" s="237">
        <f t="shared" si="284"/>
        <v>-907280</v>
      </c>
      <c r="AK208" s="237">
        <f t="shared" si="284"/>
        <v>-927212</v>
      </c>
      <c r="AL208" s="237">
        <f t="shared" si="284"/>
        <v>-947144</v>
      </c>
      <c r="AM208" s="237">
        <f t="shared" si="284"/>
        <v>-967076</v>
      </c>
      <c r="AN208" s="237">
        <f t="shared" si="284"/>
        <v>-987008</v>
      </c>
      <c r="AO208" s="237">
        <f t="shared" si="284"/>
        <v>-1006940</v>
      </c>
      <c r="AP208" s="237">
        <f t="shared" si="284"/>
        <v>-1026872</v>
      </c>
      <c r="AQ208" s="237">
        <f t="shared" si="284"/>
        <v>-1046804</v>
      </c>
      <c r="AR208" s="237">
        <f t="shared" si="284"/>
        <v>-1066736</v>
      </c>
      <c r="AS208" s="237">
        <f t="shared" si="284"/>
        <v>-1086668</v>
      </c>
      <c r="AT208" s="237">
        <f t="shared" si="284"/>
        <v>-1106600</v>
      </c>
      <c r="AU208" s="237">
        <f t="shared" si="284"/>
        <v>-1126532</v>
      </c>
      <c r="AV208" s="237">
        <f t="shared" si="284"/>
        <v>-1146464</v>
      </c>
      <c r="AW208" s="237">
        <f t="shared" si="284"/>
        <v>-1166396</v>
      </c>
      <c r="AX208" s="237">
        <f t="shared" si="284"/>
        <v>-1186328</v>
      </c>
      <c r="AY208" s="237">
        <f t="shared" si="284"/>
        <v>-1206260</v>
      </c>
      <c r="AZ208" s="237">
        <f t="shared" si="284"/>
        <v>-1226192</v>
      </c>
      <c r="BA208" s="237">
        <f t="shared" si="284"/>
        <v>-1246124</v>
      </c>
      <c r="BB208" s="237">
        <f t="shared" si="284"/>
        <v>-1266056</v>
      </c>
      <c r="BC208" s="237">
        <f t="shared" si="284"/>
        <v>-1285988</v>
      </c>
      <c r="BD208" s="237">
        <f t="shared" si="284"/>
        <v>-1305920</v>
      </c>
      <c r="BE208" s="237">
        <f t="shared" si="284"/>
        <v>-1325852</v>
      </c>
      <c r="BF208" s="237">
        <f t="shared" si="284"/>
        <v>-1345784</v>
      </c>
      <c r="BG208" s="237">
        <f t="shared" si="284"/>
        <v>-1365716</v>
      </c>
      <c r="BH208" s="237">
        <f t="shared" si="284"/>
        <v>-1385648</v>
      </c>
      <c r="BI208" s="237">
        <f t="shared" si="284"/>
        <v>-1405580</v>
      </c>
      <c r="BJ208" s="237">
        <f t="shared" si="284"/>
        <v>-1425512</v>
      </c>
      <c r="BK208" s="237">
        <f t="shared" si="284"/>
        <v>-1445444</v>
      </c>
      <c r="BL208" s="237">
        <f t="shared" si="284"/>
        <v>-1465376</v>
      </c>
      <c r="BM208" s="237">
        <f t="shared" si="284"/>
        <v>-1485308</v>
      </c>
      <c r="BN208" s="237">
        <f t="shared" si="284"/>
        <v>-1505240</v>
      </c>
      <c r="BO208" s="237">
        <f t="shared" si="284"/>
        <v>-1525172</v>
      </c>
      <c r="BP208" s="237">
        <f t="shared" si="284"/>
        <v>-1545104</v>
      </c>
      <c r="BQ208" s="237">
        <f t="shared" si="284"/>
        <v>-1565036</v>
      </c>
      <c r="BR208" s="237">
        <f t="shared" si="284"/>
        <v>-1584968</v>
      </c>
      <c r="BS208" s="237">
        <f t="shared" si="284"/>
        <v>-1604900</v>
      </c>
      <c r="BT208" s="237">
        <f t="shared" si="284"/>
        <v>-1624832</v>
      </c>
      <c r="BU208" s="237">
        <f t="shared" si="284"/>
        <v>-1644764</v>
      </c>
      <c r="BV208" s="237">
        <f t="shared" si="284"/>
        <v>-1664696</v>
      </c>
      <c r="BW208" s="237">
        <f t="shared" si="284"/>
        <v>-1684628</v>
      </c>
      <c r="BX208" s="237">
        <f t="shared" si="284"/>
        <v>-1704560</v>
      </c>
      <c r="BY208" s="237">
        <f t="shared" si="284"/>
        <v>-1724492</v>
      </c>
      <c r="BZ208" s="237">
        <f t="shared" si="284"/>
        <v>-1744424</v>
      </c>
      <c r="CA208" s="237">
        <f t="shared" si="284"/>
        <v>-1764356</v>
      </c>
      <c r="CB208" s="237">
        <f t="shared" si="284"/>
        <v>-1784288</v>
      </c>
      <c r="CC208" s="237">
        <f t="shared" si="284"/>
        <v>-1804220</v>
      </c>
      <c r="CD208" s="42"/>
      <c r="CE208" s="44"/>
    </row>
    <row r="209" spans="1:83" s="30" customFormat="1" ht="15" customHeight="1" outlineLevel="1" x14ac:dyDescent="0.3">
      <c r="A209" s="44"/>
      <c r="D209" s="132" t="s">
        <v>80</v>
      </c>
      <c r="E209" s="27"/>
      <c r="F209" s="27"/>
      <c r="G209" s="27"/>
      <c r="H209" s="27"/>
      <c r="I209" s="31" t="str">
        <f>Ввод!$M$12</f>
        <v>руб</v>
      </c>
      <c r="J209" s="31"/>
      <c r="K209" s="31"/>
      <c r="L209" s="31"/>
      <c r="M209" s="243"/>
      <c r="N209" s="370">
        <f>SUM(P209:T209)</f>
        <v>119352939.3442623</v>
      </c>
      <c r="O209" s="139"/>
      <c r="P209" s="191">
        <f>SUMIFS($V209:$CC209,$V$4:$CC$4,P$4,$V$6:$CC$6,12)</f>
        <v>-5318836.131147543</v>
      </c>
      <c r="Q209" s="191">
        <f t="shared" ref="Q209:T209" si="285">SUMIFS($V209:$CC209,$V$4:$CC$4,Q$4,$V$6:$CC$6,12)</f>
        <v>6405667.868852457</v>
      </c>
      <c r="R209" s="191">
        <f t="shared" si="285"/>
        <v>21000379.868852459</v>
      </c>
      <c r="S209" s="191">
        <f t="shared" si="285"/>
        <v>38465299.868852459</v>
      </c>
      <c r="T209" s="191">
        <f t="shared" si="285"/>
        <v>58800427.868852459</v>
      </c>
      <c r="U209" s="139"/>
      <c r="V209" s="237">
        <f>-SUM($V$208:V208)</f>
        <v>-2647718.0327868853</v>
      </c>
      <c r="W209" s="237">
        <f>-SUM($V$208:W208)</f>
        <v>-2590518.0327868853</v>
      </c>
      <c r="X209" s="237">
        <f>-SUM($V$208:X208)</f>
        <v>-2533318.0327868853</v>
      </c>
      <c r="Y209" s="237">
        <f>-SUM($V$208:Y208)</f>
        <v>-4279396.7213114761</v>
      </c>
      <c r="Z209" s="237">
        <f>-SUM($V$208:Z208)</f>
        <v>-6476295.0819672141</v>
      </c>
      <c r="AA209" s="237">
        <f>-SUM($V$208:AA208)</f>
        <v>-5867995.0819672141</v>
      </c>
      <c r="AB209" s="237">
        <f>-SUM($V$208:AB208)</f>
        <v>-7013143.7704918049</v>
      </c>
      <c r="AC209" s="237">
        <f>-SUM($V$208:AC208)</f>
        <v>-8559282.131147543</v>
      </c>
      <c r="AD209" s="237">
        <f>-SUM($V$208:AD208)</f>
        <v>-7801492.131147543</v>
      </c>
      <c r="AE209" s="237">
        <f>-SUM($V$208:AE208)</f>
        <v>-6993872.131147543</v>
      </c>
      <c r="AF209" s="237">
        <f>-SUM($V$208:AF208)</f>
        <v>-6166320.131147543</v>
      </c>
      <c r="AG209" s="237">
        <f>-SUM($V$208:AG208)</f>
        <v>-5318836.131147543</v>
      </c>
      <c r="AH209" s="237">
        <f>-SUM($V$208:AH208)</f>
        <v>-4451420.131147543</v>
      </c>
      <c r="AI209" s="237">
        <f>-SUM($V$208:AI208)</f>
        <v>-3564072.131147543</v>
      </c>
      <c r="AJ209" s="237">
        <f>-SUM($V$208:AJ208)</f>
        <v>-2656792.131147543</v>
      </c>
      <c r="AK209" s="237">
        <f>-SUM($V$208:AK208)</f>
        <v>-1729580.131147543</v>
      </c>
      <c r="AL209" s="237">
        <f>-SUM($V$208:AL208)</f>
        <v>-782436.13114754297</v>
      </c>
      <c r="AM209" s="237">
        <f>-SUM($V$208:AM208)</f>
        <v>184639.86885245703</v>
      </c>
      <c r="AN209" s="237">
        <f>-SUM($V$208:AN208)</f>
        <v>1171647.868852457</v>
      </c>
      <c r="AO209" s="237">
        <f>-SUM($V$208:AO208)</f>
        <v>2178587.868852457</v>
      </c>
      <c r="AP209" s="237">
        <f>-SUM($V$208:AP208)</f>
        <v>3205459.868852457</v>
      </c>
      <c r="AQ209" s="237">
        <f>-SUM($V$208:AQ208)</f>
        <v>4252263.868852457</v>
      </c>
      <c r="AR209" s="237">
        <f>-SUM($V$208:AR208)</f>
        <v>5318999.868852457</v>
      </c>
      <c r="AS209" s="237">
        <f>-SUM($V$208:AS208)</f>
        <v>6405667.868852457</v>
      </c>
      <c r="AT209" s="237">
        <f>-SUM($V$208:AT208)</f>
        <v>7512267.868852457</v>
      </c>
      <c r="AU209" s="237">
        <f>-SUM($V$208:AU208)</f>
        <v>8638799.868852457</v>
      </c>
      <c r="AV209" s="237">
        <f>-SUM($V$208:AV208)</f>
        <v>9785263.868852457</v>
      </c>
      <c r="AW209" s="237">
        <f>-SUM($V$208:AW208)</f>
        <v>10951659.868852457</v>
      </c>
      <c r="AX209" s="237">
        <f>-SUM($V$208:AX208)</f>
        <v>12137987.868852457</v>
      </c>
      <c r="AY209" s="237">
        <f>-SUM($V$208:AY208)</f>
        <v>13344247.868852457</v>
      </c>
      <c r="AZ209" s="237">
        <f>-SUM($V$208:AZ208)</f>
        <v>14570439.868852457</v>
      </c>
      <c r="BA209" s="237">
        <f>-SUM($V$208:BA208)</f>
        <v>15816563.868852457</v>
      </c>
      <c r="BB209" s="237">
        <f>-SUM($V$208:BB208)</f>
        <v>17082619.868852459</v>
      </c>
      <c r="BC209" s="237">
        <f>-SUM($V$208:BC208)</f>
        <v>18368607.868852459</v>
      </c>
      <c r="BD209" s="237">
        <f>-SUM($V$208:BD208)</f>
        <v>19674527.868852459</v>
      </c>
      <c r="BE209" s="237">
        <f>-SUM($V$208:BE208)</f>
        <v>21000379.868852459</v>
      </c>
      <c r="BF209" s="237">
        <f>-SUM($V$208:BF208)</f>
        <v>22346163.868852459</v>
      </c>
      <c r="BG209" s="237">
        <f>-SUM($V$208:BG208)</f>
        <v>23711879.868852459</v>
      </c>
      <c r="BH209" s="237">
        <f>-SUM($V$208:BH208)</f>
        <v>25097527.868852459</v>
      </c>
      <c r="BI209" s="237">
        <f>-SUM($V$208:BI208)</f>
        <v>26503107.868852459</v>
      </c>
      <c r="BJ209" s="237">
        <f>-SUM($V$208:BJ208)</f>
        <v>27928619.868852459</v>
      </c>
      <c r="BK209" s="237">
        <f>-SUM($V$208:BK208)</f>
        <v>29374063.868852459</v>
      </c>
      <c r="BL209" s="237">
        <f>-SUM($V$208:BL208)</f>
        <v>30839439.868852459</v>
      </c>
      <c r="BM209" s="237">
        <f>-SUM($V$208:BM208)</f>
        <v>32324747.868852459</v>
      </c>
      <c r="BN209" s="237">
        <f>-SUM($V$208:BN208)</f>
        <v>33829987.868852459</v>
      </c>
      <c r="BO209" s="237">
        <f>-SUM($V$208:BO208)</f>
        <v>35355159.868852459</v>
      </c>
      <c r="BP209" s="237">
        <f>-SUM($V$208:BP208)</f>
        <v>36900263.868852459</v>
      </c>
      <c r="BQ209" s="237">
        <f>-SUM($V$208:BQ208)</f>
        <v>38465299.868852459</v>
      </c>
      <c r="BR209" s="237">
        <f>-SUM($V$208:BR208)</f>
        <v>40050267.868852459</v>
      </c>
      <c r="BS209" s="237">
        <f>-SUM($V$208:BS208)</f>
        <v>41655167.868852459</v>
      </c>
      <c r="BT209" s="237">
        <f>-SUM($V$208:BT208)</f>
        <v>43279999.868852459</v>
      </c>
      <c r="BU209" s="237">
        <f>-SUM($V$208:BU208)</f>
        <v>44924763.868852459</v>
      </c>
      <c r="BV209" s="237">
        <f>-SUM($V$208:BV208)</f>
        <v>46589459.868852459</v>
      </c>
      <c r="BW209" s="237">
        <f>-SUM($V$208:BW208)</f>
        <v>48274087.868852459</v>
      </c>
      <c r="BX209" s="237">
        <f>-SUM($V$208:BX208)</f>
        <v>49978647.868852459</v>
      </c>
      <c r="BY209" s="237">
        <f>-SUM($V$208:BY208)</f>
        <v>51703139.868852459</v>
      </c>
      <c r="BZ209" s="237">
        <f>-SUM($V$208:BZ208)</f>
        <v>53447563.868852459</v>
      </c>
      <c r="CA209" s="237">
        <f>-SUM($V$208:CA208)</f>
        <v>55211919.868852459</v>
      </c>
      <c r="CB209" s="237">
        <f>-SUM($V$208:CB208)</f>
        <v>56996207.868852459</v>
      </c>
      <c r="CC209" s="237">
        <f>-SUM($V$208:CC208)</f>
        <v>58800427.868852459</v>
      </c>
      <c r="CD209" s="42"/>
      <c r="CE209" s="44"/>
    </row>
    <row r="210" spans="1:83" s="30" customFormat="1" ht="15" customHeight="1" outlineLevel="1" x14ac:dyDescent="0.3">
      <c r="A210" s="44"/>
      <c r="D210" s="169"/>
      <c r="E210" s="60"/>
      <c r="F210" s="60"/>
      <c r="G210" s="60"/>
      <c r="H210" s="60"/>
      <c r="I210" s="31"/>
      <c r="J210" s="31"/>
      <c r="K210" s="31"/>
      <c r="L210" s="31"/>
      <c r="M210" s="243"/>
      <c r="N210" s="191"/>
      <c r="O210" s="139"/>
      <c r="P210" s="191"/>
      <c r="Q210" s="191"/>
      <c r="R210" s="191"/>
      <c r="S210" s="191"/>
      <c r="T210" s="191"/>
      <c r="U210" s="139"/>
      <c r="V210" s="237"/>
      <c r="W210" s="237"/>
      <c r="X210" s="237"/>
      <c r="Y210" s="237"/>
      <c r="Z210" s="237"/>
      <c r="AA210" s="237"/>
      <c r="AB210" s="237"/>
      <c r="AC210" s="237"/>
      <c r="AD210" s="237"/>
      <c r="AE210" s="237"/>
      <c r="AF210" s="237"/>
      <c r="AG210" s="237"/>
      <c r="AH210" s="237"/>
      <c r="AI210" s="237"/>
      <c r="AJ210" s="237"/>
      <c r="AK210" s="237"/>
      <c r="AL210" s="237"/>
      <c r="AM210" s="237"/>
      <c r="AN210" s="237"/>
      <c r="AO210" s="237"/>
      <c r="AP210" s="237"/>
      <c r="AQ210" s="237"/>
      <c r="AR210" s="237"/>
      <c r="AS210" s="237"/>
      <c r="AT210" s="237"/>
      <c r="AU210" s="237"/>
      <c r="AV210" s="237"/>
      <c r="AW210" s="237"/>
      <c r="AX210" s="237"/>
      <c r="AY210" s="237"/>
      <c r="AZ210" s="237"/>
      <c r="BA210" s="237"/>
      <c r="BB210" s="237"/>
      <c r="BC210" s="237"/>
      <c r="BD210" s="237"/>
      <c r="BE210" s="237"/>
      <c r="BF210" s="237"/>
      <c r="BG210" s="237"/>
      <c r="BH210" s="237"/>
      <c r="BI210" s="237"/>
      <c r="BJ210" s="237"/>
      <c r="BK210" s="237"/>
      <c r="BL210" s="237"/>
      <c r="BM210" s="237"/>
      <c r="BN210" s="237"/>
      <c r="BO210" s="237"/>
      <c r="BP210" s="237"/>
      <c r="BQ210" s="237"/>
      <c r="BR210" s="237"/>
      <c r="BS210" s="237"/>
      <c r="BT210" s="237"/>
      <c r="BU210" s="237"/>
      <c r="BV210" s="237"/>
      <c r="BW210" s="237"/>
      <c r="BX210" s="237"/>
      <c r="BY210" s="237"/>
      <c r="BZ210" s="237"/>
      <c r="CA210" s="237"/>
      <c r="CB210" s="237"/>
      <c r="CC210" s="237"/>
      <c r="CD210" s="42"/>
      <c r="CE210" s="44"/>
    </row>
    <row r="211" spans="1:83" s="30" customFormat="1" ht="15" customHeight="1" outlineLevel="1" x14ac:dyDescent="0.3">
      <c r="A211" s="44"/>
      <c r="D211" s="132" t="s">
        <v>81</v>
      </c>
      <c r="E211" s="27"/>
      <c r="F211" s="27"/>
      <c r="G211" s="27"/>
      <c r="H211" s="27"/>
      <c r="I211" s="31" t="str">
        <f>Ввод!$M$12</f>
        <v>руб</v>
      </c>
      <c r="J211" s="31"/>
      <c r="K211" s="31"/>
      <c r="L211" s="31"/>
      <c r="M211" s="243"/>
      <c r="N211" s="191"/>
      <c r="O211" s="139"/>
      <c r="P211" s="191">
        <f>SUMIFS($V211:$CC211,$V$4:$CC$4,P$4,$V$6:$CC$6,12)</f>
        <v>15130836.131147543</v>
      </c>
      <c r="Q211" s="191">
        <f t="shared" ref="Q211:T211" si="286">SUMIFS($V211:$CC211,$V$4:$CC$4,Q$4,$V$6:$CC$6,12)</f>
        <v>26374332.131147541</v>
      </c>
      <c r="R211" s="191">
        <f t="shared" si="286"/>
        <v>41083620.131147541</v>
      </c>
      <c r="S211" s="191">
        <f t="shared" si="286"/>
        <v>59258700.131147541</v>
      </c>
      <c r="T211" s="191">
        <f t="shared" si="286"/>
        <v>80899572.131147534</v>
      </c>
      <c r="U211" s="139"/>
      <c r="V211" s="237">
        <f>MAX(V204-V209,0)</f>
        <v>2647718.0327868853</v>
      </c>
      <c r="W211" s="237">
        <f t="shared" ref="W211:CC211" si="287">MAX(W204-W209,0)</f>
        <v>2590518.0327868853</v>
      </c>
      <c r="X211" s="237">
        <f t="shared" si="287"/>
        <v>2533318.0327868853</v>
      </c>
      <c r="Y211" s="237">
        <f t="shared" si="287"/>
        <v>4279396.7213114761</v>
      </c>
      <c r="Z211" s="237">
        <f t="shared" si="287"/>
        <v>6476295.0819672141</v>
      </c>
      <c r="AA211" s="237">
        <f t="shared" si="287"/>
        <v>6967995.0819672141</v>
      </c>
      <c r="AB211" s="237">
        <f t="shared" si="287"/>
        <v>9323143.7704918049</v>
      </c>
      <c r="AC211" s="237">
        <f t="shared" si="287"/>
        <v>12189282.131147543</v>
      </c>
      <c r="AD211" s="237">
        <f t="shared" si="287"/>
        <v>12861492.131147543</v>
      </c>
      <c r="AE211" s="237">
        <f t="shared" si="287"/>
        <v>13593872.131147543</v>
      </c>
      <c r="AF211" s="237">
        <f t="shared" si="287"/>
        <v>14350320.131147543</v>
      </c>
      <c r="AG211" s="237">
        <f t="shared" si="287"/>
        <v>15130836.131147543</v>
      </c>
      <c r="AH211" s="237">
        <f t="shared" si="287"/>
        <v>15935420.131147543</v>
      </c>
      <c r="AI211" s="237">
        <f t="shared" si="287"/>
        <v>16764072.131147543</v>
      </c>
      <c r="AJ211" s="237">
        <f t="shared" si="287"/>
        <v>17616792.131147541</v>
      </c>
      <c r="AK211" s="237">
        <f t="shared" si="287"/>
        <v>18493580.131147541</v>
      </c>
      <c r="AL211" s="237">
        <f t="shared" si="287"/>
        <v>19394436.131147541</v>
      </c>
      <c r="AM211" s="237">
        <f t="shared" si="287"/>
        <v>20319360.131147541</v>
      </c>
      <c r="AN211" s="237">
        <f t="shared" si="287"/>
        <v>21268352.131147541</v>
      </c>
      <c r="AO211" s="237">
        <f t="shared" si="287"/>
        <v>22241412.131147541</v>
      </c>
      <c r="AP211" s="237">
        <f t="shared" si="287"/>
        <v>23238540.131147541</v>
      </c>
      <c r="AQ211" s="237">
        <f t="shared" si="287"/>
        <v>24259736.131147541</v>
      </c>
      <c r="AR211" s="237">
        <f t="shared" si="287"/>
        <v>25305000.131147541</v>
      </c>
      <c r="AS211" s="237">
        <f t="shared" si="287"/>
        <v>26374332.131147541</v>
      </c>
      <c r="AT211" s="237">
        <f t="shared" si="287"/>
        <v>27467732.131147541</v>
      </c>
      <c r="AU211" s="237">
        <f t="shared" si="287"/>
        <v>28585200.131147541</v>
      </c>
      <c r="AV211" s="237">
        <f t="shared" si="287"/>
        <v>29726736.131147541</v>
      </c>
      <c r="AW211" s="237">
        <f t="shared" si="287"/>
        <v>30892340.131147541</v>
      </c>
      <c r="AX211" s="237">
        <f t="shared" si="287"/>
        <v>32082012.131147541</v>
      </c>
      <c r="AY211" s="237">
        <f t="shared" si="287"/>
        <v>33295752.131147541</v>
      </c>
      <c r="AZ211" s="237">
        <f t="shared" si="287"/>
        <v>34533560.131147541</v>
      </c>
      <c r="BA211" s="237">
        <f t="shared" si="287"/>
        <v>35795436.131147541</v>
      </c>
      <c r="BB211" s="237">
        <f t="shared" si="287"/>
        <v>37081380.131147541</v>
      </c>
      <c r="BC211" s="237">
        <f t="shared" si="287"/>
        <v>38391392.131147541</v>
      </c>
      <c r="BD211" s="237">
        <f t="shared" si="287"/>
        <v>39725472.131147541</v>
      </c>
      <c r="BE211" s="237">
        <f t="shared" si="287"/>
        <v>41083620.131147541</v>
      </c>
      <c r="BF211" s="237">
        <f t="shared" si="287"/>
        <v>42465836.131147541</v>
      </c>
      <c r="BG211" s="237">
        <f t="shared" si="287"/>
        <v>43872120.131147541</v>
      </c>
      <c r="BH211" s="237">
        <f t="shared" si="287"/>
        <v>45302472.131147541</v>
      </c>
      <c r="BI211" s="237">
        <f t="shared" si="287"/>
        <v>46756892.131147541</v>
      </c>
      <c r="BJ211" s="237">
        <f t="shared" si="287"/>
        <v>48235380.131147541</v>
      </c>
      <c r="BK211" s="237">
        <f t="shared" si="287"/>
        <v>49737936.131147541</v>
      </c>
      <c r="BL211" s="237">
        <f t="shared" si="287"/>
        <v>51264560.131147541</v>
      </c>
      <c r="BM211" s="237">
        <f t="shared" si="287"/>
        <v>52815252.131147541</v>
      </c>
      <c r="BN211" s="237">
        <f t="shared" si="287"/>
        <v>54390012.131147541</v>
      </c>
      <c r="BO211" s="237">
        <f t="shared" si="287"/>
        <v>55988840.131147541</v>
      </c>
      <c r="BP211" s="237">
        <f t="shared" si="287"/>
        <v>57611736.131147541</v>
      </c>
      <c r="BQ211" s="237">
        <f t="shared" si="287"/>
        <v>59258700.131147541</v>
      </c>
      <c r="BR211" s="237">
        <f t="shared" si="287"/>
        <v>60929732.131147541</v>
      </c>
      <c r="BS211" s="237">
        <f t="shared" si="287"/>
        <v>62624832.131147541</v>
      </c>
      <c r="BT211" s="237">
        <f t="shared" si="287"/>
        <v>64344000.131147541</v>
      </c>
      <c r="BU211" s="237">
        <f t="shared" si="287"/>
        <v>66087236.131147541</v>
      </c>
      <c r="BV211" s="237">
        <f t="shared" si="287"/>
        <v>67854540.131147534</v>
      </c>
      <c r="BW211" s="237">
        <f t="shared" si="287"/>
        <v>69645912.131147534</v>
      </c>
      <c r="BX211" s="237">
        <f t="shared" si="287"/>
        <v>71461352.131147534</v>
      </c>
      <c r="BY211" s="237">
        <f t="shared" si="287"/>
        <v>73300860.131147534</v>
      </c>
      <c r="BZ211" s="237">
        <f t="shared" si="287"/>
        <v>75164436.131147534</v>
      </c>
      <c r="CA211" s="237">
        <f t="shared" si="287"/>
        <v>77052080.131147534</v>
      </c>
      <c r="CB211" s="237">
        <f t="shared" si="287"/>
        <v>78963792.131147534</v>
      </c>
      <c r="CC211" s="237">
        <f t="shared" si="287"/>
        <v>80899572.131147534</v>
      </c>
      <c r="CD211" s="42"/>
      <c r="CE211" s="44"/>
    </row>
    <row r="212" spans="1:83" s="30" customFormat="1" ht="15" customHeight="1" outlineLevel="1" x14ac:dyDescent="0.3">
      <c r="A212" s="44"/>
      <c r="D212" s="142"/>
      <c r="E212" s="90"/>
      <c r="F212" s="90"/>
      <c r="G212" s="90"/>
      <c r="H212" s="90"/>
      <c r="I212" s="91"/>
      <c r="J212" s="31"/>
      <c r="K212" s="31"/>
      <c r="L212" s="31"/>
      <c r="M212" s="243"/>
      <c r="N212" s="191"/>
      <c r="O212" s="139"/>
      <c r="P212" s="191"/>
      <c r="Q212" s="191"/>
      <c r="R212" s="191"/>
      <c r="S212" s="191"/>
      <c r="T212" s="191"/>
      <c r="U212" s="139"/>
      <c r="V212" s="237"/>
      <c r="W212" s="237"/>
      <c r="X212" s="237"/>
      <c r="Y212" s="237"/>
      <c r="Z212" s="237"/>
      <c r="AA212" s="237"/>
      <c r="AB212" s="237"/>
      <c r="AC212" s="237"/>
      <c r="AD212" s="237"/>
      <c r="AE212" s="237"/>
      <c r="AF212" s="237"/>
      <c r="AG212" s="237"/>
      <c r="AH212" s="237"/>
      <c r="AI212" s="237"/>
      <c r="AJ212" s="237"/>
      <c r="AK212" s="237"/>
      <c r="AL212" s="237"/>
      <c r="AM212" s="237"/>
      <c r="AN212" s="237"/>
      <c r="AO212" s="237"/>
      <c r="AP212" s="237"/>
      <c r="AQ212" s="237"/>
      <c r="AR212" s="237"/>
      <c r="AS212" s="237"/>
      <c r="AT212" s="237"/>
      <c r="AU212" s="237"/>
      <c r="AV212" s="237"/>
      <c r="AW212" s="237"/>
      <c r="AX212" s="237"/>
      <c r="AY212" s="237"/>
      <c r="AZ212" s="237"/>
      <c r="BA212" s="237"/>
      <c r="BB212" s="237"/>
      <c r="BC212" s="237"/>
      <c r="BD212" s="237"/>
      <c r="BE212" s="237"/>
      <c r="BF212" s="237"/>
      <c r="BG212" s="237"/>
      <c r="BH212" s="237"/>
      <c r="BI212" s="237"/>
      <c r="BJ212" s="237"/>
      <c r="BK212" s="237"/>
      <c r="BL212" s="237"/>
      <c r="BM212" s="237"/>
      <c r="BN212" s="237"/>
      <c r="BO212" s="237"/>
      <c r="BP212" s="237"/>
      <c r="BQ212" s="237"/>
      <c r="BR212" s="237"/>
      <c r="BS212" s="237"/>
      <c r="BT212" s="237"/>
      <c r="BU212" s="237"/>
      <c r="BV212" s="237"/>
      <c r="BW212" s="237"/>
      <c r="BX212" s="237"/>
      <c r="BY212" s="237"/>
      <c r="BZ212" s="237"/>
      <c r="CA212" s="237"/>
      <c r="CB212" s="237"/>
      <c r="CC212" s="237"/>
      <c r="CD212" s="42"/>
      <c r="CE212" s="44"/>
    </row>
    <row r="213" spans="1:83" s="22" customFormat="1" ht="15" customHeight="1" outlineLevel="1" x14ac:dyDescent="0.3">
      <c r="A213" s="51"/>
      <c r="D213" s="207" t="s">
        <v>82</v>
      </c>
      <c r="E213" s="208"/>
      <c r="F213" s="208"/>
      <c r="G213" s="208"/>
      <c r="H213" s="208"/>
      <c r="I213" s="212" t="str">
        <f>Ввод!$M$12</f>
        <v>руб</v>
      </c>
      <c r="J213" s="209"/>
      <c r="K213" s="209"/>
      <c r="L213" s="209"/>
      <c r="M213" s="230"/>
      <c r="N213" s="230">
        <f>SUM(P213:T213)</f>
        <v>81013972.131147534</v>
      </c>
      <c r="O213" s="139"/>
      <c r="P213" s="230">
        <f>SUMIF($V$4:$EK$4,P$4,$V213:$EK213)</f>
        <v>15245236.131147543</v>
      </c>
      <c r="Q213" s="230">
        <f>SUMIF($V$4:$EK$4,Q$4,$V213:$EK213)</f>
        <v>11243495.999999998</v>
      </c>
      <c r="R213" s="230">
        <f>SUMIF($V$4:$EK$4,R$4,$V213:$EK213)</f>
        <v>14709288</v>
      </c>
      <c r="S213" s="230">
        <f>SUMIF($V$4:$EK$4,S$4,$V213:$EK213)</f>
        <v>18175080</v>
      </c>
      <c r="T213" s="230">
        <f>SUMIF($V$4:$EK$4,T$4,$V213:$EK213)</f>
        <v>21640871.999999993</v>
      </c>
      <c r="U213" s="139"/>
      <c r="V213" s="230">
        <f>MAX(V211-U211,0)</f>
        <v>2647718.0327868853</v>
      </c>
      <c r="W213" s="230">
        <f>MAX(W211-V211,0)</f>
        <v>0</v>
      </c>
      <c r="X213" s="230">
        <f t="shared" ref="X213:CC213" si="288">MAX(X211-W211,0)</f>
        <v>0</v>
      </c>
      <c r="Y213" s="230">
        <f t="shared" si="288"/>
        <v>1746078.6885245908</v>
      </c>
      <c r="Z213" s="230">
        <f t="shared" si="288"/>
        <v>2196898.360655738</v>
      </c>
      <c r="AA213" s="230">
        <f t="shared" si="288"/>
        <v>491700</v>
      </c>
      <c r="AB213" s="230">
        <f t="shared" si="288"/>
        <v>2355148.6885245908</v>
      </c>
      <c r="AC213" s="230">
        <f t="shared" si="288"/>
        <v>2866138.360655738</v>
      </c>
      <c r="AD213" s="230">
        <f t="shared" si="288"/>
        <v>672210</v>
      </c>
      <c r="AE213" s="230">
        <f>MAX(AE211-AD211,0)</f>
        <v>732380</v>
      </c>
      <c r="AF213" s="230">
        <f t="shared" si="288"/>
        <v>756448</v>
      </c>
      <c r="AG213" s="230">
        <f t="shared" si="288"/>
        <v>780516</v>
      </c>
      <c r="AH213" s="230">
        <f t="shared" si="288"/>
        <v>804584</v>
      </c>
      <c r="AI213" s="230">
        <f t="shared" si="288"/>
        <v>828652</v>
      </c>
      <c r="AJ213" s="230">
        <f t="shared" si="288"/>
        <v>852719.99999999814</v>
      </c>
      <c r="AK213" s="230">
        <f t="shared" si="288"/>
        <v>876788</v>
      </c>
      <c r="AL213" s="230">
        <f t="shared" si="288"/>
        <v>900856</v>
      </c>
      <c r="AM213" s="230">
        <f t="shared" si="288"/>
        <v>924924</v>
      </c>
      <c r="AN213" s="230">
        <f t="shared" si="288"/>
        <v>948992</v>
      </c>
      <c r="AO213" s="230">
        <f t="shared" si="288"/>
        <v>973060</v>
      </c>
      <c r="AP213" s="230">
        <f t="shared" si="288"/>
        <v>997128</v>
      </c>
      <c r="AQ213" s="230">
        <f t="shared" si="288"/>
        <v>1021196</v>
      </c>
      <c r="AR213" s="230">
        <f t="shared" si="288"/>
        <v>1045264</v>
      </c>
      <c r="AS213" s="230">
        <f t="shared" si="288"/>
        <v>1069332</v>
      </c>
      <c r="AT213" s="230">
        <f t="shared" si="288"/>
        <v>1093400</v>
      </c>
      <c r="AU213" s="230">
        <f t="shared" si="288"/>
        <v>1117468</v>
      </c>
      <c r="AV213" s="230">
        <f t="shared" si="288"/>
        <v>1141536</v>
      </c>
      <c r="AW213" s="230">
        <f t="shared" si="288"/>
        <v>1165604</v>
      </c>
      <c r="AX213" s="230">
        <f t="shared" si="288"/>
        <v>1189672</v>
      </c>
      <c r="AY213" s="230">
        <f t="shared" si="288"/>
        <v>1213740</v>
      </c>
      <c r="AZ213" s="230">
        <f t="shared" si="288"/>
        <v>1237808</v>
      </c>
      <c r="BA213" s="230">
        <f t="shared" si="288"/>
        <v>1261876</v>
      </c>
      <c r="BB213" s="230">
        <f t="shared" si="288"/>
        <v>1285944</v>
      </c>
      <c r="BC213" s="230">
        <f t="shared" si="288"/>
        <v>1310012</v>
      </c>
      <c r="BD213" s="230">
        <f t="shared" si="288"/>
        <v>1334080</v>
      </c>
      <c r="BE213" s="230">
        <f t="shared" si="288"/>
        <v>1358148</v>
      </c>
      <c r="BF213" s="230">
        <f t="shared" si="288"/>
        <v>1382216</v>
      </c>
      <c r="BG213" s="230">
        <f t="shared" si="288"/>
        <v>1406284</v>
      </c>
      <c r="BH213" s="230">
        <f t="shared" si="288"/>
        <v>1430352</v>
      </c>
      <c r="BI213" s="230">
        <f t="shared" si="288"/>
        <v>1454420</v>
      </c>
      <c r="BJ213" s="230">
        <f t="shared" si="288"/>
        <v>1478488</v>
      </c>
      <c r="BK213" s="230">
        <f t="shared" si="288"/>
        <v>1502556</v>
      </c>
      <c r="BL213" s="230">
        <f t="shared" si="288"/>
        <v>1526624</v>
      </c>
      <c r="BM213" s="230">
        <f t="shared" si="288"/>
        <v>1550692</v>
      </c>
      <c r="BN213" s="230">
        <f t="shared" si="288"/>
        <v>1574760</v>
      </c>
      <c r="BO213" s="230">
        <f t="shared" si="288"/>
        <v>1598828</v>
      </c>
      <c r="BP213" s="230">
        <f t="shared" si="288"/>
        <v>1622896</v>
      </c>
      <c r="BQ213" s="230">
        <f t="shared" si="288"/>
        <v>1646964</v>
      </c>
      <c r="BR213" s="230">
        <f t="shared" si="288"/>
        <v>1671032</v>
      </c>
      <c r="BS213" s="230">
        <f t="shared" si="288"/>
        <v>1695100</v>
      </c>
      <c r="BT213" s="230">
        <f t="shared" si="288"/>
        <v>1719168</v>
      </c>
      <c r="BU213" s="230">
        <f t="shared" si="288"/>
        <v>1743236</v>
      </c>
      <c r="BV213" s="230">
        <f t="shared" si="288"/>
        <v>1767303.9999999925</v>
      </c>
      <c r="BW213" s="230">
        <f t="shared" si="288"/>
        <v>1791372</v>
      </c>
      <c r="BX213" s="230">
        <f t="shared" si="288"/>
        <v>1815440</v>
      </c>
      <c r="BY213" s="230">
        <f t="shared" si="288"/>
        <v>1839508</v>
      </c>
      <c r="BZ213" s="230">
        <f t="shared" si="288"/>
        <v>1863576</v>
      </c>
      <c r="CA213" s="230">
        <f t="shared" si="288"/>
        <v>1887644</v>
      </c>
      <c r="CB213" s="230">
        <f t="shared" si="288"/>
        <v>1911712</v>
      </c>
      <c r="CC213" s="230">
        <f t="shared" si="288"/>
        <v>1935780</v>
      </c>
      <c r="CE213" s="44"/>
    </row>
    <row r="214" spans="1:83" s="30" customFormat="1" ht="15" customHeight="1" x14ac:dyDescent="0.3">
      <c r="A214" s="44"/>
      <c r="D214" s="137"/>
      <c r="E214" s="37"/>
      <c r="F214" s="37"/>
      <c r="G214" s="37"/>
      <c r="H214" s="37"/>
      <c r="I214" s="37"/>
      <c r="J214" s="37"/>
      <c r="K214" s="37"/>
      <c r="L214" s="37"/>
      <c r="O214" s="97"/>
      <c r="U214" s="97"/>
      <c r="V214" s="97"/>
      <c r="W214" s="97"/>
      <c r="X214" s="97"/>
      <c r="Y214" s="97"/>
      <c r="Z214" s="97"/>
      <c r="AA214" s="97"/>
      <c r="AB214" s="97"/>
      <c r="AC214" s="97"/>
      <c r="AD214" s="97"/>
      <c r="AE214" s="97"/>
      <c r="AF214" s="97"/>
      <c r="AG214" s="97"/>
      <c r="AH214" s="97"/>
      <c r="AI214" s="97"/>
      <c r="AJ214" s="97"/>
      <c r="AK214" s="97"/>
      <c r="AL214" s="97"/>
      <c r="AM214" s="97"/>
      <c r="AN214" s="97"/>
      <c r="AO214" s="97"/>
      <c r="AP214" s="97"/>
      <c r="AQ214" s="97"/>
      <c r="AR214" s="97"/>
      <c r="AS214" s="97"/>
      <c r="AT214" s="97"/>
      <c r="AU214" s="97"/>
      <c r="AV214" s="97"/>
      <c r="AW214" s="97"/>
      <c r="AX214" s="97"/>
      <c r="AY214" s="97"/>
      <c r="AZ214" s="97"/>
      <c r="BA214" s="97"/>
      <c r="BB214" s="97"/>
      <c r="BC214" s="97"/>
      <c r="BD214" s="97"/>
      <c r="BE214" s="97"/>
      <c r="BF214" s="97"/>
      <c r="BG214" s="97"/>
      <c r="BH214" s="97"/>
      <c r="BI214" s="97"/>
      <c r="BJ214" s="97"/>
      <c r="BK214" s="97"/>
      <c r="BL214" s="97"/>
      <c r="BM214" s="97"/>
      <c r="BN214" s="97"/>
      <c r="BO214" s="97"/>
      <c r="BP214" s="97"/>
      <c r="BQ214" s="97"/>
      <c r="BR214" s="97"/>
      <c r="BS214" s="97"/>
      <c r="BT214" s="97"/>
      <c r="BU214" s="97"/>
      <c r="BV214" s="97"/>
      <c r="BW214" s="97"/>
      <c r="BX214" s="97"/>
      <c r="BY214" s="97"/>
      <c r="BZ214" s="97"/>
      <c r="CA214" s="97"/>
      <c r="CB214" s="97"/>
      <c r="CC214" s="97"/>
      <c r="CD214" s="110"/>
      <c r="CE214" s="44"/>
    </row>
    <row r="215" spans="1:83" s="23" customFormat="1" ht="15" customHeight="1" x14ac:dyDescent="0.3">
      <c r="A215" s="111"/>
      <c r="B215" s="110"/>
      <c r="C215" s="110"/>
      <c r="D215" s="133" t="s">
        <v>40</v>
      </c>
      <c r="E215" s="123"/>
      <c r="F215" s="123"/>
      <c r="G215" s="123"/>
      <c r="H215" s="123"/>
      <c r="I215" s="124"/>
      <c r="J215" s="124"/>
      <c r="K215" s="124"/>
      <c r="L215" s="124"/>
      <c r="M215" s="125"/>
      <c r="N215" s="126"/>
      <c r="O215" s="97"/>
      <c r="P215" s="126"/>
      <c r="Q215" s="126"/>
      <c r="R215" s="126"/>
      <c r="S215" s="126"/>
      <c r="T215" s="126"/>
      <c r="U215" s="97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  <c r="AO215" s="126"/>
      <c r="AP215" s="126"/>
      <c r="AQ215" s="126"/>
      <c r="AR215" s="126"/>
      <c r="AS215" s="126"/>
      <c r="AT215" s="126"/>
      <c r="AU215" s="126"/>
      <c r="AV215" s="126"/>
      <c r="AW215" s="126"/>
      <c r="AX215" s="126"/>
      <c r="AY215" s="126"/>
      <c r="AZ215" s="126"/>
      <c r="BA215" s="126"/>
      <c r="BB215" s="126"/>
      <c r="BC215" s="126"/>
      <c r="BD215" s="126"/>
      <c r="BE215" s="126"/>
      <c r="BF215" s="126"/>
      <c r="BG215" s="126"/>
      <c r="BH215" s="126"/>
      <c r="BI215" s="126"/>
      <c r="BJ215" s="126"/>
      <c r="BK215" s="126"/>
      <c r="BL215" s="126"/>
      <c r="BM215" s="126"/>
      <c r="BN215" s="126"/>
      <c r="BO215" s="126"/>
      <c r="BP215" s="126"/>
      <c r="BQ215" s="126"/>
      <c r="BR215" s="126"/>
      <c r="BS215" s="126"/>
      <c r="BT215" s="126"/>
      <c r="BU215" s="126"/>
      <c r="BV215" s="126"/>
      <c r="BW215" s="126"/>
      <c r="BX215" s="126"/>
      <c r="BY215" s="126"/>
      <c r="BZ215" s="126"/>
      <c r="CA215" s="126"/>
      <c r="CB215" s="126"/>
      <c r="CC215" s="126"/>
      <c r="CD215" s="110"/>
      <c r="CE215" s="111"/>
    </row>
    <row r="216" spans="1:83" s="45" customFormat="1" ht="15" customHeight="1" outlineLevel="1" x14ac:dyDescent="0.3">
      <c r="A216" s="111"/>
      <c r="B216" s="30"/>
      <c r="C216" s="110"/>
      <c r="D216" s="134"/>
      <c r="E216" s="28"/>
      <c r="F216" s="28"/>
      <c r="G216" s="28"/>
      <c r="H216" s="28"/>
      <c r="I216" s="6"/>
      <c r="J216" s="6"/>
      <c r="K216" s="6"/>
      <c r="L216" s="6"/>
      <c r="M216" s="49"/>
      <c r="N216" s="5"/>
      <c r="O216" s="97"/>
      <c r="P216" s="5"/>
      <c r="Q216" s="5"/>
      <c r="R216" s="5"/>
      <c r="S216" s="5"/>
      <c r="T216" s="5"/>
      <c r="U216" s="97"/>
      <c r="V216" s="54"/>
      <c r="W216" s="54"/>
      <c r="X216" s="54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  <c r="BG216" s="29"/>
      <c r="BH216" s="29"/>
      <c r="BI216" s="29"/>
      <c r="BJ216" s="29"/>
      <c r="BK216" s="29"/>
      <c r="BL216" s="29"/>
      <c r="BM216" s="29"/>
      <c r="BN216" s="29"/>
      <c r="BO216" s="29"/>
      <c r="BP216" s="29"/>
      <c r="BQ216" s="29"/>
      <c r="BR216" s="29"/>
      <c r="BS216" s="29"/>
      <c r="BT216" s="29"/>
      <c r="BU216" s="29"/>
      <c r="BV216" s="29"/>
      <c r="BW216" s="29"/>
      <c r="BX216" s="29"/>
      <c r="BY216" s="29"/>
      <c r="BZ216" s="29"/>
      <c r="CA216" s="29"/>
      <c r="CB216" s="29"/>
      <c r="CC216" s="29"/>
      <c r="CD216" s="30"/>
      <c r="CE216" s="111"/>
    </row>
    <row r="217" spans="1:83" s="45" customFormat="1" ht="15" customHeight="1" outlineLevel="1" x14ac:dyDescent="0.3">
      <c r="A217" s="111"/>
      <c r="B217" s="30"/>
      <c r="C217" s="110"/>
      <c r="D217" s="141" t="s">
        <v>60</v>
      </c>
      <c r="E217" s="39"/>
      <c r="F217" s="39"/>
      <c r="G217" s="39"/>
      <c r="H217" s="39"/>
      <c r="I217" s="6"/>
      <c r="J217" s="6"/>
      <c r="K217" s="6"/>
      <c r="L217" s="6"/>
      <c r="M217" s="49"/>
      <c r="N217" s="5"/>
      <c r="O217" s="97"/>
      <c r="P217" s="5"/>
      <c r="Q217" s="5"/>
      <c r="R217" s="5"/>
      <c r="S217" s="5"/>
      <c r="T217" s="5"/>
      <c r="U217" s="97"/>
      <c r="V217" s="54"/>
      <c r="W217" s="54"/>
      <c r="X217" s="54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  <c r="BH217" s="29"/>
      <c r="BI217" s="29"/>
      <c r="BJ217" s="29"/>
      <c r="BK217" s="29"/>
      <c r="BL217" s="29"/>
      <c r="BM217" s="29"/>
      <c r="BN217" s="29"/>
      <c r="BO217" s="29"/>
      <c r="BP217" s="29"/>
      <c r="BQ217" s="29"/>
      <c r="BR217" s="29"/>
      <c r="BS217" s="29"/>
      <c r="BT217" s="29"/>
      <c r="BU217" s="29"/>
      <c r="BV217" s="29"/>
      <c r="BW217" s="29"/>
      <c r="BX217" s="29"/>
      <c r="BY217" s="29"/>
      <c r="BZ217" s="29"/>
      <c r="CA217" s="29"/>
      <c r="CB217" s="29"/>
      <c r="CC217" s="29"/>
      <c r="CD217" s="30"/>
      <c r="CE217" s="111"/>
    </row>
    <row r="218" spans="1:83" s="30" customFormat="1" ht="15" customHeight="1" outlineLevel="1" x14ac:dyDescent="0.3">
      <c r="A218" s="44"/>
      <c r="D218" s="135" t="s">
        <v>41</v>
      </c>
      <c r="E218" s="35"/>
      <c r="F218" s="35"/>
      <c r="G218" s="35"/>
      <c r="H218" s="35"/>
      <c r="I218" s="31" t="s">
        <v>43</v>
      </c>
      <c r="J218" s="31"/>
      <c r="K218" s="31"/>
      <c r="L218" s="31"/>
      <c r="M218" s="228">
        <v>3</v>
      </c>
      <c r="N218" s="29"/>
      <c r="O218" s="97"/>
      <c r="P218" s="29"/>
      <c r="Q218" s="29"/>
      <c r="R218" s="29"/>
      <c r="S218" s="29"/>
      <c r="T218" s="29"/>
      <c r="U218" s="97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9"/>
      <c r="BI218" s="29"/>
      <c r="BJ218" s="29"/>
      <c r="BK218" s="29"/>
      <c r="BL218" s="29"/>
      <c r="BM218" s="29"/>
      <c r="BN218" s="29"/>
      <c r="BO218" s="29"/>
      <c r="BP218" s="29"/>
      <c r="BQ218" s="29"/>
      <c r="BR218" s="29"/>
      <c r="BS218" s="29"/>
      <c r="BT218" s="29"/>
      <c r="BU218" s="29"/>
      <c r="BV218" s="29"/>
      <c r="BW218" s="29"/>
      <c r="BX218" s="29"/>
      <c r="BY218" s="29"/>
      <c r="BZ218" s="29"/>
      <c r="CA218" s="29"/>
      <c r="CB218" s="29"/>
      <c r="CC218" s="29"/>
      <c r="CD218" s="42"/>
      <c r="CE218" s="44"/>
    </row>
    <row r="219" spans="1:83" s="30" customFormat="1" ht="15" customHeight="1" outlineLevel="1" x14ac:dyDescent="0.3">
      <c r="A219" s="44"/>
      <c r="D219" s="132" t="s">
        <v>44</v>
      </c>
      <c r="E219" s="27"/>
      <c r="F219" s="27"/>
      <c r="G219" s="27"/>
      <c r="H219" s="27"/>
      <c r="I219" s="31" t="s">
        <v>36</v>
      </c>
      <c r="J219" s="31"/>
      <c r="K219" s="31"/>
      <c r="L219" s="31"/>
      <c r="M219" s="75">
        <f>Ввод!$M$24</f>
        <v>0.06</v>
      </c>
      <c r="N219" s="29"/>
      <c r="O219" s="97"/>
      <c r="P219" s="29"/>
      <c r="Q219" s="29"/>
      <c r="R219" s="29"/>
      <c r="S219" s="29"/>
      <c r="T219" s="29"/>
      <c r="U219" s="97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/>
      <c r="BG219" s="29"/>
      <c r="BH219" s="29"/>
      <c r="BI219" s="29"/>
      <c r="BJ219" s="29"/>
      <c r="BK219" s="29"/>
      <c r="BL219" s="29"/>
      <c r="BM219" s="29"/>
      <c r="BN219" s="29"/>
      <c r="BO219" s="29"/>
      <c r="BP219" s="29"/>
      <c r="BQ219" s="29"/>
      <c r="BR219" s="29"/>
      <c r="BS219" s="29"/>
      <c r="BT219" s="29"/>
      <c r="BU219" s="29"/>
      <c r="BV219" s="29"/>
      <c r="BW219" s="29"/>
      <c r="BX219" s="29"/>
      <c r="BY219" s="29"/>
      <c r="BZ219" s="29"/>
      <c r="CA219" s="29"/>
      <c r="CB219" s="29"/>
      <c r="CC219" s="29"/>
      <c r="CD219" s="42"/>
      <c r="CE219" s="44"/>
    </row>
    <row r="220" spans="1:83" s="30" customFormat="1" ht="15" customHeight="1" outlineLevel="1" x14ac:dyDescent="0.3">
      <c r="A220" s="44"/>
      <c r="D220" s="132" t="s">
        <v>45</v>
      </c>
      <c r="E220" s="27"/>
      <c r="F220" s="27"/>
      <c r="G220" s="27"/>
      <c r="H220" s="27"/>
      <c r="I220" s="31" t="s">
        <v>36</v>
      </c>
      <c r="J220" s="31"/>
      <c r="K220" s="31"/>
      <c r="L220" s="31"/>
      <c r="M220" s="75">
        <f>Ввод!$M$25</f>
        <v>0.15</v>
      </c>
      <c r="N220" s="29"/>
      <c r="O220" s="97"/>
      <c r="P220" s="29"/>
      <c r="Q220" s="29"/>
      <c r="R220" s="29"/>
      <c r="S220" s="29"/>
      <c r="T220" s="29"/>
      <c r="U220" s="97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  <c r="BG220" s="29"/>
      <c r="BH220" s="29"/>
      <c r="BI220" s="29"/>
      <c r="BJ220" s="29"/>
      <c r="BK220" s="29"/>
      <c r="BL220" s="29"/>
      <c r="BM220" s="29"/>
      <c r="BN220" s="29"/>
      <c r="BO220" s="29"/>
      <c r="BP220" s="29"/>
      <c r="BQ220" s="29"/>
      <c r="BR220" s="29"/>
      <c r="BS220" s="29"/>
      <c r="BT220" s="29"/>
      <c r="BU220" s="29"/>
      <c r="BV220" s="29"/>
      <c r="BW220" s="29"/>
      <c r="BX220" s="29"/>
      <c r="BY220" s="29"/>
      <c r="BZ220" s="29"/>
      <c r="CA220" s="29"/>
      <c r="CB220" s="29"/>
      <c r="CC220" s="29"/>
      <c r="CD220" s="42"/>
      <c r="CE220" s="44"/>
    </row>
    <row r="221" spans="1:83" s="45" customFormat="1" ht="15" customHeight="1" outlineLevel="1" x14ac:dyDescent="0.3">
      <c r="A221" s="111"/>
      <c r="B221" s="30"/>
      <c r="C221" s="110"/>
      <c r="D221" s="132" t="s">
        <v>83</v>
      </c>
      <c r="E221" s="27"/>
      <c r="F221" s="27"/>
      <c r="G221" s="27"/>
      <c r="H221" s="27"/>
      <c r="I221" s="31" t="s">
        <v>36</v>
      </c>
      <c r="J221" s="31"/>
      <c r="K221" s="31"/>
      <c r="L221" s="31"/>
      <c r="M221" s="75">
        <f>Ввод!$M$26</f>
        <v>0.25</v>
      </c>
      <c r="N221" s="5"/>
      <c r="O221" s="97"/>
      <c r="P221" s="5"/>
      <c r="Q221" s="5"/>
      <c r="R221" s="5"/>
      <c r="S221" s="5"/>
      <c r="T221" s="5"/>
      <c r="U221" s="97"/>
      <c r="V221" s="54"/>
      <c r="W221" s="54"/>
      <c r="X221" s="54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9"/>
      <c r="BI221" s="29"/>
      <c r="BJ221" s="29"/>
      <c r="BK221" s="29"/>
      <c r="BL221" s="29"/>
      <c r="BM221" s="29"/>
      <c r="BN221" s="29"/>
      <c r="BO221" s="29"/>
      <c r="BP221" s="29"/>
      <c r="BQ221" s="29"/>
      <c r="BR221" s="29"/>
      <c r="BS221" s="29"/>
      <c r="BT221" s="29"/>
      <c r="BU221" s="29"/>
      <c r="BV221" s="29"/>
      <c r="BW221" s="29"/>
      <c r="BX221" s="29"/>
      <c r="BY221" s="29"/>
      <c r="BZ221" s="29"/>
      <c r="CA221" s="29"/>
      <c r="CB221" s="29"/>
      <c r="CC221" s="29"/>
      <c r="CD221" s="30"/>
      <c r="CE221" s="111"/>
    </row>
    <row r="222" spans="1:83" s="45" customFormat="1" outlineLevel="1" x14ac:dyDescent="0.3">
      <c r="A222" s="111"/>
      <c r="B222" s="30"/>
      <c r="C222" s="110"/>
      <c r="D222" s="132"/>
      <c r="E222" s="27"/>
      <c r="F222" s="27"/>
      <c r="G222" s="27"/>
      <c r="H222" s="27"/>
      <c r="I222" s="31"/>
      <c r="J222" s="31"/>
      <c r="K222" s="31"/>
      <c r="L222" s="31"/>
      <c r="M222" s="75"/>
      <c r="N222" s="5"/>
      <c r="O222" s="97"/>
      <c r="P222" s="5"/>
      <c r="Q222" s="5"/>
      <c r="R222" s="5"/>
      <c r="S222" s="5"/>
      <c r="T222" s="5"/>
      <c r="U222" s="97"/>
      <c r="V222" s="54"/>
      <c r="W222" s="54"/>
      <c r="X222" s="54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29"/>
      <c r="BK222" s="29"/>
      <c r="BL222" s="29"/>
      <c r="BM222" s="29"/>
      <c r="BN222" s="29"/>
      <c r="BO222" s="29"/>
      <c r="BP222" s="29"/>
      <c r="BQ222" s="29"/>
      <c r="BR222" s="29"/>
      <c r="BS222" s="29"/>
      <c r="BT222" s="29"/>
      <c r="BU222" s="29"/>
      <c r="BV222" s="29"/>
      <c r="BW222" s="29"/>
      <c r="BX222" s="29"/>
      <c r="BY222" s="29"/>
      <c r="BZ222" s="29"/>
      <c r="CA222" s="29"/>
      <c r="CB222" s="29"/>
      <c r="CC222" s="29"/>
      <c r="CD222" s="30"/>
      <c r="CE222" s="111"/>
    </row>
    <row r="223" spans="1:83" s="30" customFormat="1" outlineLevel="1" x14ac:dyDescent="0.3">
      <c r="A223" s="44"/>
      <c r="D223" s="169" t="s">
        <v>84</v>
      </c>
      <c r="E223" s="60"/>
      <c r="F223" s="60"/>
      <c r="G223" s="60"/>
      <c r="H223" s="60"/>
      <c r="I223" s="31"/>
      <c r="J223" s="31"/>
      <c r="K223" s="31"/>
      <c r="L223" s="31"/>
      <c r="M223" s="2"/>
      <c r="N223" s="29"/>
      <c r="O223" s="97"/>
      <c r="P223" s="29"/>
      <c r="Q223" s="29"/>
      <c r="R223" s="29"/>
      <c r="S223" s="29"/>
      <c r="T223" s="29"/>
      <c r="U223" s="97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/>
      <c r="BI223" s="29"/>
      <c r="BJ223" s="29"/>
      <c r="BK223" s="29"/>
      <c r="BL223" s="29"/>
      <c r="BM223" s="29"/>
      <c r="BN223" s="29"/>
      <c r="BO223" s="29"/>
      <c r="BP223" s="29"/>
      <c r="BQ223" s="29"/>
      <c r="BR223" s="29"/>
      <c r="BS223" s="29"/>
      <c r="BT223" s="29"/>
      <c r="BU223" s="29"/>
      <c r="BV223" s="29"/>
      <c r="BW223" s="29"/>
      <c r="BX223" s="29"/>
      <c r="BY223" s="29"/>
      <c r="BZ223" s="29"/>
      <c r="CA223" s="29"/>
      <c r="CB223" s="29"/>
      <c r="CC223" s="29"/>
      <c r="CD223" s="42"/>
      <c r="CE223" s="44"/>
    </row>
    <row r="224" spans="1:83" s="30" customFormat="1" ht="15" customHeight="1" outlineLevel="1" x14ac:dyDescent="0.3">
      <c r="A224" s="44"/>
      <c r="D224" s="132" t="s">
        <v>85</v>
      </c>
      <c r="E224" s="27"/>
      <c r="F224" s="27"/>
      <c r="G224" s="27"/>
      <c r="H224" s="27"/>
      <c r="I224" s="31" t="str">
        <f>Ввод!$M$12</f>
        <v>руб</v>
      </c>
      <c r="J224" s="31"/>
      <c r="K224" s="31"/>
      <c r="L224" s="31"/>
      <c r="M224" s="2"/>
      <c r="N224" s="191">
        <f>SUM(P224:T224)</f>
        <v>635000000</v>
      </c>
      <c r="O224" s="139"/>
      <c r="P224" s="191">
        <f t="shared" ref="P224:T225" si="289">SUMIF($V$4:$EK$4,P$4,$V224:$EK224)</f>
        <v>44600000</v>
      </c>
      <c r="Q224" s="191">
        <f t="shared" si="289"/>
        <v>104400000</v>
      </c>
      <c r="R224" s="191">
        <f t="shared" si="289"/>
        <v>133200000</v>
      </c>
      <c r="S224" s="191">
        <f t="shared" si="289"/>
        <v>162000000</v>
      </c>
      <c r="T224" s="191">
        <f t="shared" si="289"/>
        <v>190800000</v>
      </c>
      <c r="U224" s="139"/>
      <c r="V224" s="228">
        <f>Отчетность!T11</f>
        <v>0</v>
      </c>
      <c r="W224" s="228">
        <f>Отчетность!U11</f>
        <v>0</v>
      </c>
      <c r="X224" s="228">
        <f>Отчетность!V11</f>
        <v>0</v>
      </c>
      <c r="Y224" s="228">
        <f>Отчетность!W11</f>
        <v>0</v>
      </c>
      <c r="Z224" s="228">
        <f>Отчетность!X11</f>
        <v>0</v>
      </c>
      <c r="AA224" s="228">
        <f>Отчетность!Y11</f>
        <v>5000000</v>
      </c>
      <c r="AB224" s="228">
        <f>Отчетность!Z11</f>
        <v>5500000</v>
      </c>
      <c r="AC224" s="228">
        <f>Отчетность!AA11</f>
        <v>6000000</v>
      </c>
      <c r="AD224" s="228">
        <f>Отчетность!AB11</f>
        <v>6500000</v>
      </c>
      <c r="AE224" s="228">
        <f>Отчетность!AC11</f>
        <v>7000000</v>
      </c>
      <c r="AF224" s="228">
        <f>Отчетность!AD11</f>
        <v>7200000</v>
      </c>
      <c r="AG224" s="228">
        <f>Отчетность!AE11</f>
        <v>7400000</v>
      </c>
      <c r="AH224" s="228">
        <f>Отчетность!AF11</f>
        <v>7600000</v>
      </c>
      <c r="AI224" s="228">
        <f>Отчетность!AG11</f>
        <v>7800000</v>
      </c>
      <c r="AJ224" s="228">
        <f>Отчетность!AH11</f>
        <v>8000000</v>
      </c>
      <c r="AK224" s="228">
        <f>Отчетность!AI11</f>
        <v>8200000</v>
      </c>
      <c r="AL224" s="228">
        <f>Отчетность!AJ11</f>
        <v>8400000</v>
      </c>
      <c r="AM224" s="228">
        <f>Отчетность!AK11</f>
        <v>8600000</v>
      </c>
      <c r="AN224" s="228">
        <f>Отчетность!AL11</f>
        <v>8800000</v>
      </c>
      <c r="AO224" s="228">
        <f>Отчетность!AM11</f>
        <v>9000000</v>
      </c>
      <c r="AP224" s="228">
        <f>Отчетность!AN11</f>
        <v>9200000</v>
      </c>
      <c r="AQ224" s="228">
        <f>Отчетность!AO11</f>
        <v>9400000</v>
      </c>
      <c r="AR224" s="228">
        <f>Отчетность!AP11</f>
        <v>9600000</v>
      </c>
      <c r="AS224" s="228">
        <f>Отчетность!AQ11</f>
        <v>9800000</v>
      </c>
      <c r="AT224" s="228">
        <f>Отчетность!AR11</f>
        <v>10000000</v>
      </c>
      <c r="AU224" s="228">
        <f>Отчетность!AS11</f>
        <v>10200000</v>
      </c>
      <c r="AV224" s="228">
        <f>Отчетность!AT11</f>
        <v>10400000</v>
      </c>
      <c r="AW224" s="228">
        <f>Отчетность!AU11</f>
        <v>10600000</v>
      </c>
      <c r="AX224" s="228">
        <f>Отчетность!AV11</f>
        <v>10800000</v>
      </c>
      <c r="AY224" s="228">
        <f>Отчетность!AW11</f>
        <v>11000000</v>
      </c>
      <c r="AZ224" s="228">
        <f>Отчетность!AX11</f>
        <v>11200000</v>
      </c>
      <c r="BA224" s="228">
        <f>Отчетность!AY11</f>
        <v>11400000</v>
      </c>
      <c r="BB224" s="228">
        <f>Отчетность!AZ11</f>
        <v>11600000</v>
      </c>
      <c r="BC224" s="228">
        <f>Отчетность!BA11</f>
        <v>11800000</v>
      </c>
      <c r="BD224" s="228">
        <f>Отчетность!BB11</f>
        <v>12000000</v>
      </c>
      <c r="BE224" s="228">
        <f>Отчетность!BC11</f>
        <v>12200000</v>
      </c>
      <c r="BF224" s="228">
        <f>Отчетность!BD11</f>
        <v>12400000</v>
      </c>
      <c r="BG224" s="228">
        <f>Отчетность!BE11</f>
        <v>12600000</v>
      </c>
      <c r="BH224" s="228">
        <f>Отчетность!BF11</f>
        <v>12800000</v>
      </c>
      <c r="BI224" s="228">
        <f>Отчетность!BG11</f>
        <v>13000000</v>
      </c>
      <c r="BJ224" s="228">
        <f>Отчетность!BH11</f>
        <v>13200000</v>
      </c>
      <c r="BK224" s="228">
        <f>Отчетность!BI11</f>
        <v>13400000</v>
      </c>
      <c r="BL224" s="228">
        <f>Отчетность!BJ11</f>
        <v>13600000</v>
      </c>
      <c r="BM224" s="228">
        <f>Отчетность!BK11</f>
        <v>13800000</v>
      </c>
      <c r="BN224" s="228">
        <f>Отчетность!BL11</f>
        <v>14000000</v>
      </c>
      <c r="BO224" s="228">
        <f>Отчетность!BM11</f>
        <v>14200000</v>
      </c>
      <c r="BP224" s="228">
        <f>Отчетность!BN11</f>
        <v>14400000</v>
      </c>
      <c r="BQ224" s="228">
        <f>Отчетность!BO11</f>
        <v>14600000</v>
      </c>
      <c r="BR224" s="228">
        <f>Отчетность!BP11</f>
        <v>14800000</v>
      </c>
      <c r="BS224" s="228">
        <f>Отчетность!BQ11</f>
        <v>15000000</v>
      </c>
      <c r="BT224" s="228">
        <f>Отчетность!BR11</f>
        <v>15200000</v>
      </c>
      <c r="BU224" s="228">
        <f>Отчетность!BS11</f>
        <v>15400000</v>
      </c>
      <c r="BV224" s="228">
        <f>Отчетность!BT11</f>
        <v>15600000</v>
      </c>
      <c r="BW224" s="228">
        <f>Отчетность!BU11</f>
        <v>15800000</v>
      </c>
      <c r="BX224" s="228">
        <f>Отчетность!BV11</f>
        <v>16000000</v>
      </c>
      <c r="BY224" s="228">
        <f>Отчетность!BW11</f>
        <v>16200000</v>
      </c>
      <c r="BZ224" s="228">
        <f>Отчетность!BX11</f>
        <v>16400000</v>
      </c>
      <c r="CA224" s="228">
        <f>Отчетность!BY11</f>
        <v>16600000</v>
      </c>
      <c r="CB224" s="228">
        <f>Отчетность!BZ11</f>
        <v>16800000</v>
      </c>
      <c r="CC224" s="228">
        <f>Отчетность!CA11</f>
        <v>17000000</v>
      </c>
      <c r="CD224" s="173"/>
      <c r="CE224" s="180"/>
    </row>
    <row r="225" spans="1:83" s="73" customFormat="1" ht="15" customHeight="1" outlineLevel="1" x14ac:dyDescent="0.3">
      <c r="A225" s="87"/>
      <c r="D225" s="169" t="s">
        <v>86</v>
      </c>
      <c r="E225" s="60"/>
      <c r="F225" s="60"/>
      <c r="G225" s="60"/>
      <c r="H225" s="60"/>
      <c r="I225" s="6" t="str">
        <f>Ввод!$M$12</f>
        <v>руб</v>
      </c>
      <c r="J225" s="6"/>
      <c r="K225" s="6"/>
      <c r="L225" s="6"/>
      <c r="M225" s="49"/>
      <c r="N225" s="225">
        <f>SUM(P225:T225)</f>
        <v>38100000</v>
      </c>
      <c r="O225" s="227"/>
      <c r="P225" s="225">
        <f t="shared" si="289"/>
        <v>2676000</v>
      </c>
      <c r="Q225" s="225">
        <f t="shared" si="289"/>
        <v>6264000</v>
      </c>
      <c r="R225" s="225">
        <f t="shared" si="289"/>
        <v>7992000</v>
      </c>
      <c r="S225" s="225">
        <f t="shared" si="289"/>
        <v>9720000</v>
      </c>
      <c r="T225" s="225">
        <f t="shared" si="289"/>
        <v>11448000</v>
      </c>
      <c r="U225" s="227"/>
      <c r="V225" s="225">
        <f t="shared" ref="V225:BA225" si="290">V224*$M$219</f>
        <v>0</v>
      </c>
      <c r="W225" s="225">
        <f t="shared" si="290"/>
        <v>0</v>
      </c>
      <c r="X225" s="225">
        <f t="shared" si="290"/>
        <v>0</v>
      </c>
      <c r="Y225" s="225">
        <f t="shared" si="290"/>
        <v>0</v>
      </c>
      <c r="Z225" s="225">
        <f t="shared" si="290"/>
        <v>0</v>
      </c>
      <c r="AA225" s="225">
        <f>AA224*$M$219</f>
        <v>300000</v>
      </c>
      <c r="AB225" s="225">
        <f t="shared" si="290"/>
        <v>330000</v>
      </c>
      <c r="AC225" s="225">
        <f t="shared" si="290"/>
        <v>360000</v>
      </c>
      <c r="AD225" s="225">
        <f t="shared" si="290"/>
        <v>390000</v>
      </c>
      <c r="AE225" s="225">
        <f t="shared" si="290"/>
        <v>420000</v>
      </c>
      <c r="AF225" s="225">
        <f t="shared" si="290"/>
        <v>432000</v>
      </c>
      <c r="AG225" s="225">
        <f t="shared" si="290"/>
        <v>444000</v>
      </c>
      <c r="AH225" s="225">
        <f t="shared" si="290"/>
        <v>456000</v>
      </c>
      <c r="AI225" s="225">
        <f t="shared" si="290"/>
        <v>468000</v>
      </c>
      <c r="AJ225" s="225">
        <f t="shared" si="290"/>
        <v>480000</v>
      </c>
      <c r="AK225" s="225">
        <f t="shared" si="290"/>
        <v>492000</v>
      </c>
      <c r="AL225" s="225">
        <f t="shared" si="290"/>
        <v>504000</v>
      </c>
      <c r="AM225" s="225">
        <f t="shared" si="290"/>
        <v>516000</v>
      </c>
      <c r="AN225" s="225">
        <f t="shared" si="290"/>
        <v>528000</v>
      </c>
      <c r="AO225" s="225">
        <f t="shared" si="290"/>
        <v>540000</v>
      </c>
      <c r="AP225" s="225">
        <f t="shared" si="290"/>
        <v>552000</v>
      </c>
      <c r="AQ225" s="225">
        <f t="shared" si="290"/>
        <v>564000</v>
      </c>
      <c r="AR225" s="225">
        <f t="shared" si="290"/>
        <v>576000</v>
      </c>
      <c r="AS225" s="225">
        <f t="shared" si="290"/>
        <v>588000</v>
      </c>
      <c r="AT225" s="225">
        <f t="shared" si="290"/>
        <v>600000</v>
      </c>
      <c r="AU225" s="225">
        <f t="shared" si="290"/>
        <v>612000</v>
      </c>
      <c r="AV225" s="225">
        <f t="shared" si="290"/>
        <v>624000</v>
      </c>
      <c r="AW225" s="225">
        <f t="shared" si="290"/>
        <v>636000</v>
      </c>
      <c r="AX225" s="225">
        <f t="shared" si="290"/>
        <v>648000</v>
      </c>
      <c r="AY225" s="225">
        <f t="shared" si="290"/>
        <v>660000</v>
      </c>
      <c r="AZ225" s="225">
        <f t="shared" si="290"/>
        <v>672000</v>
      </c>
      <c r="BA225" s="225">
        <f t="shared" si="290"/>
        <v>684000</v>
      </c>
      <c r="BB225" s="225">
        <f t="shared" ref="BB225:CC225" si="291">BB224*$M$219</f>
        <v>696000</v>
      </c>
      <c r="BC225" s="225">
        <f t="shared" si="291"/>
        <v>708000</v>
      </c>
      <c r="BD225" s="225">
        <f t="shared" si="291"/>
        <v>720000</v>
      </c>
      <c r="BE225" s="225">
        <f t="shared" si="291"/>
        <v>732000</v>
      </c>
      <c r="BF225" s="225">
        <f t="shared" si="291"/>
        <v>744000</v>
      </c>
      <c r="BG225" s="225">
        <f t="shared" si="291"/>
        <v>756000</v>
      </c>
      <c r="BH225" s="225">
        <f t="shared" si="291"/>
        <v>768000</v>
      </c>
      <c r="BI225" s="225">
        <f t="shared" si="291"/>
        <v>780000</v>
      </c>
      <c r="BJ225" s="225">
        <f t="shared" si="291"/>
        <v>792000</v>
      </c>
      <c r="BK225" s="225">
        <f t="shared" si="291"/>
        <v>804000</v>
      </c>
      <c r="BL225" s="225">
        <f t="shared" si="291"/>
        <v>816000</v>
      </c>
      <c r="BM225" s="225">
        <f t="shared" si="291"/>
        <v>828000</v>
      </c>
      <c r="BN225" s="225">
        <f t="shared" si="291"/>
        <v>840000</v>
      </c>
      <c r="BO225" s="225">
        <f t="shared" si="291"/>
        <v>852000</v>
      </c>
      <c r="BP225" s="225">
        <f t="shared" si="291"/>
        <v>864000</v>
      </c>
      <c r="BQ225" s="225">
        <f t="shared" si="291"/>
        <v>876000</v>
      </c>
      <c r="BR225" s="225">
        <f t="shared" si="291"/>
        <v>888000</v>
      </c>
      <c r="BS225" s="225">
        <f t="shared" si="291"/>
        <v>900000</v>
      </c>
      <c r="BT225" s="225">
        <f t="shared" si="291"/>
        <v>912000</v>
      </c>
      <c r="BU225" s="225">
        <f t="shared" si="291"/>
        <v>924000</v>
      </c>
      <c r="BV225" s="225">
        <f t="shared" si="291"/>
        <v>936000</v>
      </c>
      <c r="BW225" s="225">
        <f t="shared" si="291"/>
        <v>948000</v>
      </c>
      <c r="BX225" s="225">
        <f t="shared" si="291"/>
        <v>960000</v>
      </c>
      <c r="BY225" s="225">
        <f t="shared" si="291"/>
        <v>972000</v>
      </c>
      <c r="BZ225" s="225">
        <f t="shared" si="291"/>
        <v>984000</v>
      </c>
      <c r="CA225" s="225">
        <f t="shared" si="291"/>
        <v>996000</v>
      </c>
      <c r="CB225" s="225">
        <f t="shared" si="291"/>
        <v>1008000</v>
      </c>
      <c r="CC225" s="225">
        <f t="shared" si="291"/>
        <v>1020000</v>
      </c>
      <c r="CD225" s="181"/>
      <c r="CE225" s="182"/>
    </row>
    <row r="226" spans="1:83" s="30" customFormat="1" ht="15" customHeight="1" outlineLevel="1" x14ac:dyDescent="0.3">
      <c r="A226" s="44"/>
      <c r="D226" s="132"/>
      <c r="E226" s="27"/>
      <c r="F226" s="27"/>
      <c r="G226" s="27"/>
      <c r="H226" s="27"/>
      <c r="I226" s="31"/>
      <c r="J226" s="31"/>
      <c r="K226" s="31"/>
      <c r="L226" s="31"/>
      <c r="M226" s="2"/>
      <c r="N226" s="191"/>
      <c r="O226" s="139"/>
      <c r="P226" s="191"/>
      <c r="Q226" s="191"/>
      <c r="R226" s="191"/>
      <c r="S226" s="191"/>
      <c r="T226" s="191"/>
      <c r="U226" s="139"/>
      <c r="V226" s="191"/>
      <c r="W226" s="191"/>
      <c r="X226" s="191"/>
      <c r="Y226" s="191"/>
      <c r="Z226" s="191"/>
      <c r="AA226" s="191"/>
      <c r="AB226" s="191"/>
      <c r="AC226" s="191"/>
      <c r="AD226" s="191"/>
      <c r="AE226" s="191"/>
      <c r="AF226" s="191"/>
      <c r="AG226" s="191"/>
      <c r="AH226" s="191"/>
      <c r="AI226" s="191"/>
      <c r="AJ226" s="191"/>
      <c r="AK226" s="191"/>
      <c r="AL226" s="191"/>
      <c r="AM226" s="191"/>
      <c r="AN226" s="191"/>
      <c r="AO226" s="191"/>
      <c r="AP226" s="191"/>
      <c r="AQ226" s="191"/>
      <c r="AR226" s="191"/>
      <c r="AS226" s="191"/>
      <c r="AT226" s="191"/>
      <c r="AU226" s="191"/>
      <c r="AV226" s="191"/>
      <c r="AW226" s="191"/>
      <c r="AX226" s="191"/>
      <c r="AY226" s="191"/>
      <c r="AZ226" s="191"/>
      <c r="BA226" s="191"/>
      <c r="BB226" s="191"/>
      <c r="BC226" s="191"/>
      <c r="BD226" s="191"/>
      <c r="BE226" s="191"/>
      <c r="BF226" s="191"/>
      <c r="BG226" s="191"/>
      <c r="BH226" s="191"/>
      <c r="BI226" s="191"/>
      <c r="BJ226" s="191"/>
      <c r="BK226" s="191"/>
      <c r="BL226" s="191"/>
      <c r="BM226" s="191"/>
      <c r="BN226" s="191"/>
      <c r="BO226" s="191"/>
      <c r="BP226" s="191"/>
      <c r="BQ226" s="191"/>
      <c r="BR226" s="191"/>
      <c r="BS226" s="191"/>
      <c r="BT226" s="191"/>
      <c r="BU226" s="191"/>
      <c r="BV226" s="191"/>
      <c r="BW226" s="191"/>
      <c r="BX226" s="191"/>
      <c r="BY226" s="191"/>
      <c r="BZ226" s="191"/>
      <c r="CA226" s="191"/>
      <c r="CB226" s="191"/>
      <c r="CC226" s="191"/>
      <c r="CD226" s="160"/>
      <c r="CE226" s="180"/>
    </row>
    <row r="227" spans="1:83" s="30" customFormat="1" ht="15" customHeight="1" outlineLevel="1" x14ac:dyDescent="0.3">
      <c r="A227" s="44"/>
      <c r="D227" s="169" t="s">
        <v>87</v>
      </c>
      <c r="E227" s="60"/>
      <c r="F227" s="60"/>
      <c r="G227" s="60"/>
      <c r="H227" s="60"/>
      <c r="I227" s="31"/>
      <c r="J227" s="31"/>
      <c r="K227" s="31"/>
      <c r="L227" s="31"/>
      <c r="M227" s="2"/>
      <c r="N227" s="191"/>
      <c r="O227" s="139"/>
      <c r="P227" s="191"/>
      <c r="Q227" s="191"/>
      <c r="R227" s="191"/>
      <c r="S227" s="191"/>
      <c r="T227" s="191"/>
      <c r="U227" s="139"/>
      <c r="V227" s="191"/>
      <c r="W227" s="191"/>
      <c r="X227" s="191"/>
      <c r="Y227" s="191"/>
      <c r="Z227" s="191"/>
      <c r="AA227" s="191"/>
      <c r="AB227" s="191"/>
      <c r="AC227" s="191"/>
      <c r="AD227" s="191"/>
      <c r="AE227" s="191"/>
      <c r="AF227" s="191"/>
      <c r="AG227" s="191"/>
      <c r="AH227" s="191"/>
      <c r="AI227" s="191"/>
      <c r="AJ227" s="191"/>
      <c r="AK227" s="191"/>
      <c r="AL227" s="191"/>
      <c r="AM227" s="191"/>
      <c r="AN227" s="191"/>
      <c r="AO227" s="191"/>
      <c r="AP227" s="191"/>
      <c r="AQ227" s="191"/>
      <c r="AR227" s="191"/>
      <c r="AS227" s="191"/>
      <c r="AT227" s="191"/>
      <c r="AU227" s="191"/>
      <c r="AV227" s="191"/>
      <c r="AW227" s="191"/>
      <c r="AX227" s="191"/>
      <c r="AY227" s="191"/>
      <c r="AZ227" s="191"/>
      <c r="BA227" s="191"/>
      <c r="BB227" s="191"/>
      <c r="BC227" s="191"/>
      <c r="BD227" s="191"/>
      <c r="BE227" s="191"/>
      <c r="BF227" s="191"/>
      <c r="BG227" s="191"/>
      <c r="BH227" s="191"/>
      <c r="BI227" s="191"/>
      <c r="BJ227" s="191"/>
      <c r="BK227" s="191"/>
      <c r="BL227" s="191"/>
      <c r="BM227" s="191"/>
      <c r="BN227" s="191"/>
      <c r="BO227" s="191"/>
      <c r="BP227" s="191"/>
      <c r="BQ227" s="191"/>
      <c r="BR227" s="191"/>
      <c r="BS227" s="191"/>
      <c r="BT227" s="191"/>
      <c r="BU227" s="191"/>
      <c r="BV227" s="191"/>
      <c r="BW227" s="191"/>
      <c r="BX227" s="191"/>
      <c r="BY227" s="191"/>
      <c r="BZ227" s="191"/>
      <c r="CA227" s="191"/>
      <c r="CB227" s="191"/>
      <c r="CC227" s="191"/>
      <c r="CD227" s="160"/>
      <c r="CE227" s="180"/>
    </row>
    <row r="228" spans="1:83" s="30" customFormat="1" ht="15" customHeight="1" outlineLevel="1" x14ac:dyDescent="0.3">
      <c r="A228" s="44"/>
      <c r="D228" s="132" t="s">
        <v>85</v>
      </c>
      <c r="E228" s="27"/>
      <c r="F228" s="27"/>
      <c r="G228" s="27"/>
      <c r="H228" s="27"/>
      <c r="I228" s="31" t="str">
        <f>Ввод!$M$12</f>
        <v>руб</v>
      </c>
      <c r="J228" s="31"/>
      <c r="K228" s="31"/>
      <c r="L228" s="31"/>
      <c r="M228" s="2"/>
      <c r="N228" s="191">
        <f>SUM(P228:T228)</f>
        <v>635000000</v>
      </c>
      <c r="O228" s="139"/>
      <c r="P228" s="191">
        <f t="shared" ref="P228:T228" si="292">SUMIF($V$4:$EK$4,P$4,$V228:$EK228)</f>
        <v>44600000</v>
      </c>
      <c r="Q228" s="191">
        <f t="shared" si="292"/>
        <v>104400000</v>
      </c>
      <c r="R228" s="191">
        <f t="shared" si="292"/>
        <v>133200000</v>
      </c>
      <c r="S228" s="191">
        <f t="shared" si="292"/>
        <v>162000000</v>
      </c>
      <c r="T228" s="191">
        <f t="shared" si="292"/>
        <v>190800000</v>
      </c>
      <c r="U228" s="139"/>
      <c r="V228" s="228">
        <f>Отчетность!T11</f>
        <v>0</v>
      </c>
      <c r="W228" s="228">
        <f t="shared" ref="W228:BB228" si="293">W24</f>
        <v>0</v>
      </c>
      <c r="X228" s="228">
        <f t="shared" si="293"/>
        <v>0</v>
      </c>
      <c r="Y228" s="228">
        <f t="shared" si="293"/>
        <v>0</v>
      </c>
      <c r="Z228" s="228">
        <f t="shared" si="293"/>
        <v>0</v>
      </c>
      <c r="AA228" s="228">
        <f t="shared" si="293"/>
        <v>5000000</v>
      </c>
      <c r="AB228" s="228">
        <f t="shared" si="293"/>
        <v>5500000</v>
      </c>
      <c r="AC228" s="228">
        <f t="shared" si="293"/>
        <v>6000000</v>
      </c>
      <c r="AD228" s="228">
        <f t="shared" si="293"/>
        <v>6500000</v>
      </c>
      <c r="AE228" s="228">
        <f t="shared" si="293"/>
        <v>7000000</v>
      </c>
      <c r="AF228" s="228">
        <f t="shared" si="293"/>
        <v>7200000</v>
      </c>
      <c r="AG228" s="228">
        <f t="shared" si="293"/>
        <v>7400000</v>
      </c>
      <c r="AH228" s="228">
        <f t="shared" si="293"/>
        <v>7600000</v>
      </c>
      <c r="AI228" s="228">
        <f t="shared" si="293"/>
        <v>7800000</v>
      </c>
      <c r="AJ228" s="228">
        <f t="shared" si="293"/>
        <v>8000000</v>
      </c>
      <c r="AK228" s="228">
        <f t="shared" si="293"/>
        <v>8200000</v>
      </c>
      <c r="AL228" s="228">
        <f t="shared" si="293"/>
        <v>8400000</v>
      </c>
      <c r="AM228" s="228">
        <f t="shared" si="293"/>
        <v>8600000</v>
      </c>
      <c r="AN228" s="228">
        <f t="shared" si="293"/>
        <v>8800000</v>
      </c>
      <c r="AO228" s="228">
        <f t="shared" si="293"/>
        <v>9000000</v>
      </c>
      <c r="AP228" s="228">
        <f t="shared" si="293"/>
        <v>9200000</v>
      </c>
      <c r="AQ228" s="228">
        <f t="shared" si="293"/>
        <v>9400000</v>
      </c>
      <c r="AR228" s="228">
        <f t="shared" si="293"/>
        <v>9600000</v>
      </c>
      <c r="AS228" s="228">
        <f t="shared" si="293"/>
        <v>9800000</v>
      </c>
      <c r="AT228" s="228">
        <f t="shared" si="293"/>
        <v>10000000</v>
      </c>
      <c r="AU228" s="228">
        <f t="shared" si="293"/>
        <v>10200000</v>
      </c>
      <c r="AV228" s="228">
        <f t="shared" si="293"/>
        <v>10400000</v>
      </c>
      <c r="AW228" s="228">
        <f t="shared" si="293"/>
        <v>10600000</v>
      </c>
      <c r="AX228" s="228">
        <f t="shared" si="293"/>
        <v>10800000</v>
      </c>
      <c r="AY228" s="228">
        <f t="shared" si="293"/>
        <v>11000000</v>
      </c>
      <c r="AZ228" s="228">
        <f t="shared" si="293"/>
        <v>11200000</v>
      </c>
      <c r="BA228" s="228">
        <f t="shared" si="293"/>
        <v>11400000</v>
      </c>
      <c r="BB228" s="228">
        <f t="shared" si="293"/>
        <v>11600000</v>
      </c>
      <c r="BC228" s="228">
        <f t="shared" ref="BC228:CC228" si="294">BC24</f>
        <v>11800000</v>
      </c>
      <c r="BD228" s="228">
        <f t="shared" si="294"/>
        <v>12000000</v>
      </c>
      <c r="BE228" s="228">
        <f t="shared" si="294"/>
        <v>12200000</v>
      </c>
      <c r="BF228" s="228">
        <f t="shared" si="294"/>
        <v>12400000</v>
      </c>
      <c r="BG228" s="228">
        <f t="shared" si="294"/>
        <v>12600000</v>
      </c>
      <c r="BH228" s="228">
        <f t="shared" si="294"/>
        <v>12800000</v>
      </c>
      <c r="BI228" s="228">
        <f t="shared" si="294"/>
        <v>13000000</v>
      </c>
      <c r="BJ228" s="228">
        <f t="shared" si="294"/>
        <v>13200000</v>
      </c>
      <c r="BK228" s="228">
        <f t="shared" si="294"/>
        <v>13400000</v>
      </c>
      <c r="BL228" s="228">
        <f t="shared" si="294"/>
        <v>13600000</v>
      </c>
      <c r="BM228" s="228">
        <f t="shared" si="294"/>
        <v>13800000</v>
      </c>
      <c r="BN228" s="228">
        <f t="shared" si="294"/>
        <v>14000000</v>
      </c>
      <c r="BO228" s="228">
        <f t="shared" si="294"/>
        <v>14200000</v>
      </c>
      <c r="BP228" s="228">
        <f t="shared" si="294"/>
        <v>14400000</v>
      </c>
      <c r="BQ228" s="228">
        <f t="shared" si="294"/>
        <v>14600000</v>
      </c>
      <c r="BR228" s="228">
        <f t="shared" si="294"/>
        <v>14800000</v>
      </c>
      <c r="BS228" s="228">
        <f t="shared" si="294"/>
        <v>15000000</v>
      </c>
      <c r="BT228" s="228">
        <f t="shared" si="294"/>
        <v>15200000</v>
      </c>
      <c r="BU228" s="228">
        <f t="shared" si="294"/>
        <v>15400000</v>
      </c>
      <c r="BV228" s="228">
        <f t="shared" si="294"/>
        <v>15600000</v>
      </c>
      <c r="BW228" s="228">
        <f t="shared" si="294"/>
        <v>15800000</v>
      </c>
      <c r="BX228" s="228">
        <f t="shared" si="294"/>
        <v>16000000</v>
      </c>
      <c r="BY228" s="228">
        <f t="shared" si="294"/>
        <v>16200000</v>
      </c>
      <c r="BZ228" s="228">
        <f t="shared" si="294"/>
        <v>16400000</v>
      </c>
      <c r="CA228" s="228">
        <f t="shared" si="294"/>
        <v>16600000</v>
      </c>
      <c r="CB228" s="228">
        <f t="shared" si="294"/>
        <v>16800000</v>
      </c>
      <c r="CC228" s="228">
        <f t="shared" si="294"/>
        <v>17000000</v>
      </c>
      <c r="CD228" s="173"/>
      <c r="CE228" s="180"/>
    </row>
    <row r="229" spans="1:83" s="30" customFormat="1" ht="15" customHeight="1" outlineLevel="1" x14ac:dyDescent="0.3">
      <c r="A229" s="44"/>
      <c r="D229" s="132" t="s">
        <v>88</v>
      </c>
      <c r="E229" s="27"/>
      <c r="F229" s="27"/>
      <c r="G229" s="27"/>
      <c r="H229" s="27"/>
      <c r="I229" s="31" t="str">
        <f>Ввод!$M$12</f>
        <v>руб</v>
      </c>
      <c r="J229" s="31"/>
      <c r="K229" s="31"/>
      <c r="L229" s="31"/>
      <c r="M229" s="2"/>
      <c r="N229" s="191">
        <f ca="1">SUM(P229:T229)</f>
        <v>-515723179.35088843</v>
      </c>
      <c r="O229" s="139"/>
      <c r="P229" s="191">
        <f t="shared" ref="P229:T229" ca="1" si="295">SUMIF($V$4:$EK$4,P$4,$V229:$EK229)</f>
        <v>-58065729.631704926</v>
      </c>
      <c r="Q229" s="191">
        <f t="shared" ca="1" si="295"/>
        <v>-97688801.86969921</v>
      </c>
      <c r="R229" s="191">
        <f t="shared" ca="1" si="295"/>
        <v>-109054670.9226342</v>
      </c>
      <c r="S229" s="191">
        <f t="shared" ca="1" si="295"/>
        <v>-120111504.23535249</v>
      </c>
      <c r="T229" s="191">
        <f t="shared" ca="1" si="295"/>
        <v>-130802472.69149761</v>
      </c>
      <c r="U229" s="139"/>
      <c r="V229" s="228">
        <f ca="1">Отчетность!T13+Отчетность!T22+Отчетность!T28+Отчетность!T34+Отчетность!T42+Отчетность!T44</f>
        <v>-1748377.125</v>
      </c>
      <c r="W229" s="228">
        <f ca="1">Отчетность!U13+Отчетность!U22+Отчетность!U28+Отчетность!U34+Отчетность!U42+Отчетность!U44</f>
        <v>-1739952.5987053649</v>
      </c>
      <c r="X229" s="228">
        <f ca="1">Отчетность!V13+Отчетность!V22+Отчетность!V28+Отчетность!V34+Отчетность!V42+Отчетность!V44</f>
        <v>-1731408.7249548892</v>
      </c>
      <c r="Y229" s="228">
        <f ca="1">Отчетность!W13+Отчетность!W22+Отчетность!W28+Отчетность!W34+Отчетность!W42+Отчетность!W44</f>
        <v>-1791049.82392191</v>
      </c>
      <c r="Z229" s="228">
        <f ca="1">Отчетность!X13+Отчетность!X22+Отчетность!X28+Отчетность!X34+Отчетность!X42+Отчетность!X44</f>
        <v>-3083027.1863629124</v>
      </c>
      <c r="AA229" s="228">
        <f ca="1">Отчетность!Y13+Отчетность!Y22+Отчетность!Y28+Отчетность!Y34+Отчетность!Y42+Отчетность!Y44</f>
        <v>-5579115.0295623578</v>
      </c>
      <c r="AB229" s="228">
        <f ca="1">Отчетность!Z13+Отчетность!Z22+Отчетность!Z28+Отчетность!Z34+Отчетность!Z42+Отчетность!Z44</f>
        <v>-5864882.62813609</v>
      </c>
      <c r="AC229" s="228">
        <f ca="1">Отчетность!AA13+Отчетность!AA22+Отчетность!AA28+Отчетность!AA34+Отчетность!AA42+Отчетность!AA44</f>
        <v>-6672981.1989282314</v>
      </c>
      <c r="AD229" s="228">
        <f ca="1">Отчетность!AB13+Отчетность!AB22+Отчетность!AB28+Отчетность!AB34+Отчетность!AB42+Отчетность!AB44</f>
        <v>-7240184.8842637911</v>
      </c>
      <c r="AE229" s="228">
        <f ca="1">Отчетность!AC13+Отчетность!AC22+Отчетность!AC28+Отчетность!AC34+Отчетность!AC42+Отчетность!AC44</f>
        <v>-7457256.8718082709</v>
      </c>
      <c r="AF229" s="228">
        <f ca="1">Отчетность!AD13+Отчетность!AD22+Отчетность!AD28+Отчетность!AD34+Отчетность!AD42+Отчетность!AD44</f>
        <v>-7538295.2958429642</v>
      </c>
      <c r="AG229" s="228">
        <f ca="1">Отчетность!AE13+Отчетность!AE22+Отчетность!AE28+Отчетность!AE34+Отчетность!AE42+Отчетность!AE44</f>
        <v>-7619198.2642181488</v>
      </c>
      <c r="AH229" s="228">
        <f ca="1">Отчетность!AF13+Отчетность!AF22+Отчетность!AF28+Отчетность!AF34+Отчетность!AF42+Отчетность!AF44</f>
        <v>-7699963.8579786485</v>
      </c>
      <c r="AI229" s="228">
        <f ca="1">Отчетность!AG13+Отчетность!AG22+Отчетность!AG28+Отчетность!AG34+Отчетность!AG42+Отчетность!AG44</f>
        <v>-7780590.1309840893</v>
      </c>
      <c r="AJ229" s="228">
        <f ca="1">Отчетность!AH13+Отчетность!AH22+Отчетность!AH28+Отчетность!AH34+Отчетность!AH42+Отчетность!AH44</f>
        <v>-7861075.1095237732</v>
      </c>
      <c r="AK229" s="228">
        <f ca="1">Отчетность!AI13+Отчетность!AI22+Отчетность!AI28+Отчетность!AI34+Отчетность!AI42+Отчетность!AI44</f>
        <v>-7941416.7919261027</v>
      </c>
      <c r="AL229" s="228">
        <f ca="1">Отчетность!AJ13+Отчетность!AJ22+Отчетность!AJ28+Отчетность!AJ34+Отчетность!AJ42+Отчетность!AJ44</f>
        <v>-8021613.1481624655</v>
      </c>
      <c r="AM229" s="228">
        <f ca="1">Отчетность!AK13+Отчетность!AK22+Отчетность!AK28+Отчетность!AK34+Отчетность!AK42+Отчетность!AK44</f>
        <v>-8101662.1194455093</v>
      </c>
      <c r="AN229" s="228">
        <f ca="1">Отчетность!AL13+Отчетность!AL22+Отчетность!AL28+Отчетность!AL34+Отчетность!AL42+Отчетность!AL44</f>
        <v>-8181561.6178217307</v>
      </c>
      <c r="AO229" s="228">
        <f ca="1">Отчетность!AM13+Отчетность!AM22+Отчетность!AM28+Отчетность!AM34+Отчетность!AM42+Отчетность!AM44</f>
        <v>-8261309.5257582814</v>
      </c>
      <c r="AP229" s="228">
        <f ca="1">Отчетность!AN13+Отчетность!AN22+Отчетность!AN28+Отчетность!AN34+Отчетность!AN42+Отчетность!AN44</f>
        <v>-8340903.6957239322</v>
      </c>
      <c r="AQ229" s="228">
        <f ca="1">Отчетность!AO13+Отчетность!AO22+Отчетность!AO28+Отчетность!AO34+Отчетность!AO42+Отчетность!AO44</f>
        <v>-8420341.9497640971</v>
      </c>
      <c r="AR229" s="228">
        <f ca="1">Отчетность!AP13+Отчетность!AP22+Отчетность!AP28+Отчетность!AP34+Отчетность!AP42+Отчетность!AP44</f>
        <v>-8499622.0790698323</v>
      </c>
      <c r="AS229" s="228">
        <f ca="1">Отчетность!AQ13+Отчетность!AQ22+Отчетность!AQ28+Отчетность!AQ34+Отчетность!AQ42+Отчетность!AQ44</f>
        <v>-8578741.84354073</v>
      </c>
      <c r="AT229" s="228">
        <f ca="1">Отчетность!AR13+Отчетность!AR22+Отчетность!AR28+Отчетность!AR34+Отчетность!AR42+Отчетность!AR44</f>
        <v>-8657698.9713416342</v>
      </c>
      <c r="AU229" s="228">
        <f ca="1">Отчетность!AS13+Отчетность!AS22+Отчетность!AS28+Отчетность!AS34+Отчетность!AS42+Отчетность!AS44</f>
        <v>-8736491.1584530491</v>
      </c>
      <c r="AV229" s="228">
        <f ca="1">Отчетность!AT13+Отчетность!AT22+Отчетность!AT28+Отчетность!AT34+Отчетность!AT42+Отчетность!AT44</f>
        <v>-8815116.06821521</v>
      </c>
      <c r="AW229" s="228">
        <f ca="1">Отчетность!AU13+Отчетность!AU22+Отчетность!AU28+Отчетность!AU34+Отчетность!AU42+Отчетность!AU44</f>
        <v>-8893571.3308656681</v>
      </c>
      <c r="AX229" s="228">
        <f ca="1">Отчетность!AV13+Отчетность!AV22+Отчетность!AV28+Отчетность!AV34+Отчетность!AV42+Отчетность!AV44</f>
        <v>-8971854.5430703424</v>
      </c>
      <c r="AY229" s="228">
        <f ca="1">Отчетность!AW13+Отчетность!AW22+Отчетность!AW28+Отчетность!AW34+Отчетность!AW42+Отчетность!AW44</f>
        <v>-9049963.2674479149</v>
      </c>
      <c r="AZ229" s="228">
        <f ca="1">Отчетность!AX13+Отчетность!AX22+Отчетность!AX28+Отчетность!AX34+Отчетность!AX42+Отчетность!AX44</f>
        <v>-9127895.032087503</v>
      </c>
      <c r="BA229" s="228">
        <f ca="1">Отчетность!AY13+Отчетность!AY22+Отчетность!AY28+Отчетность!AY34+Отчетность!AY42+Отчетность!AY44</f>
        <v>-9205647.3300594855</v>
      </c>
      <c r="BB229" s="228">
        <f ca="1">Отчетность!AZ13+Отчетность!AZ22+Отчетность!AZ28+Отчетность!AZ34+Отчетность!AZ42+Отчетность!AZ44</f>
        <v>-9283217.6189194042</v>
      </c>
      <c r="BC229" s="228">
        <f ca="1">Отчетность!BA13+Отчетность!BA22+Отчетность!BA28+Отчетность!BA34+Отчетность!BA42+Отчетность!BA44</f>
        <v>-9360603.3202048391</v>
      </c>
      <c r="BD229" s="228">
        <f ca="1">Отчетность!BB13+Отчетность!BB22+Отчетность!BB28+Отчетность!BB34+Отчетность!BB42+Отчетность!BB44</f>
        <v>-9437801.8189251497</v>
      </c>
      <c r="BE229" s="228">
        <f ca="1">Отчетность!BC13+Отчетность!BC22+Отчетность!BC28+Отчетность!BC34+Отчетность!BC42+Отчетность!BC44</f>
        <v>-9514810.4630439989</v>
      </c>
      <c r="BF229" s="228">
        <f ca="1">Отчетность!BD13+Отчетность!BD22+Отчетность!BD28+Отчетность!BD34+Отчетность!BD42+Отчетность!BD44</f>
        <v>-9591626.562954532</v>
      </c>
      <c r="BG229" s="228">
        <f ca="1">Отчетность!BE13+Отчетность!BE22+Отчетность!BE28+Отчетность!BE34+Отчетность!BE42+Отчетность!BE44</f>
        <v>-9668247.3909471296</v>
      </c>
      <c r="BH229" s="228">
        <f ca="1">Отчетность!BF13+Отчетность!BF22+Отчетность!BF28+Отчетность!BF34+Отчетность!BF42+Отчетность!BF44</f>
        <v>-9744670.1806696244</v>
      </c>
      <c r="BI229" s="228">
        <f ca="1">Отчетность!BG13+Отчетность!BG22+Отчетность!BG28+Отчетность!BG34+Отчетность!BG42+Отчетность!BG44</f>
        <v>-9820892.1265798528</v>
      </c>
      <c r="BJ229" s="228">
        <f ca="1">Отчетность!BH13+Отчетность!BH22+Отчетность!BH28+Отчетность!BH34+Отчетность!BH42+Отчетность!BH44</f>
        <v>-9896910.3833904769</v>
      </c>
      <c r="BK229" s="228">
        <f ca="1">Отчетность!BI13+Отчетность!BI22+Отчетность!BI28+Отчетность!BI34+Отчетность!BI42+Отчетность!BI44</f>
        <v>-9972722.0655059181</v>
      </c>
      <c r="BL229" s="228">
        <f ca="1">Отчетность!BJ13+Отчетность!BJ22+Отчетность!BJ28+Отчетность!BJ34+Отчетность!BJ42+Отчетность!BJ44</f>
        <v>-10048324.246451328</v>
      </c>
      <c r="BM229" s="228">
        <f ca="1">Отчетность!BK13+Отчетность!BK22+Отчетность!BK28+Отчетность!BK34+Отчетность!BK42+Отчетность!BK44</f>
        <v>-10123713.958293464</v>
      </c>
      <c r="BN229" s="228">
        <f ca="1">Отчетность!BL13+Отчетность!BL22+Отчетность!BL28+Отчетность!BL34+Отчетность!BL42+Отчетность!BL44</f>
        <v>-10198888.191053364</v>
      </c>
      <c r="BO229" s="228">
        <f ca="1">Отчетность!BM13+Отчетность!BM22+Отчетность!BM28+Отчетность!BM34+Отчетность!BM42+Отчетность!BM44</f>
        <v>-10273843.892110696</v>
      </c>
      <c r="BP229" s="228">
        <f ca="1">Отчетность!BN13+Отчетность!BN22+Отчетность!BN28+Отчетность!BN34+Отчетность!BN42+Отчетность!BN44</f>
        <v>-10348577.965599675</v>
      </c>
      <c r="BQ229" s="228">
        <f ca="1">Отчетность!BO13+Отчетность!BO22+Отчетность!BO28+Отчетность!BO34+Отчетность!BO42+Отчетность!BO44</f>
        <v>-10423087.271796413</v>
      </c>
      <c r="BR229" s="228">
        <f ca="1">Отчетность!BP13+Отчетность!BP22+Отчетность!BP28+Отчетность!BP34+Отчетность!BP42+Отчетность!BP44</f>
        <v>-10497368.626497604</v>
      </c>
      <c r="BS229" s="228">
        <f ca="1">Отчетность!BQ13+Отчетность!BQ22+Отчетность!BQ28+Отчетность!BQ34+Отчетность!BQ42+Отчетность!BQ44</f>
        <v>-10571418.800390396</v>
      </c>
      <c r="BT229" s="228">
        <f ca="1">Отчетность!BR13+Отчетность!BR22+Отчетность!BR28+Отчетность!BR34+Отчетность!BR42+Отчетность!BR44</f>
        <v>-10645234.518413337</v>
      </c>
      <c r="BU229" s="228">
        <f ca="1">Отчетность!BS13+Отчетность!BS22+Отчетность!BS28+Отчетность!BS34+Отчетность!BS42+Отчетность!BS44</f>
        <v>-10718812.459108269</v>
      </c>
      <c r="BV229" s="228">
        <f ca="1">Отчетность!BT13+Отчетность!BT22+Отчетность!BT28+Отчетность!BT34+Отчетность!BT42+Отчетность!BT44</f>
        <v>-10792149.253963044</v>
      </c>
      <c r="BW229" s="228">
        <f ca="1">Отчетность!BU13+Отчетность!BU22+Отчетность!BU28+Отчетность!BU34+Отчетность!BU42+Отчетность!BU44</f>
        <v>-10865241.486744931</v>
      </c>
      <c r="BX229" s="228">
        <f ca="1">Отчетность!BV13+Отчетность!BV22+Отчетность!BV28+Отчетность!BV34+Отчетность!BV42+Отчетность!BV44</f>
        <v>-10938085.692824559</v>
      </c>
      <c r="BY229" s="228">
        <f ca="1">Отчетность!BW13+Отчетность!BW22+Отчетность!BW28+Отчетность!BW34+Отчетность!BW42+Отчетность!BW44</f>
        <v>-11010678.358490316</v>
      </c>
      <c r="BZ229" s="228">
        <f ca="1">Отчетность!BX13+Отчетность!BX22+Отчетность!BX28+Отчетность!BX34+Отчетность!BX42+Отчетность!BX44</f>
        <v>-11083015.920253007</v>
      </c>
      <c r="CA229" s="228">
        <f ca="1">Отчетность!BY13+Отчетность!BY22+Отчетность!BY28+Отчетность!BY34+Отчетность!BY42+Отчетность!BY44</f>
        <v>-11155094.764140666</v>
      </c>
      <c r="CB229" s="228">
        <f ca="1">Отчетность!BZ13+Отчетность!BZ22+Отчетность!BZ28+Отчетность!BZ34+Отчетность!BZ42+Отчетность!BZ44</f>
        <v>-11226911.224983402</v>
      </c>
      <c r="CC229" s="228">
        <f ca="1">Отчетность!CA13+Отчетность!CA22+Отчетность!CA28+Отчетность!CA34+Отчетность!CA42+Отчетность!CA44</f>
        <v>-11298461.585688075</v>
      </c>
      <c r="CD229" s="160"/>
      <c r="CE229" s="180"/>
    </row>
    <row r="230" spans="1:83" s="30" customFormat="1" ht="15" customHeight="1" outlineLevel="1" x14ac:dyDescent="0.3">
      <c r="A230" s="44"/>
      <c r="D230" s="132" t="s">
        <v>81</v>
      </c>
      <c r="E230" s="27"/>
      <c r="F230" s="27"/>
      <c r="G230" s="27"/>
      <c r="H230" s="27"/>
      <c r="I230" s="31" t="str">
        <f>Ввод!$M$12</f>
        <v>руб</v>
      </c>
      <c r="J230" s="31"/>
      <c r="K230" s="31"/>
      <c r="L230" s="31"/>
      <c r="M230" s="2"/>
      <c r="N230" s="191"/>
      <c r="O230" s="139"/>
      <c r="P230" s="191"/>
      <c r="Q230" s="191"/>
      <c r="R230" s="191"/>
      <c r="S230" s="191"/>
      <c r="T230" s="191"/>
      <c r="U230" s="139"/>
      <c r="V230" s="191">
        <f ca="1">MAX(SUM($V$228:V228)-SUM($V$229:V229),0)</f>
        <v>1748377.125</v>
      </c>
      <c r="W230" s="191">
        <f ca="1">MAX(SUM($V$228:W228)-SUM($V$229:W229),0)</f>
        <v>3488329.7237053649</v>
      </c>
      <c r="X230" s="191">
        <f ca="1">MAX(SUM($V$228:X228)-SUM($V$229:X229),0)</f>
        <v>5219738.4486602545</v>
      </c>
      <c r="Y230" s="191">
        <f ca="1">MAX(SUM($V$228:Y228)-SUM($V$229:Y229),0)</f>
        <v>7010788.272582164</v>
      </c>
      <c r="Z230" s="191">
        <f ca="1">MAX(SUM($V$228:Z228)-SUM($V$229:Z229),0)</f>
        <v>10093815.458945077</v>
      </c>
      <c r="AA230" s="191">
        <f ca="1">MAX(SUM($V$228:AA228)-SUM($V$229:AA229),0)</f>
        <v>20672930.488507435</v>
      </c>
      <c r="AB230" s="191">
        <f ca="1">MAX(SUM($V$228:AB228)-SUM($V$229:AB229),0)</f>
        <v>32037813.116643526</v>
      </c>
      <c r="AC230" s="191">
        <f ca="1">MAX(SUM($V$228:AC228)-SUM($V$229:AC229),0)</f>
        <v>44710794.315571755</v>
      </c>
      <c r="AD230" s="191">
        <f ca="1">MAX(SUM($V$228:AD228)-SUM($V$229:AD229),0)</f>
        <v>58450979.199835546</v>
      </c>
      <c r="AE230" s="191">
        <f ca="1">MAX(SUM($V$228:AE228)-SUM($V$229:AE229),0)</f>
        <v>72908236.071643814</v>
      </c>
      <c r="AF230" s="191">
        <f ca="1">MAX(SUM($V$228:AF228)-SUM($V$229:AF229),0)</f>
        <v>87646531.367486775</v>
      </c>
      <c r="AG230" s="191">
        <f ca="1">MAX(SUM($V$228:AG228)-SUM($V$229:AG229),0)</f>
        <v>102665729.63170493</v>
      </c>
      <c r="AH230" s="191">
        <f ca="1">MAX(SUM($V$228:AH228)-SUM($V$229:AH229),0)</f>
        <v>117965693.48968357</v>
      </c>
      <c r="AI230" s="191">
        <f ca="1">MAX(SUM($V$228:AI228)-SUM($V$229:AI229),0)</f>
        <v>133546283.62066767</v>
      </c>
      <c r="AJ230" s="191">
        <f ca="1">MAX(SUM($V$228:AJ228)-SUM($V$229:AJ229),0)</f>
        <v>149407358.73019144</v>
      </c>
      <c r="AK230" s="191">
        <f ca="1">MAX(SUM($V$228:AK228)-SUM($V$229:AK229),0)</f>
        <v>165548775.52211756</v>
      </c>
      <c r="AL230" s="191">
        <f ca="1">MAX(SUM($V$228:AL228)-SUM($V$229:AL229),0)</f>
        <v>181970388.67028001</v>
      </c>
      <c r="AM230" s="191">
        <f ca="1">MAX(SUM($V$228:AM228)-SUM($V$229:AM229),0)</f>
        <v>198672050.78972551</v>
      </c>
      <c r="AN230" s="191">
        <f ca="1">MAX(SUM($V$228:AN228)-SUM($V$229:AN229),0)</f>
        <v>215653612.40754724</v>
      </c>
      <c r="AO230" s="191">
        <f ca="1">MAX(SUM($V$228:AO228)-SUM($V$229:AO229),0)</f>
        <v>232914921.9333055</v>
      </c>
      <c r="AP230" s="191">
        <f ca="1">MAX(SUM($V$228:AP228)-SUM($V$229:AP229),0)</f>
        <v>250455825.62902945</v>
      </c>
      <c r="AQ230" s="191">
        <f ca="1">MAX(SUM($V$228:AQ228)-SUM($V$229:AQ229),0)</f>
        <v>268276167.57879356</v>
      </c>
      <c r="AR230" s="191">
        <f ca="1">MAX(SUM($V$228:AR228)-SUM($V$229:AR229),0)</f>
        <v>286375789.65786338</v>
      </c>
      <c r="AS230" s="191">
        <f ca="1">MAX(SUM($V$228:AS228)-SUM($V$229:AS229),0)</f>
        <v>304754531.50140411</v>
      </c>
      <c r="AT230" s="191">
        <f ca="1">MAX(SUM($V$228:AT228)-SUM($V$229:AT229),0)</f>
        <v>323412230.47274578</v>
      </c>
      <c r="AU230" s="191">
        <f ca="1">MAX(SUM($V$228:AU228)-SUM($V$229:AU229),0)</f>
        <v>342348721.63119876</v>
      </c>
      <c r="AV230" s="191">
        <f ca="1">MAX(SUM($V$228:AV228)-SUM($V$229:AV229),0)</f>
        <v>361563837.69941401</v>
      </c>
      <c r="AW230" s="191">
        <f ca="1">MAX(SUM($V$228:AW228)-SUM($V$229:AW229),0)</f>
        <v>381057409.0302797</v>
      </c>
      <c r="AX230" s="191">
        <f ca="1">MAX(SUM($V$228:AX228)-SUM($V$229:AX229),0)</f>
        <v>400829263.57335007</v>
      </c>
      <c r="AY230" s="191">
        <f ca="1">MAX(SUM($V$228:AY228)-SUM($V$229:AY229),0)</f>
        <v>420879226.84079796</v>
      </c>
      <c r="AZ230" s="191">
        <f ca="1">MAX(SUM($V$228:AZ228)-SUM($V$229:AZ229),0)</f>
        <v>441207121.87288547</v>
      </c>
      <c r="BA230" s="191">
        <f ca="1">MAX(SUM($V$228:BA228)-SUM($V$229:BA229),0)</f>
        <v>461812769.20294499</v>
      </c>
      <c r="BB230" s="191">
        <f ca="1">MAX(SUM($V$228:BB228)-SUM($V$229:BB229),0)</f>
        <v>482695986.82186437</v>
      </c>
      <c r="BC230" s="191">
        <f ca="1">MAX(SUM($V$228:BC228)-SUM($V$229:BC229),0)</f>
        <v>503856590.14206922</v>
      </c>
      <c r="BD230" s="191">
        <f ca="1">MAX(SUM($V$228:BD228)-SUM($V$229:BD229),0)</f>
        <v>525294391.96099436</v>
      </c>
      <c r="BE230" s="191">
        <f ca="1">MAX(SUM($V$228:BE228)-SUM($V$229:BE229),0)</f>
        <v>547009202.42403841</v>
      </c>
      <c r="BF230" s="191">
        <f ca="1">MAX(SUM($V$228:BF228)-SUM($V$229:BF229),0)</f>
        <v>569000828.98699284</v>
      </c>
      <c r="BG230" s="191">
        <f ca="1">MAX(SUM($V$228:BG228)-SUM($V$229:BG229),0)</f>
        <v>591269076.37793994</v>
      </c>
      <c r="BH230" s="191">
        <f ca="1">MAX(SUM($V$228:BH228)-SUM($V$229:BH229),0)</f>
        <v>613813746.5586096</v>
      </c>
      <c r="BI230" s="191">
        <f ca="1">MAX(SUM($V$228:BI228)-SUM($V$229:BI229),0)</f>
        <v>636634638.68518949</v>
      </c>
      <c r="BJ230" s="191">
        <f ca="1">MAX(SUM($V$228:BJ228)-SUM($V$229:BJ229),0)</f>
        <v>659731549.06857991</v>
      </c>
      <c r="BK230" s="191">
        <f ca="1">MAX(SUM($V$228:BK228)-SUM($V$229:BK229),0)</f>
        <v>683104271.13408589</v>
      </c>
      <c r="BL230" s="191">
        <f ca="1">MAX(SUM($V$228:BL228)-SUM($V$229:BL229),0)</f>
        <v>706752595.38053727</v>
      </c>
      <c r="BM230" s="191">
        <f ca="1">MAX(SUM($V$228:BM228)-SUM($V$229:BM229),0)</f>
        <v>730676309.33883071</v>
      </c>
      <c r="BN230" s="191">
        <f ca="1">MAX(SUM($V$228:BN228)-SUM($V$229:BN229),0)</f>
        <v>754875197.5298841</v>
      </c>
      <c r="BO230" s="191">
        <f ca="1">MAX(SUM($V$228:BO228)-SUM($V$229:BO229),0)</f>
        <v>779349041.42199469</v>
      </c>
      <c r="BP230" s="191">
        <f ca="1">MAX(SUM($V$228:BP228)-SUM($V$229:BP229),0)</f>
        <v>804097619.38759446</v>
      </c>
      <c r="BQ230" s="191">
        <f ca="1">MAX(SUM($V$228:BQ228)-SUM($V$229:BQ229),0)</f>
        <v>829120706.65939081</v>
      </c>
      <c r="BR230" s="191">
        <f ca="1">MAX(SUM($V$228:BR228)-SUM($V$229:BR229),0)</f>
        <v>854418075.28588843</v>
      </c>
      <c r="BS230" s="191">
        <f ca="1">MAX(SUM($V$228:BS228)-SUM($V$229:BS229),0)</f>
        <v>879989494.08627892</v>
      </c>
      <c r="BT230" s="191">
        <f ca="1">MAX(SUM($V$228:BT228)-SUM($V$229:BT229),0)</f>
        <v>905834728.60469222</v>
      </c>
      <c r="BU230" s="191">
        <f ca="1">MAX(SUM($V$228:BU228)-SUM($V$229:BU229),0)</f>
        <v>931953541.06380057</v>
      </c>
      <c r="BV230" s="191">
        <f ca="1">MAX(SUM($V$228:BV228)-SUM($V$229:BV229),0)</f>
        <v>958345690.31776357</v>
      </c>
      <c r="BW230" s="191">
        <f ca="1">MAX(SUM($V$228:BW228)-SUM($V$229:BW229),0)</f>
        <v>985010931.80450845</v>
      </c>
      <c r="BX230" s="191">
        <f ca="1">MAX(SUM($V$228:BX228)-SUM($V$229:BX229),0)</f>
        <v>1011949017.497333</v>
      </c>
      <c r="BY230" s="191">
        <f ca="1">MAX(SUM($V$228:BY228)-SUM($V$229:BY229),0)</f>
        <v>1039159695.8558233</v>
      </c>
      <c r="BZ230" s="191">
        <f ca="1">MAX(SUM($V$228:BZ228)-SUM($V$229:BZ229),0)</f>
        <v>1066642711.7760763</v>
      </c>
      <c r="CA230" s="191">
        <f ca="1">MAX(SUM($V$228:CA228)-SUM($V$229:CA229),0)</f>
        <v>1094397806.5402169</v>
      </c>
      <c r="CB230" s="191">
        <f ca="1">MAX(SUM($V$228:CB228)-SUM($V$229:CB229),0)</f>
        <v>1122424717.7652004</v>
      </c>
      <c r="CC230" s="191">
        <f ca="1">MAX(SUM($V$228:CC228)-SUM($V$229:CC229),0)</f>
        <v>1150723179.3508885</v>
      </c>
      <c r="CD230" s="160"/>
      <c r="CE230" s="180"/>
    </row>
    <row r="231" spans="1:83" s="73" customFormat="1" ht="15" customHeight="1" outlineLevel="1" x14ac:dyDescent="0.3">
      <c r="A231" s="87"/>
      <c r="D231" s="169" t="s">
        <v>86</v>
      </c>
      <c r="E231" s="60"/>
      <c r="F231" s="60"/>
      <c r="G231" s="60"/>
      <c r="H231" s="60"/>
      <c r="I231" s="6" t="str">
        <f>Ввод!$M$12</f>
        <v>руб</v>
      </c>
      <c r="J231" s="6"/>
      <c r="K231" s="6"/>
      <c r="L231" s="6"/>
      <c r="M231" s="49"/>
      <c r="N231" s="225">
        <f ca="1">SUM(P231:T231)</f>
        <v>172608476.90263328</v>
      </c>
      <c r="O231" s="227"/>
      <c r="P231" s="225">
        <f ca="1">SUMIF($V$4:$EK$4,P$4,$V231:$EK231)</f>
        <v>15399859.444755739</v>
      </c>
      <c r="Q231" s="225">
        <f ca="1">SUMIF($V$4:$EK$4,Q$4,$V231:$EK231)</f>
        <v>30313320.280454874</v>
      </c>
      <c r="R231" s="225">
        <f ca="1">SUMIF($V$4:$EK$4,R$4,$V231:$EK231)</f>
        <v>36338200.638395146</v>
      </c>
      <c r="S231" s="225">
        <f ca="1">SUMIF($V$4:$EK$4,S$4,$V231:$EK231)</f>
        <v>42316725.635302871</v>
      </c>
      <c r="T231" s="225">
        <f ca="1">SUMIF($V$4:$EK$4,T$4,$V231:$EK231)</f>
        <v>48240370.903724641</v>
      </c>
      <c r="U231" s="227"/>
      <c r="V231" s="225">
        <f ca="1">MAX((V230+U230)*$M$220,0)</f>
        <v>262256.56874999998</v>
      </c>
      <c r="W231" s="225">
        <f t="shared" ref="W231:CC231" ca="1" si="296">MAX((W230-V230)*$M$220,0)</f>
        <v>260992.88980580471</v>
      </c>
      <c r="X231" s="225">
        <f t="shared" ca="1" si="296"/>
        <v>259711.30874323344</v>
      </c>
      <c r="Y231" s="225">
        <f t="shared" ca="1" si="296"/>
        <v>268657.47358828643</v>
      </c>
      <c r="Z231" s="225">
        <f t="shared" ca="1" si="296"/>
        <v>462454.07795443694</v>
      </c>
      <c r="AA231" s="225">
        <f t="shared" ca="1" si="296"/>
        <v>1586867.2544343537</v>
      </c>
      <c r="AB231" s="225">
        <f t="shared" ca="1" si="296"/>
        <v>1704732.3942204136</v>
      </c>
      <c r="AC231" s="225">
        <f t="shared" ca="1" si="296"/>
        <v>1900947.1798392343</v>
      </c>
      <c r="AD231" s="225">
        <f t="shared" ca="1" si="296"/>
        <v>2061027.7326395686</v>
      </c>
      <c r="AE231" s="225">
        <f t="shared" ca="1" si="296"/>
        <v>2168588.5307712401</v>
      </c>
      <c r="AF231" s="225">
        <f t="shared" ca="1" si="296"/>
        <v>2210744.2943764441</v>
      </c>
      <c r="AG231" s="225">
        <f t="shared" ca="1" si="296"/>
        <v>2252879.7396327225</v>
      </c>
      <c r="AH231" s="225">
        <f t="shared" ca="1" si="296"/>
        <v>2294994.5786967962</v>
      </c>
      <c r="AI231" s="225">
        <f t="shared" ca="1" si="296"/>
        <v>2337088.5196476146</v>
      </c>
      <c r="AJ231" s="225">
        <f t="shared" ca="1" si="296"/>
        <v>2379161.2664285661</v>
      </c>
      <c r="AK231" s="225">
        <f t="shared" ca="1" si="296"/>
        <v>2421212.5187889175</v>
      </c>
      <c r="AL231" s="225">
        <f t="shared" ca="1" si="296"/>
        <v>2463241.9722243682</v>
      </c>
      <c r="AM231" s="225">
        <f t="shared" ca="1" si="296"/>
        <v>2505249.3179168254</v>
      </c>
      <c r="AN231" s="225">
        <f t="shared" ca="1" si="296"/>
        <v>2547234.2426732583</v>
      </c>
      <c r="AO231" s="225">
        <f t="shared" ca="1" si="296"/>
        <v>2589196.4288637401</v>
      </c>
      <c r="AP231" s="225">
        <f t="shared" ca="1" si="296"/>
        <v>2631135.5543585927</v>
      </c>
      <c r="AQ231" s="225">
        <f t="shared" ca="1" si="296"/>
        <v>2673051.2924646153</v>
      </c>
      <c r="AR231" s="225">
        <f t="shared" ca="1" si="296"/>
        <v>2714943.3118604734</v>
      </c>
      <c r="AS231" s="225">
        <f t="shared" ca="1" si="296"/>
        <v>2756811.2765311091</v>
      </c>
      <c r="AT231" s="225">
        <f t="shared" ca="1" si="296"/>
        <v>2798654.8457012502</v>
      </c>
      <c r="AU231" s="225">
        <f t="shared" ca="1" si="296"/>
        <v>2840473.6737679481</v>
      </c>
      <c r="AV231" s="225">
        <f t="shared" ca="1" si="296"/>
        <v>2882267.4102322874</v>
      </c>
      <c r="AW231" s="225">
        <f t="shared" ca="1" si="296"/>
        <v>2924035.6996298521</v>
      </c>
      <c r="AX231" s="225">
        <f t="shared" ca="1" si="296"/>
        <v>2965778.1814605561</v>
      </c>
      <c r="AY231" s="225">
        <f t="shared" ca="1" si="296"/>
        <v>3007494.4901171834</v>
      </c>
      <c r="AZ231" s="225">
        <f t="shared" ca="1" si="296"/>
        <v>3049184.2548131258</v>
      </c>
      <c r="BA231" s="225">
        <f t="shared" ca="1" si="296"/>
        <v>3090847.0995089291</v>
      </c>
      <c r="BB231" s="225">
        <f t="shared" ca="1" si="296"/>
        <v>3132482.6428379058</v>
      </c>
      <c r="BC231" s="225">
        <f t="shared" ca="1" si="296"/>
        <v>3174090.4980307282</v>
      </c>
      <c r="BD231" s="225">
        <f t="shared" ca="1" si="296"/>
        <v>3215670.2728387713</v>
      </c>
      <c r="BE231" s="225">
        <f t="shared" ca="1" si="296"/>
        <v>3257221.5694566071</v>
      </c>
      <c r="BF231" s="225">
        <f t="shared" ca="1" si="296"/>
        <v>3298743.984443164</v>
      </c>
      <c r="BG231" s="225">
        <f t="shared" ca="1" si="296"/>
        <v>3340237.1086420654</v>
      </c>
      <c r="BH231" s="225">
        <f t="shared" ca="1" si="296"/>
        <v>3381700.5271004499</v>
      </c>
      <c r="BI231" s="225">
        <f t="shared" ca="1" si="296"/>
        <v>3423133.8189869821</v>
      </c>
      <c r="BJ231" s="225">
        <f t="shared" ca="1" si="296"/>
        <v>3464536.5575085641</v>
      </c>
      <c r="BK231" s="225">
        <f t="shared" ca="1" si="296"/>
        <v>3505908.3098258972</v>
      </c>
      <c r="BL231" s="225">
        <f t="shared" ca="1" si="296"/>
        <v>3547248.6369677065</v>
      </c>
      <c r="BM231" s="225">
        <f t="shared" ca="1" si="296"/>
        <v>3588557.0937440158</v>
      </c>
      <c r="BN231" s="225">
        <f t="shared" ca="1" si="296"/>
        <v>3629833.2286580084</v>
      </c>
      <c r="BO231" s="225">
        <f t="shared" ca="1" si="296"/>
        <v>3671076.5838165879</v>
      </c>
      <c r="BP231" s="225">
        <f t="shared" ca="1" si="296"/>
        <v>3712286.694839966</v>
      </c>
      <c r="BQ231" s="225">
        <f t="shared" ca="1" si="296"/>
        <v>3753463.0907694516</v>
      </c>
      <c r="BR231" s="225">
        <f t="shared" ca="1" si="296"/>
        <v>3794605.2939746436</v>
      </c>
      <c r="BS231" s="225">
        <f t="shared" ca="1" si="296"/>
        <v>3835712.8200585721</v>
      </c>
      <c r="BT231" s="225">
        <f t="shared" ca="1" si="296"/>
        <v>3876785.1777619957</v>
      </c>
      <c r="BU231" s="225">
        <f t="shared" ca="1" si="296"/>
        <v>3917821.8688662527</v>
      </c>
      <c r="BV231" s="225">
        <f t="shared" ca="1" si="296"/>
        <v>3958822.388094449</v>
      </c>
      <c r="BW231" s="225">
        <f t="shared" ca="1" si="296"/>
        <v>3999786.2230117321</v>
      </c>
      <c r="BX231" s="225">
        <f t="shared" ca="1" si="296"/>
        <v>4040712.85392369</v>
      </c>
      <c r="BY231" s="225">
        <f t="shared" ca="1" si="296"/>
        <v>4081601.7537735342</v>
      </c>
      <c r="BZ231" s="225">
        <f t="shared" ca="1" si="296"/>
        <v>4122452.3880379554</v>
      </c>
      <c r="CA231" s="225">
        <f t="shared" ca="1" si="296"/>
        <v>4163264.2146210908</v>
      </c>
      <c r="CB231" s="225">
        <f t="shared" ca="1" si="296"/>
        <v>4204036.6837475179</v>
      </c>
      <c r="CC231" s="225">
        <f t="shared" ca="1" si="296"/>
        <v>4244769.2378532169</v>
      </c>
      <c r="CD231" s="181"/>
      <c r="CE231" s="182"/>
    </row>
    <row r="232" spans="1:83" s="30" customFormat="1" ht="15" customHeight="1" outlineLevel="1" x14ac:dyDescent="0.3">
      <c r="A232" s="44"/>
      <c r="D232" s="132"/>
      <c r="E232" s="27"/>
      <c r="F232" s="27"/>
      <c r="G232" s="27"/>
      <c r="H232" s="27"/>
      <c r="I232" s="31"/>
      <c r="J232" s="31"/>
      <c r="K232" s="31"/>
      <c r="L232" s="31"/>
      <c r="M232" s="2"/>
      <c r="N232" s="128"/>
      <c r="O232" s="158"/>
      <c r="P232" s="128"/>
      <c r="Q232" s="128"/>
      <c r="R232" s="128"/>
      <c r="S232" s="128"/>
      <c r="T232" s="128"/>
      <c r="U232" s="15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60"/>
      <c r="CE232" s="180"/>
    </row>
    <row r="233" spans="1:83" s="45" customFormat="1" ht="15" customHeight="1" outlineLevel="1" x14ac:dyDescent="0.3">
      <c r="A233" s="111"/>
      <c r="B233" s="30"/>
      <c r="C233" s="110"/>
      <c r="D233" s="134" t="s">
        <v>89</v>
      </c>
      <c r="E233" s="28"/>
      <c r="F233" s="28"/>
      <c r="G233" s="28"/>
      <c r="H233" s="28"/>
      <c r="I233" s="6"/>
      <c r="J233" s="6"/>
      <c r="K233" s="6"/>
      <c r="L233" s="6"/>
      <c r="M233" s="49"/>
      <c r="N233" s="159"/>
      <c r="O233" s="158"/>
      <c r="P233" s="159"/>
      <c r="Q233" s="159"/>
      <c r="R233" s="159"/>
      <c r="S233" s="159"/>
      <c r="T233" s="159"/>
      <c r="U233" s="15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71"/>
      <c r="CE233" s="183"/>
    </row>
    <row r="234" spans="1:83" s="30" customFormat="1" ht="15" customHeight="1" outlineLevel="1" x14ac:dyDescent="0.3">
      <c r="A234" s="44"/>
      <c r="D234" s="132" t="s">
        <v>85</v>
      </c>
      <c r="E234" s="27"/>
      <c r="F234" s="27"/>
      <c r="G234" s="27"/>
      <c r="H234" s="27"/>
      <c r="I234" s="31" t="str">
        <f>Ввод!$M$12</f>
        <v>руб</v>
      </c>
      <c r="J234" s="31"/>
      <c r="K234" s="31"/>
      <c r="L234" s="31"/>
      <c r="M234" s="2"/>
      <c r="N234" s="191">
        <f>SUM(P234:T234)</f>
        <v>635000000</v>
      </c>
      <c r="O234" s="139"/>
      <c r="P234" s="191">
        <f t="shared" ref="P234:T235" si="297">SUMIF($V$4:$EK$4,P$4,$V234:$EK234)</f>
        <v>44600000</v>
      </c>
      <c r="Q234" s="191">
        <f t="shared" si="297"/>
        <v>104400000</v>
      </c>
      <c r="R234" s="191">
        <f t="shared" si="297"/>
        <v>133200000</v>
      </c>
      <c r="S234" s="191">
        <f t="shared" si="297"/>
        <v>162000000</v>
      </c>
      <c r="T234" s="191">
        <f t="shared" si="297"/>
        <v>190800000</v>
      </c>
      <c r="U234" s="139"/>
      <c r="V234" s="228">
        <f>Отчетность!T11</f>
        <v>0</v>
      </c>
      <c r="W234" s="228">
        <f>Отчетность!U11</f>
        <v>0</v>
      </c>
      <c r="X234" s="228">
        <f>Отчетность!V11</f>
        <v>0</v>
      </c>
      <c r="Y234" s="228">
        <f>Отчетность!W11</f>
        <v>0</v>
      </c>
      <c r="Z234" s="228">
        <f>Отчетность!X11</f>
        <v>0</v>
      </c>
      <c r="AA234" s="228">
        <f>Отчетность!Y11</f>
        <v>5000000</v>
      </c>
      <c r="AB234" s="228">
        <f>Отчетность!Z11</f>
        <v>5500000</v>
      </c>
      <c r="AC234" s="228">
        <f>Отчетность!AA11</f>
        <v>6000000</v>
      </c>
      <c r="AD234" s="228">
        <f>Отчетность!AB11</f>
        <v>6500000</v>
      </c>
      <c r="AE234" s="228">
        <f>Отчетность!AC11</f>
        <v>7000000</v>
      </c>
      <c r="AF234" s="228">
        <f>Отчетность!AD11</f>
        <v>7200000</v>
      </c>
      <c r="AG234" s="228">
        <f>Отчетность!AE11</f>
        <v>7400000</v>
      </c>
      <c r="AH234" s="228">
        <f>Отчетность!AF11</f>
        <v>7600000</v>
      </c>
      <c r="AI234" s="228">
        <f>Отчетность!AG11</f>
        <v>7800000</v>
      </c>
      <c r="AJ234" s="228">
        <f>Отчетность!AH11</f>
        <v>8000000</v>
      </c>
      <c r="AK234" s="228">
        <f>Отчетность!AI11</f>
        <v>8200000</v>
      </c>
      <c r="AL234" s="228">
        <f>Отчетность!AJ11</f>
        <v>8400000</v>
      </c>
      <c r="AM234" s="228">
        <f>Отчетность!AK11</f>
        <v>8600000</v>
      </c>
      <c r="AN234" s="228">
        <f>Отчетность!AL11</f>
        <v>8800000</v>
      </c>
      <c r="AO234" s="228">
        <f>Отчетность!AM11</f>
        <v>9000000</v>
      </c>
      <c r="AP234" s="228">
        <f>Отчетность!AN11</f>
        <v>9200000</v>
      </c>
      <c r="AQ234" s="228">
        <f>Отчетность!AO11</f>
        <v>9400000</v>
      </c>
      <c r="AR234" s="228">
        <f>Отчетность!AP11</f>
        <v>9600000</v>
      </c>
      <c r="AS234" s="228">
        <f>Отчетность!AQ11</f>
        <v>9800000</v>
      </c>
      <c r="AT234" s="228">
        <f>Отчетность!AR11</f>
        <v>10000000</v>
      </c>
      <c r="AU234" s="228">
        <f>Отчетность!AS11</f>
        <v>10200000</v>
      </c>
      <c r="AV234" s="228">
        <f>Отчетность!AT11</f>
        <v>10400000</v>
      </c>
      <c r="AW234" s="228">
        <f>Отчетность!AU11</f>
        <v>10600000</v>
      </c>
      <c r="AX234" s="228">
        <f>Отчетность!AV11</f>
        <v>10800000</v>
      </c>
      <c r="AY234" s="228">
        <f>Отчетность!AW11</f>
        <v>11000000</v>
      </c>
      <c r="AZ234" s="228">
        <f>Отчетность!AX11</f>
        <v>11200000</v>
      </c>
      <c r="BA234" s="228">
        <f>Отчетность!AY11</f>
        <v>11400000</v>
      </c>
      <c r="BB234" s="228">
        <f>Отчетность!AZ11</f>
        <v>11600000</v>
      </c>
      <c r="BC234" s="228">
        <f>Отчетность!BA11</f>
        <v>11800000</v>
      </c>
      <c r="BD234" s="228">
        <f>Отчетность!BB11</f>
        <v>12000000</v>
      </c>
      <c r="BE234" s="228">
        <f>Отчетность!BC11</f>
        <v>12200000</v>
      </c>
      <c r="BF234" s="228">
        <f>Отчетность!BD11</f>
        <v>12400000</v>
      </c>
      <c r="BG234" s="228">
        <f>Отчетность!BE11</f>
        <v>12600000</v>
      </c>
      <c r="BH234" s="228">
        <f>Отчетность!BF11</f>
        <v>12800000</v>
      </c>
      <c r="BI234" s="228">
        <f>Отчетность!BG11</f>
        <v>13000000</v>
      </c>
      <c r="BJ234" s="228">
        <f>Отчетность!BH11</f>
        <v>13200000</v>
      </c>
      <c r="BK234" s="228">
        <f>Отчетность!BI11</f>
        <v>13400000</v>
      </c>
      <c r="BL234" s="228">
        <f>Отчетность!BJ11</f>
        <v>13600000</v>
      </c>
      <c r="BM234" s="228">
        <f>Отчетность!BK11</f>
        <v>13800000</v>
      </c>
      <c r="BN234" s="228">
        <f>Отчетность!BL11</f>
        <v>14000000</v>
      </c>
      <c r="BO234" s="228">
        <f>Отчетность!BM11</f>
        <v>14200000</v>
      </c>
      <c r="BP234" s="228">
        <f>Отчетность!BN11</f>
        <v>14400000</v>
      </c>
      <c r="BQ234" s="228">
        <f>Отчетность!BO11</f>
        <v>14600000</v>
      </c>
      <c r="BR234" s="228">
        <f>Отчетность!BP11</f>
        <v>14800000</v>
      </c>
      <c r="BS234" s="228">
        <f>Отчетность!BQ11</f>
        <v>15000000</v>
      </c>
      <c r="BT234" s="228">
        <f>Отчетность!BR11</f>
        <v>15200000</v>
      </c>
      <c r="BU234" s="228">
        <f>Отчетность!BS11</f>
        <v>15400000</v>
      </c>
      <c r="BV234" s="228">
        <f>Отчетность!BT11</f>
        <v>15600000</v>
      </c>
      <c r="BW234" s="228">
        <f>Отчетность!BU11</f>
        <v>15800000</v>
      </c>
      <c r="BX234" s="228">
        <f>Отчетность!BV11</f>
        <v>16000000</v>
      </c>
      <c r="BY234" s="228">
        <f>Отчетность!BW11</f>
        <v>16200000</v>
      </c>
      <c r="BZ234" s="228">
        <f>Отчетность!BX11</f>
        <v>16400000</v>
      </c>
      <c r="CA234" s="228">
        <f>Отчетность!BY11</f>
        <v>16600000</v>
      </c>
      <c r="CB234" s="228">
        <f>Отчетность!BZ11</f>
        <v>16800000</v>
      </c>
      <c r="CC234" s="228">
        <f>Отчетность!CA11</f>
        <v>17000000</v>
      </c>
      <c r="CD234" s="160"/>
      <c r="CE234" s="180"/>
    </row>
    <row r="235" spans="1:83" s="30" customFormat="1" ht="15" customHeight="1" outlineLevel="1" x14ac:dyDescent="0.3">
      <c r="A235" s="44"/>
      <c r="D235" s="132" t="s">
        <v>88</v>
      </c>
      <c r="E235" s="27"/>
      <c r="F235" s="27"/>
      <c r="G235" s="27"/>
      <c r="H235" s="27"/>
      <c r="I235" s="31" t="str">
        <f>Ввод!$M$12</f>
        <v>руб</v>
      </c>
      <c r="J235" s="31"/>
      <c r="K235" s="31"/>
      <c r="L235" s="31"/>
      <c r="M235" s="2"/>
      <c r="N235" s="191">
        <f ca="1">SUM(P235:T235)</f>
        <v>-515723179.35088843</v>
      </c>
      <c r="O235" s="139"/>
      <c r="P235" s="191">
        <f t="shared" ca="1" si="297"/>
        <v>-58065729.631704926</v>
      </c>
      <c r="Q235" s="191">
        <f t="shared" ca="1" si="297"/>
        <v>-97688801.86969921</v>
      </c>
      <c r="R235" s="191">
        <f t="shared" ca="1" si="297"/>
        <v>-109054670.9226342</v>
      </c>
      <c r="S235" s="191">
        <f t="shared" ca="1" si="297"/>
        <v>-120111504.23535249</v>
      </c>
      <c r="T235" s="191">
        <f t="shared" ca="1" si="297"/>
        <v>-130802472.69149761</v>
      </c>
      <c r="U235" s="139"/>
      <c r="V235" s="228">
        <f ca="1">Отчетность!T13+Отчетность!T22+Отчетность!T28+Отчетность!T34+Отчетность!T42+Отчетность!T44</f>
        <v>-1748377.125</v>
      </c>
      <c r="W235" s="228">
        <f ca="1">Отчетность!U13+Отчетность!U22+Отчетность!U28+Отчетность!U34+Отчетность!U42+Отчетность!U44</f>
        <v>-1739952.5987053649</v>
      </c>
      <c r="X235" s="228">
        <f ca="1">Отчетность!V13+Отчетность!V22+Отчетность!V28+Отчетность!V34+Отчетность!V42+Отчетность!V44</f>
        <v>-1731408.7249548892</v>
      </c>
      <c r="Y235" s="228">
        <f ca="1">Отчетность!W13+Отчетность!W22+Отчетность!W28+Отчетность!W34+Отчетность!W42+Отчетность!W44</f>
        <v>-1791049.82392191</v>
      </c>
      <c r="Z235" s="228">
        <f ca="1">Отчетность!X13+Отчетность!X22+Отчетность!X28+Отчетность!X34+Отчетность!X42+Отчетность!X44</f>
        <v>-3083027.1863629124</v>
      </c>
      <c r="AA235" s="228">
        <f ca="1">Отчетность!Y13+Отчетность!Y22+Отчетность!Y28+Отчетность!Y34+Отчетность!Y42+Отчетность!Y44</f>
        <v>-5579115.0295623578</v>
      </c>
      <c r="AB235" s="228">
        <f ca="1">Отчетность!Z13+Отчетность!Z22+Отчетность!Z28+Отчетность!Z34+Отчетность!Z42+Отчетность!Z44</f>
        <v>-5864882.62813609</v>
      </c>
      <c r="AC235" s="228">
        <f ca="1">Отчетность!AA13+Отчетность!AA22+Отчетность!AA28+Отчетность!AA34+Отчетность!AA42+Отчетность!AA44</f>
        <v>-6672981.1989282314</v>
      </c>
      <c r="AD235" s="228">
        <f ca="1">Отчетность!AB13+Отчетность!AB22+Отчетность!AB28+Отчетность!AB34+Отчетность!AB42+Отчетность!AB44</f>
        <v>-7240184.8842637911</v>
      </c>
      <c r="AE235" s="228">
        <f ca="1">Отчетность!AC13+Отчетность!AC22+Отчетность!AC28+Отчетность!AC34+Отчетность!AC42+Отчетность!AC44</f>
        <v>-7457256.8718082709</v>
      </c>
      <c r="AF235" s="228">
        <f ca="1">Отчетность!AD13+Отчетность!AD22+Отчетность!AD28+Отчетность!AD34+Отчетность!AD42+Отчетность!AD44</f>
        <v>-7538295.2958429642</v>
      </c>
      <c r="AG235" s="228">
        <f ca="1">Отчетность!AE13+Отчетность!AE22+Отчетность!AE28+Отчетность!AE34+Отчетность!AE42+Отчетность!AE44</f>
        <v>-7619198.2642181488</v>
      </c>
      <c r="AH235" s="228">
        <f ca="1">Отчетность!AF13+Отчетность!AF22+Отчетность!AF28+Отчетность!AF34+Отчетность!AF42+Отчетность!AF44</f>
        <v>-7699963.8579786485</v>
      </c>
      <c r="AI235" s="228">
        <f ca="1">Отчетность!AG13+Отчетность!AG22+Отчетность!AG28+Отчетность!AG34+Отчетность!AG42+Отчетность!AG44</f>
        <v>-7780590.1309840893</v>
      </c>
      <c r="AJ235" s="228">
        <f ca="1">Отчетность!AH13+Отчетность!AH22+Отчетность!AH28+Отчетность!AH34+Отчетность!AH42+Отчетность!AH44</f>
        <v>-7861075.1095237732</v>
      </c>
      <c r="AK235" s="228">
        <f ca="1">Отчетность!AI13+Отчетность!AI22+Отчетность!AI28+Отчетность!AI34+Отчетность!AI42+Отчетность!AI44</f>
        <v>-7941416.7919261027</v>
      </c>
      <c r="AL235" s="228">
        <f ca="1">Отчетность!AJ13+Отчетность!AJ22+Отчетность!AJ28+Отчетность!AJ34+Отчетность!AJ42+Отчетность!AJ44</f>
        <v>-8021613.1481624655</v>
      </c>
      <c r="AM235" s="228">
        <f ca="1">Отчетность!AK13+Отчетность!AK22+Отчетность!AK28+Отчетность!AK34+Отчетность!AK42+Отчетность!AK44</f>
        <v>-8101662.1194455093</v>
      </c>
      <c r="AN235" s="228">
        <f ca="1">Отчетность!AL13+Отчетность!AL22+Отчетность!AL28+Отчетность!AL34+Отчетность!AL42+Отчетность!AL44</f>
        <v>-8181561.6178217307</v>
      </c>
      <c r="AO235" s="228">
        <f ca="1">Отчетность!AM13+Отчетность!AM22+Отчетность!AM28+Отчетность!AM34+Отчетность!AM42+Отчетность!AM44</f>
        <v>-8261309.5257582814</v>
      </c>
      <c r="AP235" s="228">
        <f ca="1">Отчетность!AN13+Отчетность!AN22+Отчетность!AN28+Отчетность!AN34+Отчетность!AN42+Отчетность!AN44</f>
        <v>-8340903.6957239322</v>
      </c>
      <c r="AQ235" s="228">
        <f ca="1">Отчетность!AO13+Отчетность!AO22+Отчетность!AO28+Отчетность!AO34+Отчетность!AO42+Отчетность!AO44</f>
        <v>-8420341.9497640971</v>
      </c>
      <c r="AR235" s="228">
        <f ca="1">Отчетность!AP13+Отчетность!AP22+Отчетность!AP28+Отчетность!AP34+Отчетность!AP42+Отчетность!AP44</f>
        <v>-8499622.0790698323</v>
      </c>
      <c r="AS235" s="228">
        <f ca="1">Отчетность!AQ13+Отчетность!AQ22+Отчетность!AQ28+Отчетность!AQ34+Отчетность!AQ42+Отчетность!AQ44</f>
        <v>-8578741.84354073</v>
      </c>
      <c r="AT235" s="228">
        <f ca="1">Отчетность!AR13+Отчетность!AR22+Отчетность!AR28+Отчетность!AR34+Отчетность!AR42+Отчетность!AR44</f>
        <v>-8657698.9713416342</v>
      </c>
      <c r="AU235" s="228">
        <f ca="1">Отчетность!AS13+Отчетность!AS22+Отчетность!AS28+Отчетность!AS34+Отчетность!AS42+Отчетность!AS44</f>
        <v>-8736491.1584530491</v>
      </c>
      <c r="AV235" s="228">
        <f ca="1">Отчетность!AT13+Отчетность!AT22+Отчетность!AT28+Отчетность!AT34+Отчетность!AT42+Отчетность!AT44</f>
        <v>-8815116.06821521</v>
      </c>
      <c r="AW235" s="228">
        <f ca="1">Отчетность!AU13+Отчетность!AU22+Отчетность!AU28+Отчетность!AU34+Отчетность!AU42+Отчетность!AU44</f>
        <v>-8893571.3308656681</v>
      </c>
      <c r="AX235" s="228">
        <f ca="1">Отчетность!AV13+Отчетность!AV22+Отчетность!AV28+Отчетность!AV34+Отчетность!AV42+Отчетность!AV44</f>
        <v>-8971854.5430703424</v>
      </c>
      <c r="AY235" s="228">
        <f ca="1">Отчетность!AW13+Отчетность!AW22+Отчетность!AW28+Отчетность!AW34+Отчетность!AW42+Отчетность!AW44</f>
        <v>-9049963.2674479149</v>
      </c>
      <c r="AZ235" s="228">
        <f ca="1">Отчетность!AX13+Отчетность!AX22+Отчетность!AX28+Отчетность!AX34+Отчетность!AX42+Отчетность!AX44</f>
        <v>-9127895.032087503</v>
      </c>
      <c r="BA235" s="228">
        <f ca="1">Отчетность!AY13+Отчетность!AY22+Отчетность!AY28+Отчетность!AY34+Отчетность!AY42+Отчетность!AY44</f>
        <v>-9205647.3300594855</v>
      </c>
      <c r="BB235" s="228">
        <f ca="1">Отчетность!AZ13+Отчетность!AZ22+Отчетность!AZ28+Отчетность!AZ34+Отчетность!AZ42+Отчетность!AZ44</f>
        <v>-9283217.6189194042</v>
      </c>
      <c r="BC235" s="228">
        <f ca="1">Отчетность!BA13+Отчетность!BA22+Отчетность!BA28+Отчетность!BA34+Отчетность!BA42+Отчетность!BA44</f>
        <v>-9360603.3202048391</v>
      </c>
      <c r="BD235" s="228">
        <f ca="1">Отчетность!BB13+Отчетность!BB22+Отчетность!BB28+Отчетность!BB34+Отчетность!BB42+Отчетность!BB44</f>
        <v>-9437801.8189251497</v>
      </c>
      <c r="BE235" s="228">
        <f ca="1">Отчетность!BC13+Отчетность!BC22+Отчетность!BC28+Отчетность!BC34+Отчетность!BC42+Отчетность!BC44</f>
        <v>-9514810.4630439989</v>
      </c>
      <c r="BF235" s="228">
        <f ca="1">Отчетность!BD13+Отчетность!BD22+Отчетность!BD28+Отчетность!BD34+Отчетность!BD42+Отчетность!BD44</f>
        <v>-9591626.562954532</v>
      </c>
      <c r="BG235" s="228">
        <f ca="1">Отчетность!BE13+Отчетность!BE22+Отчетность!BE28+Отчетность!BE34+Отчетность!BE42+Отчетность!BE44</f>
        <v>-9668247.3909471296</v>
      </c>
      <c r="BH235" s="228">
        <f ca="1">Отчетность!BF13+Отчетность!BF22+Отчетность!BF28+Отчетность!BF34+Отчетность!BF42+Отчетность!BF44</f>
        <v>-9744670.1806696244</v>
      </c>
      <c r="BI235" s="228">
        <f ca="1">Отчетность!BG13+Отчетность!BG22+Отчетность!BG28+Отчетность!BG34+Отчетность!BG42+Отчетность!BG44</f>
        <v>-9820892.1265798528</v>
      </c>
      <c r="BJ235" s="228">
        <f ca="1">Отчетность!BH13+Отчетность!BH22+Отчетность!BH28+Отчетность!BH34+Отчетность!BH42+Отчетность!BH44</f>
        <v>-9896910.3833904769</v>
      </c>
      <c r="BK235" s="228">
        <f ca="1">Отчетность!BI13+Отчетность!BI22+Отчетность!BI28+Отчетность!BI34+Отчетность!BI42+Отчетность!BI44</f>
        <v>-9972722.0655059181</v>
      </c>
      <c r="BL235" s="228">
        <f ca="1">Отчетность!BJ13+Отчетность!BJ22+Отчетность!BJ28+Отчетность!BJ34+Отчетность!BJ42+Отчетность!BJ44</f>
        <v>-10048324.246451328</v>
      </c>
      <c r="BM235" s="228">
        <f ca="1">Отчетность!BK13+Отчетность!BK22+Отчетность!BK28+Отчетность!BK34+Отчетность!BK42+Отчетность!BK44</f>
        <v>-10123713.958293464</v>
      </c>
      <c r="BN235" s="228">
        <f ca="1">Отчетность!BL13+Отчетность!BL22+Отчетность!BL28+Отчетность!BL34+Отчетность!BL42+Отчетность!BL44</f>
        <v>-10198888.191053364</v>
      </c>
      <c r="BO235" s="228">
        <f ca="1">Отчетность!BM13+Отчетность!BM22+Отчетность!BM28+Отчетность!BM34+Отчетность!BM42+Отчетность!BM44</f>
        <v>-10273843.892110696</v>
      </c>
      <c r="BP235" s="228">
        <f ca="1">Отчетность!BN13+Отчетность!BN22+Отчетность!BN28+Отчетность!BN34+Отчетность!BN42+Отчетность!BN44</f>
        <v>-10348577.965599675</v>
      </c>
      <c r="BQ235" s="228">
        <f ca="1">Отчетность!BO13+Отчетность!BO22+Отчетность!BO28+Отчетность!BO34+Отчетность!BO42+Отчетность!BO44</f>
        <v>-10423087.271796413</v>
      </c>
      <c r="BR235" s="228">
        <f ca="1">Отчетность!BP13+Отчетность!BP22+Отчетность!BP28+Отчетность!BP34+Отчетность!BP42+Отчетность!BP44</f>
        <v>-10497368.626497604</v>
      </c>
      <c r="BS235" s="228">
        <f ca="1">Отчетность!BQ13+Отчетность!BQ22+Отчетность!BQ28+Отчетность!BQ34+Отчетность!BQ42+Отчетность!BQ44</f>
        <v>-10571418.800390396</v>
      </c>
      <c r="BT235" s="228">
        <f ca="1">Отчетность!BR13+Отчетность!BR22+Отчетность!BR28+Отчетность!BR34+Отчетность!BR42+Отчетность!BR44</f>
        <v>-10645234.518413337</v>
      </c>
      <c r="BU235" s="228">
        <f ca="1">Отчетность!BS13+Отчетность!BS22+Отчетность!BS28+Отчетность!BS34+Отчетность!BS42+Отчетность!BS44</f>
        <v>-10718812.459108269</v>
      </c>
      <c r="BV235" s="228">
        <f ca="1">Отчетность!BT13+Отчетность!BT22+Отчетность!BT28+Отчетность!BT34+Отчетность!BT42+Отчетность!BT44</f>
        <v>-10792149.253963044</v>
      </c>
      <c r="BW235" s="228">
        <f ca="1">Отчетность!BU13+Отчетность!BU22+Отчетность!BU28+Отчетность!BU34+Отчетность!BU42+Отчетность!BU44</f>
        <v>-10865241.486744931</v>
      </c>
      <c r="BX235" s="228">
        <f ca="1">Отчетность!BV13+Отчетность!BV22+Отчетность!BV28+Отчетность!BV34+Отчетность!BV42+Отчетность!BV44</f>
        <v>-10938085.692824559</v>
      </c>
      <c r="BY235" s="228">
        <f ca="1">Отчетность!BW13+Отчетность!BW22+Отчетность!BW28+Отчетность!BW34+Отчетность!BW42+Отчетность!BW44</f>
        <v>-11010678.358490316</v>
      </c>
      <c r="BZ235" s="228">
        <f ca="1">Отчетность!BX13+Отчетность!BX22+Отчетность!BX28+Отчетность!BX34+Отчетность!BX42+Отчетность!BX44</f>
        <v>-11083015.920253007</v>
      </c>
      <c r="CA235" s="228">
        <f ca="1">Отчетность!BY13+Отчетность!BY22+Отчетность!BY28+Отчетность!BY34+Отчетность!BY42+Отчетность!BY44</f>
        <v>-11155094.764140666</v>
      </c>
      <c r="CB235" s="228">
        <f ca="1">Отчетность!BZ13+Отчетность!BZ22+Отчетность!BZ28+Отчетность!BZ34+Отчетность!BZ42+Отчетность!BZ44</f>
        <v>-11226911.224983402</v>
      </c>
      <c r="CC235" s="228">
        <f ca="1">Отчетность!CA13+Отчетность!CA22+Отчетность!CA28+Отчетность!CA34+Отчетность!CA42+Отчетность!CA44</f>
        <v>-11298461.585688075</v>
      </c>
      <c r="CD235" s="160"/>
      <c r="CE235" s="180"/>
    </row>
    <row r="236" spans="1:83" s="30" customFormat="1" ht="15" customHeight="1" outlineLevel="1" x14ac:dyDescent="0.3">
      <c r="A236" s="44"/>
      <c r="D236" s="132" t="s">
        <v>81</v>
      </c>
      <c r="E236" s="27"/>
      <c r="F236" s="27"/>
      <c r="G236" s="27"/>
      <c r="H236" s="27"/>
      <c r="I236" s="31" t="str">
        <f>Ввод!$M$12</f>
        <v>руб</v>
      </c>
      <c r="J236" s="31"/>
      <c r="K236" s="31"/>
      <c r="L236" s="31"/>
      <c r="M236" s="2"/>
      <c r="N236" s="191"/>
      <c r="O236" s="139"/>
      <c r="P236" s="191"/>
      <c r="Q236" s="191"/>
      <c r="R236" s="191"/>
      <c r="S236" s="191"/>
      <c r="T236" s="191"/>
      <c r="U236" s="139"/>
      <c r="V236" s="191">
        <f ca="1">MAX(V234 + V235, 0)</f>
        <v>0</v>
      </c>
      <c r="W236" s="191">
        <f t="shared" ref="W236:CC236" ca="1" si="298">MAX(W234 + W235, 0)</f>
        <v>0</v>
      </c>
      <c r="X236" s="191">
        <f t="shared" ca="1" si="298"/>
        <v>0</v>
      </c>
      <c r="Y236" s="191">
        <f t="shared" ca="1" si="298"/>
        <v>0</v>
      </c>
      <c r="Z236" s="191">
        <f t="shared" ca="1" si="298"/>
        <v>0</v>
      </c>
      <c r="AA236" s="191">
        <f t="shared" ca="1" si="298"/>
        <v>0</v>
      </c>
      <c r="AB236" s="191">
        <f t="shared" ca="1" si="298"/>
        <v>0</v>
      </c>
      <c r="AC236" s="191">
        <f t="shared" ca="1" si="298"/>
        <v>0</v>
      </c>
      <c r="AD236" s="191">
        <f t="shared" ca="1" si="298"/>
        <v>0</v>
      </c>
      <c r="AE236" s="191">
        <f t="shared" ca="1" si="298"/>
        <v>0</v>
      </c>
      <c r="AF236" s="191">
        <f t="shared" ca="1" si="298"/>
        <v>0</v>
      </c>
      <c r="AG236" s="191">
        <f t="shared" ca="1" si="298"/>
        <v>0</v>
      </c>
      <c r="AH236" s="191">
        <f t="shared" ca="1" si="298"/>
        <v>0</v>
      </c>
      <c r="AI236" s="191">
        <f t="shared" ca="1" si="298"/>
        <v>19409.869015910663</v>
      </c>
      <c r="AJ236" s="191">
        <f t="shared" ca="1" si="298"/>
        <v>138924.89047622681</v>
      </c>
      <c r="AK236" s="191">
        <f t="shared" ca="1" si="298"/>
        <v>258583.20807389729</v>
      </c>
      <c r="AL236" s="191">
        <f t="shared" ca="1" si="298"/>
        <v>378386.85183753446</v>
      </c>
      <c r="AM236" s="191">
        <f t="shared" ca="1" si="298"/>
        <v>498337.88055449072</v>
      </c>
      <c r="AN236" s="191">
        <f t="shared" ca="1" si="298"/>
        <v>618438.38217826933</v>
      </c>
      <c r="AO236" s="191">
        <f t="shared" ca="1" si="298"/>
        <v>738690.47424171865</v>
      </c>
      <c r="AP236" s="191">
        <f t="shared" ca="1" si="298"/>
        <v>859096.30427606776</v>
      </c>
      <c r="AQ236" s="191">
        <f t="shared" ca="1" si="298"/>
        <v>979658.05023590289</v>
      </c>
      <c r="AR236" s="191">
        <f t="shared" ca="1" si="298"/>
        <v>1100377.9209301677</v>
      </c>
      <c r="AS236" s="191">
        <f t="shared" ca="1" si="298"/>
        <v>1221258.15645927</v>
      </c>
      <c r="AT236" s="191">
        <f t="shared" ca="1" si="298"/>
        <v>1342301.0286583658</v>
      </c>
      <c r="AU236" s="191">
        <f t="shared" ca="1" si="298"/>
        <v>1463508.8415469509</v>
      </c>
      <c r="AV236" s="191">
        <f t="shared" ca="1" si="298"/>
        <v>1584883.93178479</v>
      </c>
      <c r="AW236" s="191">
        <f t="shared" ca="1" si="298"/>
        <v>1706428.6691343319</v>
      </c>
      <c r="AX236" s="191">
        <f t="shared" ca="1" si="298"/>
        <v>1828145.4569296576</v>
      </c>
      <c r="AY236" s="191">
        <f t="shared" ca="1" si="298"/>
        <v>1950036.7325520851</v>
      </c>
      <c r="AZ236" s="191">
        <f t="shared" ca="1" si="298"/>
        <v>2072104.967912497</v>
      </c>
      <c r="BA236" s="191">
        <f t="shared" ca="1" si="298"/>
        <v>2194352.6699405145</v>
      </c>
      <c r="BB236" s="191">
        <f t="shared" ca="1" si="298"/>
        <v>2316782.3810805958</v>
      </c>
      <c r="BC236" s="191">
        <f t="shared" ca="1" si="298"/>
        <v>2439396.6797951609</v>
      </c>
      <c r="BD236" s="191">
        <f t="shared" ca="1" si="298"/>
        <v>2562198.1810748503</v>
      </c>
      <c r="BE236" s="191">
        <f t="shared" ca="1" si="298"/>
        <v>2685189.5369560011</v>
      </c>
      <c r="BF236" s="191">
        <f t="shared" ca="1" si="298"/>
        <v>2808373.437045468</v>
      </c>
      <c r="BG236" s="191">
        <f t="shared" ca="1" si="298"/>
        <v>2931752.6090528704</v>
      </c>
      <c r="BH236" s="191">
        <f t="shared" ca="1" si="298"/>
        <v>3055329.8193303756</v>
      </c>
      <c r="BI236" s="191">
        <f t="shared" ca="1" si="298"/>
        <v>3179107.8734201472</v>
      </c>
      <c r="BJ236" s="191">
        <f t="shared" ca="1" si="298"/>
        <v>3303089.6166095231</v>
      </c>
      <c r="BK236" s="191">
        <f t="shared" ca="1" si="298"/>
        <v>3427277.9344940819</v>
      </c>
      <c r="BL236" s="191">
        <f t="shared" ca="1" si="298"/>
        <v>3551675.7535486724</v>
      </c>
      <c r="BM236" s="191">
        <f t="shared" ca="1" si="298"/>
        <v>3676286.041706536</v>
      </c>
      <c r="BN236" s="191">
        <f t="shared" ca="1" si="298"/>
        <v>3801111.8089466356</v>
      </c>
      <c r="BO236" s="191">
        <f t="shared" ca="1" si="298"/>
        <v>3926156.1078893039</v>
      </c>
      <c r="BP236" s="191">
        <f t="shared" ca="1" si="298"/>
        <v>4051422.0344003253</v>
      </c>
      <c r="BQ236" s="191">
        <f t="shared" ca="1" si="298"/>
        <v>4176912.7282035872</v>
      </c>
      <c r="BR236" s="191">
        <f t="shared" ca="1" si="298"/>
        <v>4302631.373502396</v>
      </c>
      <c r="BS236" s="191">
        <f t="shared" ca="1" si="298"/>
        <v>4428581.1996096037</v>
      </c>
      <c r="BT236" s="191">
        <f t="shared" ca="1" si="298"/>
        <v>4554765.4815866631</v>
      </c>
      <c r="BU236" s="191">
        <f t="shared" ca="1" si="298"/>
        <v>4681187.5408917312</v>
      </c>
      <c r="BV236" s="191">
        <f t="shared" ca="1" si="298"/>
        <v>4807850.7460369561</v>
      </c>
      <c r="BW236" s="191">
        <f t="shared" ca="1" si="298"/>
        <v>4934758.513255069</v>
      </c>
      <c r="BX236" s="191">
        <f t="shared" ca="1" si="298"/>
        <v>5061914.3071754407</v>
      </c>
      <c r="BY236" s="191">
        <f t="shared" ca="1" si="298"/>
        <v>5189321.6415096838</v>
      </c>
      <c r="BZ236" s="191">
        <f t="shared" ca="1" si="298"/>
        <v>5316984.0797469933</v>
      </c>
      <c r="CA236" s="191">
        <f t="shared" ca="1" si="298"/>
        <v>5444905.2358593345</v>
      </c>
      <c r="CB236" s="191">
        <f t="shared" ca="1" si="298"/>
        <v>5573088.7750165984</v>
      </c>
      <c r="CC236" s="191">
        <f t="shared" ca="1" si="298"/>
        <v>5701538.4143119249</v>
      </c>
      <c r="CD236" s="160"/>
      <c r="CE236" s="180"/>
    </row>
    <row r="237" spans="1:83" s="73" customFormat="1" ht="15" customHeight="1" outlineLevel="1" x14ac:dyDescent="0.3">
      <c r="A237" s="87"/>
      <c r="D237" s="169" t="s">
        <v>86</v>
      </c>
      <c r="E237" s="60"/>
      <c r="F237" s="60"/>
      <c r="G237" s="60"/>
      <c r="H237" s="60"/>
      <c r="I237" s="6" t="str">
        <f>Ввод!$M$12</f>
        <v>руб</v>
      </c>
      <c r="J237" s="6"/>
      <c r="K237" s="6"/>
      <c r="L237" s="6"/>
      <c r="M237" s="6"/>
      <c r="N237" s="225">
        <f ca="1">SUM(P237:T237)</f>
        <v>33210628.534698792</v>
      </c>
      <c r="O237" s="227"/>
      <c r="P237" s="225">
        <f ca="1">SUMIF($V$4:$EK$4,P$4,$V237:$EK237)</f>
        <v>0</v>
      </c>
      <c r="Q237" s="225">
        <f ca="1">SUMIF($V$4:$EK$4,Q$4,$V237:$EK237)</f>
        <v>1702790.4970698641</v>
      </c>
      <c r="R237" s="225">
        <f ca="1">SUMIF($V$4:$EK$4,R$4,$V237:$EK237)</f>
        <v>6036332.2693414502</v>
      </c>
      <c r="S237" s="225">
        <f ca="1">SUMIF($V$4:$EK$4,S$4,$V237:$EK237)</f>
        <v>10472123.94116188</v>
      </c>
      <c r="T237" s="225">
        <f ca="1">SUMIF($V$4:$EK$4,T$4,$V237:$EK237)</f>
        <v>14999381.827125598</v>
      </c>
      <c r="U237" s="227"/>
      <c r="V237" s="225">
        <f ca="1">MAX((V236)*$M$221,0)</f>
        <v>0</v>
      </c>
      <c r="W237" s="225">
        <f t="shared" ref="W237:AA237" ca="1" si="299">MAX((W236)*$M$221,0)</f>
        <v>0</v>
      </c>
      <c r="X237" s="225">
        <f t="shared" ca="1" si="299"/>
        <v>0</v>
      </c>
      <c r="Y237" s="225">
        <f t="shared" ca="1" si="299"/>
        <v>0</v>
      </c>
      <c r="Z237" s="225">
        <f t="shared" ca="1" si="299"/>
        <v>0</v>
      </c>
      <c r="AA237" s="225">
        <f t="shared" ca="1" si="299"/>
        <v>0</v>
      </c>
      <c r="AB237" s="225">
        <f ca="1">MAX((AB236)*$M$221,0)</f>
        <v>0</v>
      </c>
      <c r="AC237" s="225">
        <f t="shared" ref="AC237" ca="1" si="300">MAX((AC236)*$M$221,0)</f>
        <v>0</v>
      </c>
      <c r="AD237" s="225">
        <f t="shared" ref="AD237" ca="1" si="301">MAX((AD236)*$M$221,0)</f>
        <v>0</v>
      </c>
      <c r="AE237" s="225">
        <f t="shared" ref="AE237" ca="1" si="302">MAX((AE236)*$M$221,0)</f>
        <v>0</v>
      </c>
      <c r="AF237" s="225">
        <f t="shared" ref="AF237:AG237" ca="1" si="303">MAX((AF236)*$M$221,0)</f>
        <v>0</v>
      </c>
      <c r="AG237" s="225">
        <f t="shared" ca="1" si="303"/>
        <v>0</v>
      </c>
      <c r="AH237" s="225">
        <f t="shared" ref="AH237" ca="1" si="304">MAX((AH236)*$M$221,0)</f>
        <v>0</v>
      </c>
      <c r="AI237" s="225">
        <f t="shared" ref="AI237" ca="1" si="305">MAX((AI236)*$M$221,0)</f>
        <v>4852.4672539776657</v>
      </c>
      <c r="AJ237" s="225">
        <f t="shared" ref="AJ237" ca="1" si="306">MAX((AJ236)*$M$221,0)</f>
        <v>34731.222619056702</v>
      </c>
      <c r="AK237" s="225">
        <f t="shared" ref="AK237" ca="1" si="307">MAX((AK236)*$M$221,0)</f>
        <v>64645.802018474322</v>
      </c>
      <c r="AL237" s="225">
        <f t="shared" ref="AL237:AM237" ca="1" si="308">MAX((AL236)*$M$221,0)</f>
        <v>94596.712959383614</v>
      </c>
      <c r="AM237" s="225">
        <f t="shared" ca="1" si="308"/>
        <v>124584.47013862268</v>
      </c>
      <c r="AN237" s="225">
        <f t="shared" ref="AN237" ca="1" si="309">MAX((AN236)*$M$221,0)</f>
        <v>154609.59554456733</v>
      </c>
      <c r="AO237" s="225">
        <f t="shared" ref="AO237" ca="1" si="310">MAX((AO236)*$M$221,0)</f>
        <v>184672.61856042966</v>
      </c>
      <c r="AP237" s="225">
        <f t="shared" ref="AP237" ca="1" si="311">MAX((AP236)*$M$221,0)</f>
        <v>214774.07606901694</v>
      </c>
      <c r="AQ237" s="225">
        <f t="shared" ref="AQ237:AR237" ca="1" si="312">MAX((AQ236)*$M$221,0)</f>
        <v>244914.51255897572</v>
      </c>
      <c r="AR237" s="225">
        <f t="shared" ca="1" si="312"/>
        <v>275094.48023254192</v>
      </c>
      <c r="AS237" s="225">
        <f t="shared" ref="AS237" ca="1" si="313">MAX((AS236)*$M$221,0)</f>
        <v>305314.53911481751</v>
      </c>
      <c r="AT237" s="225">
        <f t="shared" ref="AT237" ca="1" si="314">MAX((AT236)*$M$221,0)</f>
        <v>335575.25716459146</v>
      </c>
      <c r="AU237" s="225">
        <f t="shared" ref="AU237" ca="1" si="315">MAX((AU236)*$M$221,0)</f>
        <v>365877.21038673772</v>
      </c>
      <c r="AV237" s="225">
        <f t="shared" ref="AV237" ca="1" si="316">MAX((AV236)*$M$221,0)</f>
        <v>396220.9829461975</v>
      </c>
      <c r="AW237" s="225">
        <f t="shared" ref="AW237:AX237" ca="1" si="317">MAX((AW236)*$M$221,0)</f>
        <v>426607.16728358297</v>
      </c>
      <c r="AX237" s="225">
        <f t="shared" ca="1" si="317"/>
        <v>457036.3642324144</v>
      </c>
      <c r="AY237" s="225">
        <f t="shared" ref="AY237" ca="1" si="318">MAX((AY236)*$M$221,0)</f>
        <v>487509.18313802127</v>
      </c>
      <c r="AZ237" s="225">
        <f t="shared" ref="AZ237" ca="1" si="319">MAX((AZ236)*$M$221,0)</f>
        <v>518026.24197812425</v>
      </c>
      <c r="BA237" s="225">
        <f t="shared" ref="BA237" ca="1" si="320">MAX((BA236)*$M$221,0)</f>
        <v>548588.16748512862</v>
      </c>
      <c r="BB237" s="225">
        <f t="shared" ref="BB237:BC237" ca="1" si="321">MAX((BB236)*$M$221,0)</f>
        <v>579195.59527014894</v>
      </c>
      <c r="BC237" s="225">
        <f t="shared" ca="1" si="321"/>
        <v>609849.16994879022</v>
      </c>
      <c r="BD237" s="225">
        <f t="shared" ref="BD237" ca="1" si="322">MAX((BD236)*$M$221,0)</f>
        <v>640549.54526871257</v>
      </c>
      <c r="BE237" s="225">
        <f t="shared" ref="BE237" ca="1" si="323">MAX((BE236)*$M$221,0)</f>
        <v>671297.38423900027</v>
      </c>
      <c r="BF237" s="225">
        <f t="shared" ref="BF237" ca="1" si="324">MAX((BF236)*$M$221,0)</f>
        <v>702093.359261367</v>
      </c>
      <c r="BG237" s="225">
        <f t="shared" ref="BG237" ca="1" si="325">MAX((BG236)*$M$221,0)</f>
        <v>732938.15226321761</v>
      </c>
      <c r="BH237" s="225">
        <f t="shared" ref="BH237:BI237" ca="1" si="326">MAX((BH236)*$M$221,0)</f>
        <v>763832.45483259391</v>
      </c>
      <c r="BI237" s="225">
        <f t="shared" ca="1" si="326"/>
        <v>794776.96835503681</v>
      </c>
      <c r="BJ237" s="225">
        <f t="shared" ref="BJ237" ca="1" si="327">MAX((BJ236)*$M$221,0)</f>
        <v>825772.40415238077</v>
      </c>
      <c r="BK237" s="225">
        <f t="shared" ref="BK237" ca="1" si="328">MAX((BK236)*$M$221,0)</f>
        <v>856819.48362352047</v>
      </c>
      <c r="BL237" s="225">
        <f t="shared" ref="BL237" ca="1" si="329">MAX((BL236)*$M$221,0)</f>
        <v>887918.93838716811</v>
      </c>
      <c r="BM237" s="225">
        <f t="shared" ref="BM237:BN237" ca="1" si="330">MAX((BM236)*$M$221,0)</f>
        <v>919071.51042663399</v>
      </c>
      <c r="BN237" s="225">
        <f t="shared" ca="1" si="330"/>
        <v>950277.95223665889</v>
      </c>
      <c r="BO237" s="225">
        <f t="shared" ref="BO237" ca="1" si="331">MAX((BO236)*$M$221,0)</f>
        <v>981539.02697232598</v>
      </c>
      <c r="BP237" s="225">
        <f t="shared" ref="BP237" ca="1" si="332">MAX((BP236)*$M$221,0)</f>
        <v>1012855.5086000813</v>
      </c>
      <c r="BQ237" s="225">
        <f t="shared" ref="BQ237" ca="1" si="333">MAX((BQ236)*$M$221,0)</f>
        <v>1044228.1820508968</v>
      </c>
      <c r="BR237" s="225">
        <f t="shared" ref="BR237" ca="1" si="334">MAX((BR236)*$M$221,0)</f>
        <v>1075657.843375599</v>
      </c>
      <c r="BS237" s="225">
        <f t="shared" ref="BS237:BT237" ca="1" si="335">MAX((BS236)*$M$221,0)</f>
        <v>1107145.2999024009</v>
      </c>
      <c r="BT237" s="225">
        <f t="shared" ca="1" si="335"/>
        <v>1138691.3703966658</v>
      </c>
      <c r="BU237" s="225">
        <f t="shared" ref="BU237" ca="1" si="336">MAX((BU236)*$M$221,0)</f>
        <v>1170296.8852229328</v>
      </c>
      <c r="BV237" s="225">
        <f t="shared" ref="BV237" ca="1" si="337">MAX((BV236)*$M$221,0)</f>
        <v>1201962.686509239</v>
      </c>
      <c r="BW237" s="225">
        <f t="shared" ref="BW237" ca="1" si="338">MAX((BW236)*$M$221,0)</f>
        <v>1233689.6283137673</v>
      </c>
      <c r="BX237" s="225">
        <f t="shared" ref="BX237:BY237" ca="1" si="339">MAX((BX236)*$M$221,0)</f>
        <v>1265478.5767938602</v>
      </c>
      <c r="BY237" s="225">
        <f t="shared" ca="1" si="339"/>
        <v>1297330.410377421</v>
      </c>
      <c r="BZ237" s="225">
        <f t="shared" ref="BZ237" ca="1" si="340">MAX((BZ236)*$M$221,0)</f>
        <v>1329246.0199367483</v>
      </c>
      <c r="CA237" s="225">
        <f t="shared" ref="CA237" ca="1" si="341">MAX((CA236)*$M$221,0)</f>
        <v>1361226.3089648336</v>
      </c>
      <c r="CB237" s="225">
        <f t="shared" ref="CB237" ca="1" si="342">MAX((CB236)*$M$221,0)</f>
        <v>1393272.1937541496</v>
      </c>
      <c r="CC237" s="225">
        <f t="shared" ref="CC237" ca="1" si="343">MAX((CC236)*$M$221,0)</f>
        <v>1425384.6035779812</v>
      </c>
      <c r="CD237" s="181"/>
      <c r="CE237" s="182"/>
    </row>
    <row r="238" spans="1:83" s="30" customFormat="1" ht="15" customHeight="1" outlineLevel="1" x14ac:dyDescent="0.3">
      <c r="A238" s="44"/>
      <c r="D238" s="170"/>
      <c r="E238" s="154"/>
      <c r="F238" s="154"/>
      <c r="G238" s="154"/>
      <c r="H238" s="154"/>
      <c r="I238" s="91"/>
      <c r="J238" s="31"/>
      <c r="K238" s="31"/>
      <c r="L238" s="31"/>
      <c r="M238" s="2"/>
      <c r="N238" s="191"/>
      <c r="O238" s="139"/>
      <c r="P238" s="191"/>
      <c r="Q238" s="191"/>
      <c r="R238" s="191"/>
      <c r="S238" s="191"/>
      <c r="T238" s="191"/>
      <c r="U238" s="139"/>
      <c r="V238" s="191"/>
      <c r="W238" s="191"/>
      <c r="X238" s="191"/>
      <c r="Y238" s="191"/>
      <c r="Z238" s="191"/>
      <c r="AA238" s="191"/>
      <c r="AB238" s="191"/>
      <c r="AC238" s="191"/>
      <c r="AD238" s="191"/>
      <c r="AE238" s="191"/>
      <c r="AF238" s="191"/>
      <c r="AG238" s="191"/>
      <c r="AH238" s="191"/>
      <c r="AI238" s="191"/>
      <c r="AJ238" s="191"/>
      <c r="AK238" s="191"/>
      <c r="AL238" s="191"/>
      <c r="AM238" s="191"/>
      <c r="AN238" s="191"/>
      <c r="AO238" s="191"/>
      <c r="AP238" s="191"/>
      <c r="AQ238" s="191"/>
      <c r="AR238" s="191"/>
      <c r="AS238" s="191"/>
      <c r="AT238" s="191"/>
      <c r="AU238" s="191"/>
      <c r="AV238" s="191"/>
      <c r="AW238" s="191"/>
      <c r="AX238" s="191"/>
      <c r="AY238" s="191"/>
      <c r="AZ238" s="191"/>
      <c r="BA238" s="191"/>
      <c r="BB238" s="191"/>
      <c r="BC238" s="191"/>
      <c r="BD238" s="191"/>
      <c r="BE238" s="191"/>
      <c r="BF238" s="191"/>
      <c r="BG238" s="191"/>
      <c r="BH238" s="191"/>
      <c r="BI238" s="191"/>
      <c r="BJ238" s="191"/>
      <c r="BK238" s="191"/>
      <c r="BL238" s="191"/>
      <c r="BM238" s="191"/>
      <c r="BN238" s="191"/>
      <c r="BO238" s="191"/>
      <c r="BP238" s="191"/>
      <c r="BQ238" s="191"/>
      <c r="BR238" s="191"/>
      <c r="BS238" s="191"/>
      <c r="BT238" s="191"/>
      <c r="BU238" s="191"/>
      <c r="BV238" s="191"/>
      <c r="BW238" s="191"/>
      <c r="BX238" s="191"/>
      <c r="BY238" s="191"/>
      <c r="BZ238" s="191"/>
      <c r="CA238" s="191"/>
      <c r="CB238" s="191"/>
      <c r="CC238" s="191"/>
      <c r="CD238" s="160"/>
      <c r="CE238" s="180"/>
    </row>
    <row r="239" spans="1:83" s="22" customFormat="1" ht="15" customHeight="1" outlineLevel="1" x14ac:dyDescent="0.3">
      <c r="A239" s="51"/>
      <c r="D239" s="220" t="s">
        <v>40</v>
      </c>
      <c r="E239" s="221"/>
      <c r="F239" s="221"/>
      <c r="G239" s="221"/>
      <c r="H239" s="221"/>
      <c r="I239" s="209" t="str">
        <f>Ввод!$M$12</f>
        <v>руб</v>
      </c>
      <c r="J239" s="209"/>
      <c r="K239" s="209"/>
      <c r="L239" s="209"/>
      <c r="M239" s="210"/>
      <c r="N239" s="230">
        <f ca="1">SUM(P239:T239)</f>
        <v>33210628.534698792</v>
      </c>
      <c r="O239" s="139"/>
      <c r="P239" s="230">
        <f ca="1">SUMIF($V$4:$EK$4,P$4,$V239:$EK239)</f>
        <v>0</v>
      </c>
      <c r="Q239" s="230">
        <f ca="1">SUMIF($V$4:$EK$4,Q$4,$V239:$EK239)</f>
        <v>1702790.4970698641</v>
      </c>
      <c r="R239" s="230">
        <f ca="1">SUMIF($V$4:$EK$4,R$4,$V239:$EK239)</f>
        <v>6036332.2693414502</v>
      </c>
      <c r="S239" s="230">
        <f ca="1">SUMIF($V$4:$EK$4,S$4,$V239:$EK239)</f>
        <v>10472123.94116188</v>
      </c>
      <c r="T239" s="230">
        <f ca="1">SUMIF($V$4:$EK$4,T$4,$V239:$EK239)</f>
        <v>14999381.827125598</v>
      </c>
      <c r="U239" s="139"/>
      <c r="V239" s="230">
        <f ca="1">IFERROR(CHOOSE($M$218,V225,V231,V237,),0)</f>
        <v>0</v>
      </c>
      <c r="W239" s="230">
        <f t="shared" ref="W239:CC239" ca="1" si="344">IFERROR(CHOOSE($M$218,W225,W231,W237,),0)</f>
        <v>0</v>
      </c>
      <c r="X239" s="230">
        <f t="shared" ca="1" si="344"/>
        <v>0</v>
      </c>
      <c r="Y239" s="230">
        <f t="shared" ca="1" si="344"/>
        <v>0</v>
      </c>
      <c r="Z239" s="230">
        <f t="shared" ca="1" si="344"/>
        <v>0</v>
      </c>
      <c r="AA239" s="230">
        <f t="shared" ca="1" si="344"/>
        <v>0</v>
      </c>
      <c r="AB239" s="230">
        <f t="shared" ca="1" si="344"/>
        <v>0</v>
      </c>
      <c r="AC239" s="230">
        <f t="shared" ca="1" si="344"/>
        <v>0</v>
      </c>
      <c r="AD239" s="230">
        <f t="shared" ca="1" si="344"/>
        <v>0</v>
      </c>
      <c r="AE239" s="230">
        <f t="shared" ca="1" si="344"/>
        <v>0</v>
      </c>
      <c r="AF239" s="230">
        <f t="shared" ca="1" si="344"/>
        <v>0</v>
      </c>
      <c r="AG239" s="230">
        <f t="shared" ca="1" si="344"/>
        <v>0</v>
      </c>
      <c r="AH239" s="230">
        <f t="shared" ca="1" si="344"/>
        <v>0</v>
      </c>
      <c r="AI239" s="230">
        <f t="shared" ca="1" si="344"/>
        <v>4852.4672539776657</v>
      </c>
      <c r="AJ239" s="230">
        <f t="shared" ca="1" si="344"/>
        <v>34731.222619056702</v>
      </c>
      <c r="AK239" s="230">
        <f t="shared" ca="1" si="344"/>
        <v>64645.802018474322</v>
      </c>
      <c r="AL239" s="230">
        <f t="shared" ca="1" si="344"/>
        <v>94596.712959383614</v>
      </c>
      <c r="AM239" s="230">
        <f t="shared" ca="1" si="344"/>
        <v>124584.47013862268</v>
      </c>
      <c r="AN239" s="230">
        <f t="shared" ca="1" si="344"/>
        <v>154609.59554456733</v>
      </c>
      <c r="AO239" s="230">
        <f t="shared" ca="1" si="344"/>
        <v>184672.61856042966</v>
      </c>
      <c r="AP239" s="230">
        <f t="shared" ca="1" si="344"/>
        <v>214774.07606901694</v>
      </c>
      <c r="AQ239" s="230">
        <f t="shared" ca="1" si="344"/>
        <v>244914.51255897572</v>
      </c>
      <c r="AR239" s="230">
        <f t="shared" ca="1" si="344"/>
        <v>275094.48023254192</v>
      </c>
      <c r="AS239" s="230">
        <f t="shared" ca="1" si="344"/>
        <v>305314.53911481751</v>
      </c>
      <c r="AT239" s="230">
        <f t="shared" ca="1" si="344"/>
        <v>335575.25716459146</v>
      </c>
      <c r="AU239" s="230">
        <f t="shared" ca="1" si="344"/>
        <v>365877.21038673772</v>
      </c>
      <c r="AV239" s="230">
        <f t="shared" ca="1" si="344"/>
        <v>396220.9829461975</v>
      </c>
      <c r="AW239" s="230">
        <f t="shared" ca="1" si="344"/>
        <v>426607.16728358297</v>
      </c>
      <c r="AX239" s="230">
        <f t="shared" ca="1" si="344"/>
        <v>457036.3642324144</v>
      </c>
      <c r="AY239" s="230">
        <f t="shared" ca="1" si="344"/>
        <v>487509.18313802127</v>
      </c>
      <c r="AZ239" s="230">
        <f t="shared" ca="1" si="344"/>
        <v>518026.24197812425</v>
      </c>
      <c r="BA239" s="230">
        <f t="shared" ca="1" si="344"/>
        <v>548588.16748512862</v>
      </c>
      <c r="BB239" s="230">
        <f t="shared" ca="1" si="344"/>
        <v>579195.59527014894</v>
      </c>
      <c r="BC239" s="230">
        <f t="shared" ca="1" si="344"/>
        <v>609849.16994879022</v>
      </c>
      <c r="BD239" s="230">
        <f t="shared" ca="1" si="344"/>
        <v>640549.54526871257</v>
      </c>
      <c r="BE239" s="230">
        <f t="shared" ca="1" si="344"/>
        <v>671297.38423900027</v>
      </c>
      <c r="BF239" s="230">
        <f t="shared" ca="1" si="344"/>
        <v>702093.359261367</v>
      </c>
      <c r="BG239" s="230">
        <f t="shared" ca="1" si="344"/>
        <v>732938.15226321761</v>
      </c>
      <c r="BH239" s="230">
        <f t="shared" ca="1" si="344"/>
        <v>763832.45483259391</v>
      </c>
      <c r="BI239" s="230">
        <f t="shared" ca="1" si="344"/>
        <v>794776.96835503681</v>
      </c>
      <c r="BJ239" s="230">
        <f t="shared" ca="1" si="344"/>
        <v>825772.40415238077</v>
      </c>
      <c r="BK239" s="230">
        <f t="shared" ca="1" si="344"/>
        <v>856819.48362352047</v>
      </c>
      <c r="BL239" s="230">
        <f t="shared" ca="1" si="344"/>
        <v>887918.93838716811</v>
      </c>
      <c r="BM239" s="230">
        <f t="shared" ca="1" si="344"/>
        <v>919071.51042663399</v>
      </c>
      <c r="BN239" s="230">
        <f t="shared" ca="1" si="344"/>
        <v>950277.95223665889</v>
      </c>
      <c r="BO239" s="230">
        <f t="shared" ca="1" si="344"/>
        <v>981539.02697232598</v>
      </c>
      <c r="BP239" s="230">
        <f t="shared" ca="1" si="344"/>
        <v>1012855.5086000813</v>
      </c>
      <c r="BQ239" s="230">
        <f t="shared" ca="1" si="344"/>
        <v>1044228.1820508968</v>
      </c>
      <c r="BR239" s="230">
        <f t="shared" ca="1" si="344"/>
        <v>1075657.843375599</v>
      </c>
      <c r="BS239" s="230">
        <f t="shared" ca="1" si="344"/>
        <v>1107145.2999024009</v>
      </c>
      <c r="BT239" s="230">
        <f t="shared" ca="1" si="344"/>
        <v>1138691.3703966658</v>
      </c>
      <c r="BU239" s="230">
        <f t="shared" ca="1" si="344"/>
        <v>1170296.8852229328</v>
      </c>
      <c r="BV239" s="230">
        <f t="shared" ca="1" si="344"/>
        <v>1201962.686509239</v>
      </c>
      <c r="BW239" s="230">
        <f t="shared" ca="1" si="344"/>
        <v>1233689.6283137673</v>
      </c>
      <c r="BX239" s="230">
        <f t="shared" ca="1" si="344"/>
        <v>1265478.5767938602</v>
      </c>
      <c r="BY239" s="230">
        <f t="shared" ca="1" si="344"/>
        <v>1297330.410377421</v>
      </c>
      <c r="BZ239" s="230">
        <f t="shared" ca="1" si="344"/>
        <v>1329246.0199367483</v>
      </c>
      <c r="CA239" s="230">
        <f t="shared" ca="1" si="344"/>
        <v>1361226.3089648336</v>
      </c>
      <c r="CB239" s="230">
        <f t="shared" ca="1" si="344"/>
        <v>1393272.1937541496</v>
      </c>
      <c r="CC239" s="230">
        <f t="shared" ca="1" si="344"/>
        <v>1425384.6035779812</v>
      </c>
      <c r="CD239" s="175"/>
      <c r="CE239" s="182"/>
    </row>
    <row r="240" spans="1:83" s="23" customFormat="1" ht="15" customHeight="1" x14ac:dyDescent="0.3">
      <c r="A240" s="111"/>
      <c r="B240" s="110"/>
      <c r="C240" s="110"/>
      <c r="D240" s="131"/>
      <c r="E240" s="114"/>
      <c r="F240" s="114"/>
      <c r="G240" s="114"/>
      <c r="H240" s="114"/>
      <c r="I240" s="114"/>
      <c r="J240" s="114"/>
      <c r="K240" s="114"/>
      <c r="L240" s="114"/>
      <c r="M240" s="110"/>
      <c r="N240" s="110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  <c r="AA240" s="97"/>
      <c r="AB240" s="97"/>
      <c r="AC240" s="97"/>
      <c r="AD240" s="97"/>
      <c r="AE240" s="97"/>
      <c r="AF240" s="97"/>
      <c r="AG240" s="97"/>
      <c r="AH240" s="97"/>
      <c r="AI240" s="97"/>
      <c r="AJ240" s="97"/>
      <c r="AK240" s="97"/>
      <c r="AL240" s="97"/>
      <c r="AM240" s="97"/>
      <c r="AN240" s="97"/>
      <c r="AO240" s="97"/>
      <c r="AP240" s="97"/>
      <c r="AQ240" s="97"/>
      <c r="AR240" s="97"/>
      <c r="AS240" s="97"/>
      <c r="AT240" s="97"/>
      <c r="AU240" s="97"/>
      <c r="AV240" s="97"/>
      <c r="AW240" s="97"/>
      <c r="AX240" s="97"/>
      <c r="AY240" s="97"/>
      <c r="AZ240" s="97"/>
      <c r="BA240" s="97"/>
      <c r="BB240" s="97"/>
      <c r="BC240" s="97"/>
      <c r="BD240" s="97"/>
      <c r="BE240" s="97"/>
      <c r="BF240" s="97"/>
      <c r="BG240" s="97"/>
      <c r="BH240" s="97"/>
      <c r="BI240" s="97"/>
      <c r="BJ240" s="97"/>
      <c r="BK240" s="97"/>
      <c r="BL240" s="97"/>
      <c r="BM240" s="97"/>
      <c r="BN240" s="97"/>
      <c r="BO240" s="97"/>
      <c r="BP240" s="97"/>
      <c r="BQ240" s="97"/>
      <c r="BR240" s="97"/>
      <c r="BS240" s="97"/>
      <c r="BT240" s="97"/>
      <c r="BU240" s="97"/>
      <c r="BV240" s="97"/>
      <c r="BW240" s="97"/>
      <c r="BX240" s="97"/>
      <c r="BY240" s="97"/>
      <c r="BZ240" s="97"/>
      <c r="CA240" s="97"/>
      <c r="CB240" s="97"/>
      <c r="CC240" s="97"/>
      <c r="CD240" s="110"/>
      <c r="CE240" s="182"/>
    </row>
    <row r="241" spans="1:83" s="23" customFormat="1" ht="15" customHeight="1" x14ac:dyDescent="0.3">
      <c r="A241" s="111"/>
      <c r="B241" s="110"/>
      <c r="C241" s="110"/>
      <c r="D241" s="133" t="s">
        <v>16</v>
      </c>
      <c r="E241" s="123"/>
      <c r="F241" s="123"/>
      <c r="G241" s="123"/>
      <c r="H241" s="123"/>
      <c r="I241" s="124"/>
      <c r="J241" s="124"/>
      <c r="K241" s="124"/>
      <c r="L241" s="124"/>
      <c r="M241" s="125"/>
      <c r="N241" s="126"/>
      <c r="O241" s="97"/>
      <c r="P241" s="126"/>
      <c r="Q241" s="126"/>
      <c r="R241" s="126"/>
      <c r="S241" s="126"/>
      <c r="T241" s="126"/>
      <c r="U241" s="97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  <c r="AK241" s="126"/>
      <c r="AL241" s="126"/>
      <c r="AM241" s="126"/>
      <c r="AN241" s="126"/>
      <c r="AO241" s="126"/>
      <c r="AP241" s="126"/>
      <c r="AQ241" s="126"/>
      <c r="AR241" s="126"/>
      <c r="AS241" s="126"/>
      <c r="AT241" s="126"/>
      <c r="AU241" s="126"/>
      <c r="AV241" s="126"/>
      <c r="AW241" s="126"/>
      <c r="AX241" s="126"/>
      <c r="AY241" s="126"/>
      <c r="AZ241" s="126"/>
      <c r="BA241" s="126"/>
      <c r="BB241" s="126"/>
      <c r="BC241" s="126"/>
      <c r="BD241" s="126"/>
      <c r="BE241" s="126"/>
      <c r="BF241" s="126"/>
      <c r="BG241" s="126"/>
      <c r="BH241" s="126"/>
      <c r="BI241" s="126"/>
      <c r="BJ241" s="126"/>
      <c r="BK241" s="126"/>
      <c r="BL241" s="126"/>
      <c r="BM241" s="126"/>
      <c r="BN241" s="126"/>
      <c r="BO241" s="126"/>
      <c r="BP241" s="126"/>
      <c r="BQ241" s="126"/>
      <c r="BR241" s="126"/>
      <c r="BS241" s="126"/>
      <c r="BT241" s="126"/>
      <c r="BU241" s="126"/>
      <c r="BV241" s="126"/>
      <c r="BW241" s="126"/>
      <c r="BX241" s="126"/>
      <c r="BY241" s="126"/>
      <c r="BZ241" s="126"/>
      <c r="CA241" s="126"/>
      <c r="CB241" s="126"/>
      <c r="CC241" s="126"/>
      <c r="CD241" s="110"/>
      <c r="CE241" s="111"/>
    </row>
    <row r="242" spans="1:83" s="45" customFormat="1" ht="15" customHeight="1" outlineLevel="1" x14ac:dyDescent="0.3">
      <c r="A242" s="111"/>
      <c r="B242" s="30"/>
      <c r="C242" s="110"/>
      <c r="D242" s="134"/>
      <c r="E242" s="28"/>
      <c r="F242" s="28"/>
      <c r="G242" s="28"/>
      <c r="H242" s="28"/>
      <c r="I242" s="6"/>
      <c r="J242" s="6"/>
      <c r="K242" s="6"/>
      <c r="L242" s="6"/>
      <c r="M242" s="49"/>
      <c r="N242" s="5"/>
      <c r="O242" s="97"/>
      <c r="P242" s="5"/>
      <c r="Q242" s="5"/>
      <c r="R242" s="5"/>
      <c r="S242" s="5"/>
      <c r="T242" s="5"/>
      <c r="U242" s="97"/>
      <c r="V242" s="54"/>
      <c r="W242" s="54"/>
      <c r="X242" s="54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  <c r="BG242" s="29"/>
      <c r="BH242" s="29"/>
      <c r="BI242" s="29"/>
      <c r="BJ242" s="29"/>
      <c r="BK242" s="29"/>
      <c r="BL242" s="29"/>
      <c r="BM242" s="29"/>
      <c r="BN242" s="29"/>
      <c r="BO242" s="29"/>
      <c r="BP242" s="29"/>
      <c r="BQ242" s="29"/>
      <c r="BR242" s="29"/>
      <c r="BS242" s="29"/>
      <c r="BT242" s="29"/>
      <c r="BU242" s="29"/>
      <c r="BV242" s="29"/>
      <c r="BW242" s="29"/>
      <c r="BX242" s="29"/>
      <c r="BY242" s="29"/>
      <c r="BZ242" s="29"/>
      <c r="CA242" s="29"/>
      <c r="CB242" s="29"/>
      <c r="CC242" s="29"/>
      <c r="CD242" s="30"/>
      <c r="CE242" s="111"/>
    </row>
    <row r="243" spans="1:83" s="72" customFormat="1" ht="15" customHeight="1" outlineLevel="1" x14ac:dyDescent="0.3">
      <c r="A243" s="74"/>
      <c r="B243" s="73"/>
      <c r="D243" s="134" t="s">
        <v>129</v>
      </c>
      <c r="E243" s="28"/>
      <c r="F243" s="28"/>
      <c r="G243" s="28"/>
      <c r="H243" s="28"/>
      <c r="I243" s="6" t="str">
        <f>Ввод!$M$12</f>
        <v>руб</v>
      </c>
      <c r="J243" s="6"/>
      <c r="K243" s="6"/>
      <c r="L243" s="6"/>
      <c r="M243" s="49"/>
      <c r="N243" s="225">
        <f ca="1">SUM(P243:T243)</f>
        <v>67967512.113814652</v>
      </c>
      <c r="O243" s="227"/>
      <c r="P243" s="225">
        <f t="shared" ref="P243:T243" ca="1" si="345">SUMIF($V$4:$EK$4,P$4,$V243:$EK243)</f>
        <v>67210103.52269657</v>
      </c>
      <c r="Q243" s="225">
        <f t="shared" ca="1" si="345"/>
        <v>757408.59111808427</v>
      </c>
      <c r="R243" s="225">
        <f t="shared" ca="1" si="345"/>
        <v>0</v>
      </c>
      <c r="S243" s="225">
        <f t="shared" ca="1" si="345"/>
        <v>0</v>
      </c>
      <c r="T243" s="225">
        <f t="shared" ca="1" si="345"/>
        <v>0</v>
      </c>
      <c r="U243" s="227"/>
      <c r="V243" s="225">
        <f ca="1">-MIN(Отчетность!T53+Отчетность!T55+Отчетность!T63+Отчетность!T70+Отчетность!T69,0)</f>
        <v>14595391.81051291</v>
      </c>
      <c r="W243" s="225">
        <f ca="1">-MIN(Отчетность!U53+Отчетность!U55+Отчетность!U63+Отчетность!U70+Отчетность!U69,0)</f>
        <v>2400249.5693271924</v>
      </c>
      <c r="X243" s="225">
        <f ca="1">-MIN(Отчетность!V53+Отчетность!V55+Отчетность!V63+Отчетность!V70+Отчетность!V69,0)</f>
        <v>2400249.5693271924</v>
      </c>
      <c r="Y243" s="225">
        <f ca="1">-MIN(Отчетность!W53+Отчетность!W55+Отчетность!W63+Отчетность!W70+Отчетность!W69,0)</f>
        <v>10539770.880802605</v>
      </c>
      <c r="Z243" s="225">
        <f ca="1">-MIN(Отчетность!X53+Отчетность!X55+Отчетность!X63+Отчетность!X70+Отчетность!X69,0)</f>
        <v>13718951.208671454</v>
      </c>
      <c r="AA243" s="225">
        <f ca="1">-MIN(Отчетность!Y53+Отчетность!Y55+Отчетность!Y63+Отчетность!Y70+Отчетность!Y69,0)</f>
        <v>977227.65151897317</v>
      </c>
      <c r="AB243" s="225">
        <f ca="1">-MIN(Отчетность!Z53+Отчетность!Z55+Отчетность!Z63+Отчетность!Z70+Отчетность!Z69,0)</f>
        <v>8905133.8945012335</v>
      </c>
      <c r="AC243" s="225">
        <f ca="1">-MIN(Отчетность!AA53+Отчетность!AA55+Отчетность!AA63+Отчетность!AA70+Отчетность!AA69,0)</f>
        <v>11100814.222370084</v>
      </c>
      <c r="AD243" s="225">
        <f ca="1">-MIN(Отчетность!AB53+Отчетность!AB55+Отчетность!AB63+Отчетность!AB70+Отчетность!AB69,0)</f>
        <v>931412.58302582265</v>
      </c>
      <c r="AE243" s="225">
        <f ca="1">-MIN(Отчетность!AC53+Отчетность!AC55+Отчетность!AC63+Отчетность!AC70+Отчетность!AC69,0)</f>
        <v>657912.58302582253</v>
      </c>
      <c r="AF243" s="225">
        <f ca="1">-MIN(Отчетность!AD53+Отчетность!AD55+Отчетность!AD63+Отчетность!AD70+Отчетность!AD69,0)</f>
        <v>546194.7748066443</v>
      </c>
      <c r="AG243" s="225">
        <f ca="1">-MIN(Отчетность!AE53+Отчетность!AE55+Отчетность!AE63+Отчетность!AE70+Отчетность!AE69,0)</f>
        <v>436794.77480664453</v>
      </c>
      <c r="AH243" s="225">
        <f ca="1">-MIN(Отчетность!AF53+Отчетность!AF55+Отчетность!AF63+Отчетность!AF70+Отчетность!AF69,0)</f>
        <v>327394.7748066443</v>
      </c>
      <c r="AI243" s="225">
        <f ca="1">-MIN(Отчетность!AG53+Отчетность!AG55+Отчетность!AG63+Отчетность!AG70+Отчетность!AG69,0)</f>
        <v>222847.2420606222</v>
      </c>
      <c r="AJ243" s="225">
        <f ca="1">-MIN(Отчетность!AH53+Отчетность!AH55+Отчетность!AH63+Отчетность!AH70+Отчетность!AH69,0)</f>
        <v>143325.99742569914</v>
      </c>
      <c r="AK243" s="225">
        <f ca="1">-MIN(Отчетность!AI53+Отчетность!AI55+Отчетность!AI63+Отчетность!AI70+Отчетность!AI69,0)</f>
        <v>63840.576825118624</v>
      </c>
      <c r="AL243" s="225">
        <f ca="1">-MIN(Отчетность!AJ53+Отчетность!AJ55+Отчетность!AJ63+Отчетность!AJ70+Отчетность!AJ69,0)</f>
        <v>0</v>
      </c>
      <c r="AM243" s="225">
        <f ca="1">-MIN(Отчетность!AK53+Отчетность!AK55+Отчетность!AK63+Отчетность!AK70+Отчетность!AK69,0)</f>
        <v>0</v>
      </c>
      <c r="AN243" s="225">
        <f ca="1">-MIN(Отчетность!AL53+Отчетность!AL55+Отчетность!AL63+Отчетность!AL70+Отчетность!AL69,0)</f>
        <v>0</v>
      </c>
      <c r="AO243" s="225">
        <f ca="1">-MIN(Отчетность!AM53+Отчетность!AM55+Отчетность!AM63+Отчетность!AM70+Отчетность!AM69,0)</f>
        <v>0</v>
      </c>
      <c r="AP243" s="225">
        <f ca="1">-MIN(Отчетность!AN53+Отчетность!AN55+Отчетность!AN63+Отчетность!AN70+Отчетность!AN69,0)</f>
        <v>0</v>
      </c>
      <c r="AQ243" s="225">
        <f ca="1">-MIN(Отчетность!AO53+Отчетность!AO55+Отчетность!AO63+Отчетность!AO70+Отчетность!AO69,0)</f>
        <v>0</v>
      </c>
      <c r="AR243" s="225">
        <f ca="1">-MIN(Отчетность!AP53+Отчетность!AP55+Отчетность!AP63+Отчетность!AP70+Отчетность!AP69,0)</f>
        <v>0</v>
      </c>
      <c r="AS243" s="225">
        <f ca="1">-MIN(Отчетность!AQ53+Отчетность!AQ55+Отчетность!AQ63+Отчетность!AQ70+Отчетность!AQ69,0)</f>
        <v>0</v>
      </c>
      <c r="AT243" s="225">
        <f ca="1">-MIN(Отчетность!AR53+Отчетность!AR55+Отчетность!AR63+Отчетность!AR70+Отчетность!AR69,0)</f>
        <v>0</v>
      </c>
      <c r="AU243" s="225">
        <f ca="1">-MIN(Отчетность!AS53+Отчетность!AS55+Отчетность!AS63+Отчетность!AS70+Отчетность!AS69,0)</f>
        <v>0</v>
      </c>
      <c r="AV243" s="225">
        <f ca="1">-MIN(Отчетность!AT53+Отчетность!AT55+Отчетность!AT63+Отчетность!AT70+Отчетность!AT69,0)</f>
        <v>0</v>
      </c>
      <c r="AW243" s="225">
        <f ca="1">-MIN(Отчетность!AU53+Отчетность!AU55+Отчетность!AU63+Отчетность!AU70+Отчетность!AU69,0)</f>
        <v>0</v>
      </c>
      <c r="AX243" s="225">
        <f ca="1">-MIN(Отчетность!AV53+Отчетность!AV55+Отчетность!AV63+Отчетность!AV70+Отчетность!AV69,0)</f>
        <v>0</v>
      </c>
      <c r="AY243" s="225">
        <f ca="1">-MIN(Отчетность!AW53+Отчетность!AW55+Отчетность!AW63+Отчетность!AW70+Отчетность!AW69,0)</f>
        <v>0</v>
      </c>
      <c r="AZ243" s="225">
        <f ca="1">-MIN(Отчетность!AX53+Отчетность!AX55+Отчетность!AX63+Отчетность!AX70+Отчетность!AX69,0)</f>
        <v>0</v>
      </c>
      <c r="BA243" s="225">
        <f ca="1">-MIN(Отчетность!AY53+Отчетность!AY55+Отчетность!AY63+Отчетность!AY70+Отчетность!AY69,0)</f>
        <v>0</v>
      </c>
      <c r="BB243" s="225">
        <f ca="1">-MIN(Отчетность!AZ53+Отчетность!AZ55+Отчетность!AZ63+Отчетность!AZ70+Отчетность!AZ69,0)</f>
        <v>0</v>
      </c>
      <c r="BC243" s="225">
        <f ca="1">-MIN(Отчетность!BA53+Отчетность!BA55+Отчетность!BA63+Отчетность!BA70+Отчетность!BA69,0)</f>
        <v>0</v>
      </c>
      <c r="BD243" s="225">
        <f ca="1">-MIN(Отчетность!BB53+Отчетность!BB55+Отчетность!BB63+Отчетность!BB70+Отчетность!BB69,0)</f>
        <v>0</v>
      </c>
      <c r="BE243" s="225">
        <f ca="1">-MIN(Отчетность!BC53+Отчетность!BC55+Отчетность!BC63+Отчетность!BC70+Отчетность!BC69,0)</f>
        <v>0</v>
      </c>
      <c r="BF243" s="225">
        <f ca="1">-MIN(Отчетность!BD53+Отчетность!BD55+Отчетность!BD63+Отчетность!BD70+Отчетность!BD69,0)</f>
        <v>0</v>
      </c>
      <c r="BG243" s="225">
        <f ca="1">-MIN(Отчетность!BE53+Отчетность!BE55+Отчетность!BE63+Отчетность!BE70+Отчетность!BE69,0)</f>
        <v>0</v>
      </c>
      <c r="BH243" s="225">
        <f ca="1">-MIN(Отчетность!BF53+Отчетность!BF55+Отчетность!BF63+Отчетность!BF70+Отчетность!BF69,0)</f>
        <v>0</v>
      </c>
      <c r="BI243" s="225">
        <f ca="1">-MIN(Отчетность!BG53+Отчетность!BG55+Отчетность!BG63+Отчетность!BG70+Отчетность!BG69,0)</f>
        <v>0</v>
      </c>
      <c r="BJ243" s="225">
        <f ca="1">-MIN(Отчетность!BH53+Отчетность!BH55+Отчетность!BH63+Отчетность!BH70+Отчетность!BH69,0)</f>
        <v>0</v>
      </c>
      <c r="BK243" s="225">
        <f ca="1">-MIN(Отчетность!BI53+Отчетность!BI55+Отчетность!BI63+Отчетность!BI70+Отчетность!BI69,0)</f>
        <v>0</v>
      </c>
      <c r="BL243" s="225">
        <f ca="1">-MIN(Отчетность!BJ53+Отчетность!BJ55+Отчетность!BJ63+Отчетность!BJ70+Отчетность!BJ69,0)</f>
        <v>0</v>
      </c>
      <c r="BM243" s="225">
        <f ca="1">-MIN(Отчетность!BK53+Отчетность!BK55+Отчетность!BK63+Отчетность!BK70+Отчетность!BK69,0)</f>
        <v>0</v>
      </c>
      <c r="BN243" s="225">
        <f ca="1">-MIN(Отчетность!BL53+Отчетность!BL55+Отчетность!BL63+Отчетность!BL70+Отчетность!BL69,0)</f>
        <v>0</v>
      </c>
      <c r="BO243" s="225">
        <f ca="1">-MIN(Отчетность!BM53+Отчетность!BM55+Отчетность!BM63+Отчетность!BM70+Отчетность!BM69,0)</f>
        <v>0</v>
      </c>
      <c r="BP243" s="225">
        <f ca="1">-MIN(Отчетность!BN53+Отчетность!BN55+Отчетность!BN63+Отчетность!BN70+Отчетность!BN69,0)</f>
        <v>0</v>
      </c>
      <c r="BQ243" s="225">
        <f ca="1">-MIN(Отчетность!BO53+Отчетность!BO55+Отчетность!BO63+Отчетность!BO70+Отчетность!BO69,0)</f>
        <v>0</v>
      </c>
      <c r="BR243" s="225">
        <f ca="1">-MIN(Отчетность!BP53+Отчетность!BP55+Отчетность!BP63+Отчетность!BP70+Отчетность!BP69,0)</f>
        <v>0</v>
      </c>
      <c r="BS243" s="225">
        <f ca="1">-MIN(Отчетность!BQ53+Отчетность!BQ55+Отчетность!BQ63+Отчетность!BQ70+Отчетность!BQ69,0)</f>
        <v>0</v>
      </c>
      <c r="BT243" s="225">
        <f ca="1">-MIN(Отчетность!BR53+Отчетность!BR55+Отчетность!BR63+Отчетность!BR70+Отчетность!BR69,0)</f>
        <v>0</v>
      </c>
      <c r="BU243" s="225">
        <f ca="1">-MIN(Отчетность!BS53+Отчетность!BS55+Отчетность!BS63+Отчетность!BS70+Отчетность!BS69,0)</f>
        <v>0</v>
      </c>
      <c r="BV243" s="225">
        <f ca="1">-MIN(Отчетность!BT53+Отчетность!BT55+Отчетность!BT63+Отчетность!BT70+Отчетность!BT69,0)</f>
        <v>0</v>
      </c>
      <c r="BW243" s="225">
        <f ca="1">-MIN(Отчетность!BU53+Отчетность!BU55+Отчетность!BU63+Отчетность!BU70+Отчетность!BU69,0)</f>
        <v>0</v>
      </c>
      <c r="BX243" s="225">
        <f ca="1">-MIN(Отчетность!BV53+Отчетность!BV55+Отчетность!BV63+Отчетность!BV70+Отчетность!BV69,0)</f>
        <v>0</v>
      </c>
      <c r="BY243" s="225">
        <f ca="1">-MIN(Отчетность!BW53+Отчетность!BW55+Отчетность!BW63+Отчетность!BW70+Отчетность!BW69,0)</f>
        <v>0</v>
      </c>
      <c r="BZ243" s="225">
        <f ca="1">-MIN(Отчетность!BX53+Отчетность!BX55+Отчетность!BX63+Отчетность!BX70+Отчетность!BX69,0)</f>
        <v>0</v>
      </c>
      <c r="CA243" s="225">
        <f ca="1">-MIN(Отчетность!BY53+Отчетность!BY55+Отчетность!BY63+Отчетность!BY70+Отчетность!BY69,0)</f>
        <v>0</v>
      </c>
      <c r="CB243" s="225">
        <f ca="1">-MIN(Отчетность!BZ53+Отчетность!BZ55+Отчетность!BZ63+Отчетность!BZ70+Отчетность!BZ69,0)</f>
        <v>0</v>
      </c>
      <c r="CC243" s="225">
        <f ca="1">-MIN(Отчетность!CA53+Отчетность!CA55+Отчетность!CA63+Отчетность!CA70+Отчетность!CA69,0)</f>
        <v>0</v>
      </c>
      <c r="CD243" s="73"/>
      <c r="CE243" s="74"/>
    </row>
    <row r="244" spans="1:83" s="45" customFormat="1" ht="15" customHeight="1" outlineLevel="1" x14ac:dyDescent="0.3">
      <c r="A244" s="111"/>
      <c r="B244" s="30"/>
      <c r="C244" s="110"/>
      <c r="D244" s="134"/>
      <c r="E244" s="28"/>
      <c r="F244" s="28"/>
      <c r="G244" s="28"/>
      <c r="H244" s="28"/>
      <c r="I244" s="6"/>
      <c r="J244" s="6"/>
      <c r="K244" s="6"/>
      <c r="L244" s="6"/>
      <c r="M244" s="49"/>
      <c r="N244" s="5"/>
      <c r="O244" s="97"/>
      <c r="P244" s="5"/>
      <c r="Q244" s="5"/>
      <c r="R244" s="5"/>
      <c r="S244" s="5"/>
      <c r="T244" s="5"/>
      <c r="U244" s="97"/>
      <c r="V244" s="54"/>
      <c r="W244" s="54"/>
      <c r="X244" s="54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9"/>
      <c r="BG244" s="29"/>
      <c r="BH244" s="29"/>
      <c r="BI244" s="29"/>
      <c r="BJ244" s="29"/>
      <c r="BK244" s="29"/>
      <c r="BL244" s="29"/>
      <c r="BM244" s="29"/>
      <c r="BN244" s="29"/>
      <c r="BO244" s="29"/>
      <c r="BP244" s="29"/>
      <c r="BQ244" s="29"/>
      <c r="BR244" s="29"/>
      <c r="BS244" s="29"/>
      <c r="BT244" s="29"/>
      <c r="BU244" s="29"/>
      <c r="BV244" s="29"/>
      <c r="BW244" s="29"/>
      <c r="BX244" s="29"/>
      <c r="BY244" s="29"/>
      <c r="BZ244" s="29"/>
      <c r="CA244" s="29"/>
      <c r="CB244" s="29"/>
      <c r="CC244" s="29"/>
      <c r="CD244" s="30"/>
      <c r="CE244" s="111"/>
    </row>
    <row r="245" spans="1:83" s="45" customFormat="1" ht="15" customHeight="1" outlineLevel="1" x14ac:dyDescent="0.3">
      <c r="A245" s="111"/>
      <c r="B245" s="30"/>
      <c r="C245" s="110"/>
      <c r="D245" s="163" t="s">
        <v>58</v>
      </c>
      <c r="E245" s="148"/>
      <c r="F245" s="148"/>
      <c r="G245" s="148"/>
      <c r="H245" s="148"/>
      <c r="I245" s="153"/>
      <c r="J245" s="153"/>
      <c r="K245" s="153"/>
      <c r="L245" s="153"/>
      <c r="M245" s="216"/>
      <c r="N245" s="217"/>
      <c r="O245" s="97"/>
      <c r="P245" s="217"/>
      <c r="Q245" s="217"/>
      <c r="R245" s="217"/>
      <c r="S245" s="217"/>
      <c r="T245" s="217"/>
      <c r="U245" s="97"/>
      <c r="V245" s="218"/>
      <c r="W245" s="218"/>
      <c r="X245" s="218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3"/>
      <c r="AJ245" s="93"/>
      <c r="AK245" s="93"/>
      <c r="AL245" s="93"/>
      <c r="AM245" s="93"/>
      <c r="AN245" s="93"/>
      <c r="AO245" s="93"/>
      <c r="AP245" s="93"/>
      <c r="AQ245" s="93"/>
      <c r="AR245" s="93"/>
      <c r="AS245" s="93"/>
      <c r="AT245" s="93"/>
      <c r="AU245" s="93"/>
      <c r="AV245" s="93"/>
      <c r="AW245" s="93"/>
      <c r="AX245" s="93"/>
      <c r="AY245" s="93"/>
      <c r="AZ245" s="93"/>
      <c r="BA245" s="93"/>
      <c r="BB245" s="93"/>
      <c r="BC245" s="93"/>
      <c r="BD245" s="93"/>
      <c r="BE245" s="93"/>
      <c r="BF245" s="93"/>
      <c r="BG245" s="93"/>
      <c r="BH245" s="93"/>
      <c r="BI245" s="93"/>
      <c r="BJ245" s="93"/>
      <c r="BK245" s="93"/>
      <c r="BL245" s="93"/>
      <c r="BM245" s="93"/>
      <c r="BN245" s="93"/>
      <c r="BO245" s="93"/>
      <c r="BP245" s="93"/>
      <c r="BQ245" s="93"/>
      <c r="BR245" s="93"/>
      <c r="BS245" s="93"/>
      <c r="BT245" s="93"/>
      <c r="BU245" s="93"/>
      <c r="BV245" s="93"/>
      <c r="BW245" s="93"/>
      <c r="BX245" s="93"/>
      <c r="BY245" s="93"/>
      <c r="BZ245" s="93"/>
      <c r="CA245" s="93"/>
      <c r="CB245" s="93"/>
      <c r="CC245" s="93"/>
      <c r="CD245" s="30"/>
      <c r="CE245" s="111"/>
    </row>
    <row r="246" spans="1:83" s="45" customFormat="1" ht="15" customHeight="1" outlineLevel="1" x14ac:dyDescent="0.3">
      <c r="A246" s="111"/>
      <c r="B246" s="30"/>
      <c r="C246" s="110"/>
      <c r="D246" s="134"/>
      <c r="E246" s="28"/>
      <c r="F246" s="28"/>
      <c r="G246" s="28"/>
      <c r="H246" s="28"/>
      <c r="I246" s="6"/>
      <c r="J246" s="6"/>
      <c r="K246" s="6"/>
      <c r="L246" s="6"/>
      <c r="M246" s="49"/>
      <c r="N246" s="5"/>
      <c r="O246" s="97"/>
      <c r="P246" s="5"/>
      <c r="Q246" s="5"/>
      <c r="R246" s="5"/>
      <c r="S246" s="5"/>
      <c r="T246" s="5"/>
      <c r="U246" s="97"/>
      <c r="V246" s="54"/>
      <c r="W246" s="54"/>
      <c r="X246" s="54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9"/>
      <c r="BG246" s="29"/>
      <c r="BH246" s="29"/>
      <c r="BI246" s="29"/>
      <c r="BJ246" s="29"/>
      <c r="BK246" s="29"/>
      <c r="BL246" s="29"/>
      <c r="BM246" s="29"/>
      <c r="BN246" s="29"/>
      <c r="BO246" s="29"/>
      <c r="BP246" s="29"/>
      <c r="BQ246" s="29"/>
      <c r="BR246" s="29"/>
      <c r="BS246" s="29"/>
      <c r="BT246" s="29"/>
      <c r="BU246" s="29"/>
      <c r="BV246" s="29"/>
      <c r="BW246" s="29"/>
      <c r="BX246" s="29"/>
      <c r="BY246" s="29"/>
      <c r="BZ246" s="29"/>
      <c r="CA246" s="29"/>
      <c r="CB246" s="29"/>
      <c r="CC246" s="29"/>
      <c r="CD246" s="30"/>
      <c r="CE246" s="111"/>
    </row>
    <row r="247" spans="1:83" s="45" customFormat="1" ht="15" customHeight="1" outlineLevel="1" x14ac:dyDescent="0.3">
      <c r="A247" s="111"/>
      <c r="B247" s="30"/>
      <c r="C247" s="110"/>
      <c r="D247" t="s">
        <v>117</v>
      </c>
      <c r="E247" s="187"/>
      <c r="F247" s="187"/>
      <c r="G247" s="187"/>
      <c r="H247" s="187"/>
      <c r="I247" s="31" t="str">
        <f>Ввод!$M$12</f>
        <v>руб</v>
      </c>
      <c r="J247" s="40"/>
      <c r="N247" s="225">
        <f ca="1">SUM(P247:T247)</f>
        <v>56967512.113814652</v>
      </c>
      <c r="O247" s="227"/>
      <c r="P247" s="225">
        <f t="shared" ref="P247:T249" ca="1" si="346">SUMIF($V$4:$EK$4,P$4,$V247:$EK247)</f>
        <v>56210103.52269657</v>
      </c>
      <c r="Q247" s="225">
        <f t="shared" ca="1" si="346"/>
        <v>757408.59111808427</v>
      </c>
      <c r="R247" s="225">
        <f t="shared" ca="1" si="346"/>
        <v>0</v>
      </c>
      <c r="S247" s="225">
        <f t="shared" ca="1" si="346"/>
        <v>0</v>
      </c>
      <c r="T247" s="225">
        <f t="shared" ca="1" si="346"/>
        <v>0</v>
      </c>
      <c r="U247" s="97"/>
      <c r="V247" s="95">
        <f ca="1">V243-V254</f>
        <v>13595391.81051291</v>
      </c>
      <c r="W247" s="95">
        <f t="shared" ref="W247:CC247" ca="1" si="347">W243-W254</f>
        <v>2400249.5693271924</v>
      </c>
      <c r="X247" s="95">
        <f t="shared" ca="1" si="347"/>
        <v>2400249.5693271924</v>
      </c>
      <c r="Y247" s="95">
        <f t="shared" ca="1" si="347"/>
        <v>10539770.880802605</v>
      </c>
      <c r="Z247" s="95">
        <f t="shared" ca="1" si="347"/>
        <v>8718951.2086714543</v>
      </c>
      <c r="AA247" s="95">
        <f t="shared" ca="1" si="347"/>
        <v>977227.65151897317</v>
      </c>
      <c r="AB247" s="95">
        <f t="shared" ca="1" si="347"/>
        <v>8905133.8945012335</v>
      </c>
      <c r="AC247" s="95">
        <f t="shared" ca="1" si="347"/>
        <v>11100814.222370084</v>
      </c>
      <c r="AD247" s="95">
        <f t="shared" ca="1" si="347"/>
        <v>931412.58302582265</v>
      </c>
      <c r="AE247" s="95">
        <f t="shared" ca="1" si="347"/>
        <v>-4342087.4169741776</v>
      </c>
      <c r="AF247" s="95">
        <f t="shared" ca="1" si="347"/>
        <v>546194.7748066443</v>
      </c>
      <c r="AG247" s="95">
        <f t="shared" ca="1" si="347"/>
        <v>436794.77480664453</v>
      </c>
      <c r="AH247" s="95">
        <f t="shared" ca="1" si="347"/>
        <v>327394.7748066443</v>
      </c>
      <c r="AI247" s="95">
        <f t="shared" ca="1" si="347"/>
        <v>222847.2420606222</v>
      </c>
      <c r="AJ247" s="95">
        <f t="shared" ca="1" si="347"/>
        <v>143325.99742569914</v>
      </c>
      <c r="AK247" s="95">
        <f t="shared" ca="1" si="347"/>
        <v>63840.576825118624</v>
      </c>
      <c r="AL247" s="95">
        <f t="shared" ca="1" si="347"/>
        <v>0</v>
      </c>
      <c r="AM247" s="95">
        <f t="shared" ca="1" si="347"/>
        <v>0</v>
      </c>
      <c r="AN247" s="95">
        <f t="shared" ca="1" si="347"/>
        <v>0</v>
      </c>
      <c r="AO247" s="95">
        <f t="shared" ca="1" si="347"/>
        <v>0</v>
      </c>
      <c r="AP247" s="95">
        <f t="shared" ca="1" si="347"/>
        <v>0</v>
      </c>
      <c r="AQ247" s="95">
        <f t="shared" ca="1" si="347"/>
        <v>0</v>
      </c>
      <c r="AR247" s="95">
        <f t="shared" ca="1" si="347"/>
        <v>0</v>
      </c>
      <c r="AS247" s="95">
        <f t="shared" ca="1" si="347"/>
        <v>0</v>
      </c>
      <c r="AT247" s="95">
        <f t="shared" ca="1" si="347"/>
        <v>0</v>
      </c>
      <c r="AU247" s="95">
        <f t="shared" ca="1" si="347"/>
        <v>0</v>
      </c>
      <c r="AV247" s="95">
        <f t="shared" ca="1" si="347"/>
        <v>0</v>
      </c>
      <c r="AW247" s="95">
        <f t="shared" ca="1" si="347"/>
        <v>0</v>
      </c>
      <c r="AX247" s="95">
        <f t="shared" ca="1" si="347"/>
        <v>0</v>
      </c>
      <c r="AY247" s="95">
        <f t="shared" ca="1" si="347"/>
        <v>0</v>
      </c>
      <c r="AZ247" s="95">
        <f t="shared" ca="1" si="347"/>
        <v>0</v>
      </c>
      <c r="BA247" s="95">
        <f t="shared" ca="1" si="347"/>
        <v>0</v>
      </c>
      <c r="BB247" s="95">
        <f t="shared" ca="1" si="347"/>
        <v>0</v>
      </c>
      <c r="BC247" s="95">
        <f t="shared" ca="1" si="347"/>
        <v>0</v>
      </c>
      <c r="BD247" s="95">
        <f t="shared" ca="1" si="347"/>
        <v>0</v>
      </c>
      <c r="BE247" s="95">
        <f t="shared" ca="1" si="347"/>
        <v>0</v>
      </c>
      <c r="BF247" s="95">
        <f t="shared" ca="1" si="347"/>
        <v>0</v>
      </c>
      <c r="BG247" s="95">
        <f t="shared" ca="1" si="347"/>
        <v>0</v>
      </c>
      <c r="BH247" s="95">
        <f t="shared" ca="1" si="347"/>
        <v>0</v>
      </c>
      <c r="BI247" s="95">
        <f t="shared" ca="1" si="347"/>
        <v>0</v>
      </c>
      <c r="BJ247" s="95">
        <f t="shared" ca="1" si="347"/>
        <v>0</v>
      </c>
      <c r="BK247" s="95">
        <f t="shared" ca="1" si="347"/>
        <v>0</v>
      </c>
      <c r="BL247" s="95">
        <f t="shared" ca="1" si="347"/>
        <v>0</v>
      </c>
      <c r="BM247" s="95">
        <f t="shared" ca="1" si="347"/>
        <v>0</v>
      </c>
      <c r="BN247" s="95">
        <f t="shared" ca="1" si="347"/>
        <v>0</v>
      </c>
      <c r="BO247" s="95">
        <f t="shared" ca="1" si="347"/>
        <v>0</v>
      </c>
      <c r="BP247" s="95">
        <f t="shared" ca="1" si="347"/>
        <v>0</v>
      </c>
      <c r="BQ247" s="95">
        <f t="shared" ca="1" si="347"/>
        <v>0</v>
      </c>
      <c r="BR247" s="95">
        <f t="shared" ca="1" si="347"/>
        <v>0</v>
      </c>
      <c r="BS247" s="95">
        <f t="shared" ca="1" si="347"/>
        <v>0</v>
      </c>
      <c r="BT247" s="95">
        <f t="shared" ca="1" si="347"/>
        <v>0</v>
      </c>
      <c r="BU247" s="95">
        <f t="shared" ca="1" si="347"/>
        <v>0</v>
      </c>
      <c r="BV247" s="95">
        <f t="shared" ca="1" si="347"/>
        <v>0</v>
      </c>
      <c r="BW247" s="95">
        <f t="shared" ca="1" si="347"/>
        <v>0</v>
      </c>
      <c r="BX247" s="95">
        <f t="shared" ca="1" si="347"/>
        <v>0</v>
      </c>
      <c r="BY247" s="95">
        <f t="shared" ca="1" si="347"/>
        <v>0</v>
      </c>
      <c r="BZ247" s="95">
        <f t="shared" ca="1" si="347"/>
        <v>0</v>
      </c>
      <c r="CA247" s="95">
        <f t="shared" ca="1" si="347"/>
        <v>0</v>
      </c>
      <c r="CB247" s="95">
        <f t="shared" ca="1" si="347"/>
        <v>0</v>
      </c>
      <c r="CC247" s="95">
        <f t="shared" ca="1" si="347"/>
        <v>0</v>
      </c>
      <c r="CD247" s="30"/>
      <c r="CE247" s="111"/>
    </row>
    <row r="248" spans="1:83" s="45" customFormat="1" ht="15" customHeight="1" outlineLevel="1" x14ac:dyDescent="0.3">
      <c r="A248" s="111"/>
      <c r="B248" s="30"/>
      <c r="C248" s="110"/>
      <c r="D248" t="s">
        <v>119</v>
      </c>
      <c r="E248" s="187"/>
      <c r="F248" s="187"/>
      <c r="G248" s="187"/>
      <c r="H248" s="187"/>
      <c r="I248" s="31" t="str">
        <f>Ввод!$M$12</f>
        <v>руб</v>
      </c>
      <c r="J248" s="40"/>
      <c r="N248" s="225">
        <f>SUM(P248:T248)</f>
        <v>-27332824.159631554</v>
      </c>
      <c r="O248" s="227"/>
      <c r="P248" s="225">
        <f t="shared" si="346"/>
        <v>-8877394.1125792488</v>
      </c>
      <c r="Q248" s="225">
        <f t="shared" si="346"/>
        <v>-7457896.9516664082</v>
      </c>
      <c r="R248" s="225">
        <f t="shared" si="346"/>
        <v>-5777366.0046014078</v>
      </c>
      <c r="S248" s="225">
        <f t="shared" si="346"/>
        <v>-3787799.3173196781</v>
      </c>
      <c r="T248" s="225">
        <f t="shared" si="346"/>
        <v>-1432367.7734648113</v>
      </c>
      <c r="U248" s="97"/>
      <c r="V248" s="109">
        <v>-788377.125</v>
      </c>
      <c r="W248" s="109">
        <v>-779952.59870536486</v>
      </c>
      <c r="X248" s="109">
        <v>-771408.72495488904</v>
      </c>
      <c r="Y248" s="109">
        <v>-762743.81299294811</v>
      </c>
      <c r="Z248" s="109">
        <v>-753956.1481115463</v>
      </c>
      <c r="AA248" s="109">
        <v>-745043.99131099135</v>
      </c>
      <c r="AB248" s="109">
        <v>-736005.57895576174</v>
      </c>
      <c r="AC248" s="109">
        <v>-726839.12242549984</v>
      </c>
      <c r="AD248" s="109">
        <v>-717542.80776105914</v>
      </c>
      <c r="AE248" s="109">
        <v>-708114.79530553904</v>
      </c>
      <c r="AF248" s="109">
        <v>-698553.2193402322</v>
      </c>
      <c r="AG248" s="109">
        <v>-688856.18771541689</v>
      </c>
      <c r="AH248" s="109">
        <v>-679021.78147591685</v>
      </c>
      <c r="AI248" s="109">
        <v>-669048.0544813571</v>
      </c>
      <c r="AJ248" s="109">
        <v>-658933.03302104108</v>
      </c>
      <c r="AK248" s="109">
        <v>-648674.7154233706</v>
      </c>
      <c r="AL248" s="109">
        <v>-638271.07165973319</v>
      </c>
      <c r="AM248" s="109">
        <v>-627720.04294277739</v>
      </c>
      <c r="AN248" s="109">
        <v>-617019.54131899832</v>
      </c>
      <c r="AO248" s="109">
        <v>-606167.44925554888</v>
      </c>
      <c r="AP248" s="109">
        <v>-595161.61922120058</v>
      </c>
      <c r="AQ248" s="109">
        <v>-583999.87326136569</v>
      </c>
      <c r="AR248" s="109">
        <v>-572680.00256709976</v>
      </c>
      <c r="AS248" s="109">
        <v>-561199.76703799854</v>
      </c>
      <c r="AT248" s="109">
        <v>-549556.89483890159</v>
      </c>
      <c r="AU248" s="109">
        <v>-537749.08195031737</v>
      </c>
      <c r="AV248" s="109">
        <v>-525773.99171247834</v>
      </c>
      <c r="AW248" s="109">
        <v>-513629.25436293654</v>
      </c>
      <c r="AX248" s="109">
        <v>-501312.46656760952</v>
      </c>
      <c r="AY248" s="109">
        <v>-488821.19094518205</v>
      </c>
      <c r="AZ248" s="109">
        <v>-476152.95558477024</v>
      </c>
      <c r="BA248" s="109">
        <v>-463305.25355675258</v>
      </c>
      <c r="BB248" s="109">
        <v>-450275.54241667135</v>
      </c>
      <c r="BC248" s="109">
        <v>-437061.24370210565</v>
      </c>
      <c r="BD248" s="109">
        <v>-423659.74242241686</v>
      </c>
      <c r="BE248" s="109">
        <v>-410068.38654126594</v>
      </c>
      <c r="BF248" s="109">
        <v>-396284.48645179858</v>
      </c>
      <c r="BG248" s="109">
        <v>-382305.31444439717</v>
      </c>
      <c r="BH248" s="109">
        <v>-368128.10416689096</v>
      </c>
      <c r="BI248" s="109">
        <v>-353750.05007712002</v>
      </c>
      <c r="BJ248" s="109">
        <v>-339168.30688774394</v>
      </c>
      <c r="BK248" s="109">
        <v>-324379.98900318512</v>
      </c>
      <c r="BL248" s="109">
        <v>-309382.16994859499</v>
      </c>
      <c r="BM248" s="109">
        <v>-294171.88179073151</v>
      </c>
      <c r="BN248" s="109">
        <v>-278746.11455063167</v>
      </c>
      <c r="BO248" s="109">
        <v>-263101.81560796377</v>
      </c>
      <c r="BP248" s="109">
        <v>-247235.88909694133</v>
      </c>
      <c r="BQ248" s="109">
        <v>-231145.19529367946</v>
      </c>
      <c r="BR248" s="109">
        <v>-214826.54999487134</v>
      </c>
      <c r="BS248" s="109">
        <v>-198276.72388766345</v>
      </c>
      <c r="BT248" s="109">
        <v>-181492.44191060346</v>
      </c>
      <c r="BU248" s="109">
        <v>-164470.38260553512</v>
      </c>
      <c r="BV248" s="109">
        <v>-147207.17746031165</v>
      </c>
      <c r="BW248" s="109">
        <v>-129699.41024219751</v>
      </c>
      <c r="BX248" s="109">
        <v>-111943.61632182676</v>
      </c>
      <c r="BY248" s="109">
        <v>-93936.281987584065</v>
      </c>
      <c r="BZ248" s="109">
        <v>-75673.84375027295</v>
      </c>
      <c r="CA248" s="109">
        <v>-57152.687637933261</v>
      </c>
      <c r="CB248" s="109">
        <v>-38369.148480668751</v>
      </c>
      <c r="CC248" s="109">
        <v>-19319.509185342999</v>
      </c>
      <c r="CD248" s="30"/>
      <c r="CE248" s="111"/>
    </row>
    <row r="249" spans="1:83" s="45" customFormat="1" ht="15" customHeight="1" outlineLevel="1" x14ac:dyDescent="0.3">
      <c r="A249" s="111"/>
      <c r="B249" s="30"/>
      <c r="C249" s="110"/>
      <c r="D249" t="s">
        <v>135</v>
      </c>
      <c r="E249" s="187"/>
      <c r="F249" s="187"/>
      <c r="G249" s="187"/>
      <c r="H249" s="187"/>
      <c r="I249" s="31" t="str">
        <f>Ввод!$M$12</f>
        <v>руб</v>
      </c>
      <c r="J249" s="40"/>
      <c r="N249" s="225">
        <f>SUM(P249:T249)</f>
        <v>-55650149.999999985</v>
      </c>
      <c r="O249" s="227"/>
      <c r="P249" s="225">
        <f t="shared" si="346"/>
        <v>-7719200.7193470597</v>
      </c>
      <c r="Q249" s="225">
        <f t="shared" si="346"/>
        <v>-9138697.8802599013</v>
      </c>
      <c r="R249" s="225">
        <f t="shared" si="346"/>
        <v>-10819228.827324901</v>
      </c>
      <c r="S249" s="225">
        <f t="shared" si="346"/>
        <v>-12808795.51460663</v>
      </c>
      <c r="T249" s="225">
        <f t="shared" si="346"/>
        <v>-15164227.058461498</v>
      </c>
      <c r="U249" s="97"/>
      <c r="V249" s="362">
        <v>-594672.44432719238</v>
      </c>
      <c r="W249" s="362">
        <v>-603096.97062182752</v>
      </c>
      <c r="X249" s="362">
        <v>-611640.84437230334</v>
      </c>
      <c r="Y249" s="362">
        <v>-620305.75633424427</v>
      </c>
      <c r="Z249" s="362">
        <v>-629093.42121564609</v>
      </c>
      <c r="AA249" s="362">
        <v>-638005.57801620103</v>
      </c>
      <c r="AB249" s="362">
        <v>-647043.99037143064</v>
      </c>
      <c r="AC249" s="362">
        <v>-656210.44690169254</v>
      </c>
      <c r="AD249" s="362">
        <v>-665506.76156613324</v>
      </c>
      <c r="AE249" s="362">
        <v>-674934.77402165334</v>
      </c>
      <c r="AF249" s="362">
        <v>-684496.34998696018</v>
      </c>
      <c r="AG249" s="362">
        <v>-694193.38161177549</v>
      </c>
      <c r="AH249" s="362">
        <v>-704027.78785127553</v>
      </c>
      <c r="AI249" s="362">
        <v>-714001.51484583528</v>
      </c>
      <c r="AJ249" s="362">
        <v>-724116.53630615131</v>
      </c>
      <c r="AK249" s="362">
        <v>-734374.85390382179</v>
      </c>
      <c r="AL249" s="362">
        <v>-744778.49766745919</v>
      </c>
      <c r="AM249" s="362">
        <v>-755329.52638441499</v>
      </c>
      <c r="AN249" s="362">
        <v>-766030.02800819406</v>
      </c>
      <c r="AO249" s="362">
        <v>-776882.1200716435</v>
      </c>
      <c r="AP249" s="362">
        <v>-787887.9501059918</v>
      </c>
      <c r="AQ249" s="362">
        <v>-799049.69606582669</v>
      </c>
      <c r="AR249" s="362">
        <v>-810369.56676009262</v>
      </c>
      <c r="AS249" s="362">
        <v>-821849.80228919385</v>
      </c>
      <c r="AT249" s="362">
        <v>-833492.6744882908</v>
      </c>
      <c r="AU249" s="362">
        <v>-845300.48737687501</v>
      </c>
      <c r="AV249" s="362">
        <v>-857275.57761471404</v>
      </c>
      <c r="AW249" s="362">
        <v>-869420.31496425578</v>
      </c>
      <c r="AX249" s="362">
        <v>-881737.10275958292</v>
      </c>
      <c r="AY249" s="362">
        <v>-894228.37838201039</v>
      </c>
      <c r="AZ249" s="362">
        <v>-906896.61374242208</v>
      </c>
      <c r="BA249" s="362">
        <v>-919744.3157704398</v>
      </c>
      <c r="BB249" s="362">
        <v>-932774.02691052109</v>
      </c>
      <c r="BC249" s="362">
        <v>-945988.32562508667</v>
      </c>
      <c r="BD249" s="362">
        <v>-959389.82690477557</v>
      </c>
      <c r="BE249" s="362">
        <v>-972981.18278592639</v>
      </c>
      <c r="BF249" s="362">
        <v>-986765.0828753938</v>
      </c>
      <c r="BG249" s="362">
        <v>-1000744.2548827953</v>
      </c>
      <c r="BH249" s="362">
        <v>-1014921.4651603014</v>
      </c>
      <c r="BI249" s="362">
        <v>-1029299.5192500723</v>
      </c>
      <c r="BJ249" s="362">
        <v>-1043881.2624394484</v>
      </c>
      <c r="BK249" s="362">
        <v>-1058669.5803240072</v>
      </c>
      <c r="BL249" s="362">
        <v>-1073667.3993785973</v>
      </c>
      <c r="BM249" s="362">
        <v>-1088877.6875364608</v>
      </c>
      <c r="BN249" s="362">
        <v>-1104303.4547765607</v>
      </c>
      <c r="BO249" s="362">
        <v>-1119947.7537192286</v>
      </c>
      <c r="BP249" s="362">
        <v>-1135813.680230251</v>
      </c>
      <c r="BQ249" s="362">
        <v>-1151904.374033513</v>
      </c>
      <c r="BR249" s="362">
        <v>-1168223.0193323211</v>
      </c>
      <c r="BS249" s="362">
        <v>-1184772.845439529</v>
      </c>
      <c r="BT249" s="362">
        <v>-1201557.1274165888</v>
      </c>
      <c r="BU249" s="362">
        <v>-1218579.1867216572</v>
      </c>
      <c r="BV249" s="362">
        <v>-1235842.3918668807</v>
      </c>
      <c r="BW249" s="362">
        <v>-1253350.1590849948</v>
      </c>
      <c r="BX249" s="362">
        <v>-1271105.9530053656</v>
      </c>
      <c r="BY249" s="362">
        <v>-1289113.2873396084</v>
      </c>
      <c r="BZ249" s="362">
        <v>-1307375.7255769195</v>
      </c>
      <c r="CA249" s="362">
        <v>-1325896.8816892591</v>
      </c>
      <c r="CB249" s="362">
        <v>-1344680.4208465237</v>
      </c>
      <c r="CC249" s="362">
        <v>-1363730.0601418493</v>
      </c>
      <c r="CD249" s="30"/>
      <c r="CE249" s="111"/>
    </row>
    <row r="250" spans="1:83" s="45" customFormat="1" ht="15" customHeight="1" outlineLevel="1" x14ac:dyDescent="0.3">
      <c r="A250" s="111"/>
      <c r="B250" s="30"/>
      <c r="C250" s="110"/>
      <c r="D250" t="s">
        <v>136</v>
      </c>
      <c r="E250" s="187"/>
      <c r="F250" s="187"/>
      <c r="G250" s="187"/>
      <c r="H250" s="187"/>
      <c r="I250" s="31" t="str">
        <f>Ввод!$M$12</f>
        <v>руб</v>
      </c>
      <c r="J250" s="40"/>
      <c r="N250" s="191"/>
      <c r="O250" s="253"/>
      <c r="P250" s="254"/>
      <c r="Q250" s="254"/>
      <c r="R250" s="254"/>
      <c r="S250" s="254"/>
      <c r="T250" s="254"/>
      <c r="U250" s="97"/>
      <c r="V250" s="255">
        <f ca="1">U250+(V247+V249)</f>
        <v>13000719.366185717</v>
      </c>
      <c r="W250" s="255">
        <f t="shared" ref="W250:CC250" ca="1" si="348">V250+(W247+W249)</f>
        <v>14797871.964891082</v>
      </c>
      <c r="X250" s="255">
        <f t="shared" ca="1" si="348"/>
        <v>16586480.689845972</v>
      </c>
      <c r="Y250" s="255">
        <f t="shared" ca="1" si="348"/>
        <v>26505945.814314332</v>
      </c>
      <c r="Z250" s="255">
        <f t="shared" ca="1" si="348"/>
        <v>34595803.60177014</v>
      </c>
      <c r="AA250" s="255">
        <f t="shared" ca="1" si="348"/>
        <v>34935025.675272912</v>
      </c>
      <c r="AB250" s="255">
        <f t="shared" ca="1" si="348"/>
        <v>43193115.579402715</v>
      </c>
      <c r="AC250" s="255">
        <f t="shared" ca="1" si="348"/>
        <v>53637719.354871109</v>
      </c>
      <c r="AD250" s="255">
        <f t="shared" ca="1" si="348"/>
        <v>53903625.176330797</v>
      </c>
      <c r="AE250" s="255">
        <f t="shared" ca="1" si="348"/>
        <v>48886602.985334963</v>
      </c>
      <c r="AF250" s="255">
        <f t="shared" ca="1" si="348"/>
        <v>48748301.410154648</v>
      </c>
      <c r="AG250" s="255">
        <f t="shared" ca="1" si="348"/>
        <v>48490902.803349517</v>
      </c>
      <c r="AH250" s="255">
        <f t="shared" ca="1" si="348"/>
        <v>48114269.790304884</v>
      </c>
      <c r="AI250" s="255">
        <f t="shared" ca="1" si="348"/>
        <v>47623115.517519668</v>
      </c>
      <c r="AJ250" s="255">
        <f t="shared" ca="1" si="348"/>
        <v>47042324.978639215</v>
      </c>
      <c r="AK250" s="255">
        <f t="shared" ca="1" si="348"/>
        <v>46371790.701560512</v>
      </c>
      <c r="AL250" s="255">
        <f t="shared" ca="1" si="348"/>
        <v>45627012.203893051</v>
      </c>
      <c r="AM250" s="255">
        <f t="shared" ca="1" si="348"/>
        <v>44871682.677508637</v>
      </c>
      <c r="AN250" s="255">
        <f t="shared" ca="1" si="348"/>
        <v>44105652.649500445</v>
      </c>
      <c r="AO250" s="255">
        <f t="shared" ca="1" si="348"/>
        <v>43328770.529428802</v>
      </c>
      <c r="AP250" s="255">
        <f t="shared" ca="1" si="348"/>
        <v>42540882.579322807</v>
      </c>
      <c r="AQ250" s="255">
        <f t="shared" ca="1" si="348"/>
        <v>41741832.883256979</v>
      </c>
      <c r="AR250" s="255">
        <f t="shared" ca="1" si="348"/>
        <v>40931463.316496886</v>
      </c>
      <c r="AS250" s="255">
        <f t="shared" ca="1" si="348"/>
        <v>40109613.514207691</v>
      </c>
      <c r="AT250" s="255">
        <f t="shared" ca="1" si="348"/>
        <v>39276120.8397194</v>
      </c>
      <c r="AU250" s="255">
        <f t="shared" ca="1" si="348"/>
        <v>38430820.352342524</v>
      </c>
      <c r="AV250" s="255">
        <f t="shared" ca="1" si="348"/>
        <v>37573544.774727806</v>
      </c>
      <c r="AW250" s="255">
        <f t="shared" ca="1" si="348"/>
        <v>36704124.459763549</v>
      </c>
      <c r="AX250" s="255">
        <f t="shared" ca="1" si="348"/>
        <v>35822387.357003964</v>
      </c>
      <c r="AY250" s="255">
        <f t="shared" ca="1" si="348"/>
        <v>34928158.978621952</v>
      </c>
      <c r="AZ250" s="255">
        <f t="shared" ca="1" si="348"/>
        <v>34021262.364879534</v>
      </c>
      <c r="BA250" s="255">
        <f t="shared" ca="1" si="348"/>
        <v>33101518.049109094</v>
      </c>
      <c r="BB250" s="255">
        <f t="shared" ca="1" si="348"/>
        <v>32168744.022198573</v>
      </c>
      <c r="BC250" s="255">
        <f t="shared" ca="1" si="348"/>
        <v>31222755.696573485</v>
      </c>
      <c r="BD250" s="255">
        <f t="shared" ca="1" si="348"/>
        <v>30263365.869668707</v>
      </c>
      <c r="BE250" s="255">
        <f t="shared" ca="1" si="348"/>
        <v>29290384.686882779</v>
      </c>
      <c r="BF250" s="255">
        <f t="shared" ca="1" si="348"/>
        <v>28303619.604007386</v>
      </c>
      <c r="BG250" s="255">
        <f t="shared" ca="1" si="348"/>
        <v>27302875.349124592</v>
      </c>
      <c r="BH250" s="255">
        <f t="shared" ca="1" si="348"/>
        <v>26287953.883964289</v>
      </c>
      <c r="BI250" s="255">
        <f t="shared" ca="1" si="348"/>
        <v>25258654.364714216</v>
      </c>
      <c r="BJ250" s="255">
        <f t="shared" ca="1" si="348"/>
        <v>24214773.102274768</v>
      </c>
      <c r="BK250" s="255">
        <f t="shared" ca="1" si="348"/>
        <v>23156103.521950759</v>
      </c>
      <c r="BL250" s="255">
        <f t="shared" ca="1" si="348"/>
        <v>22082436.122572161</v>
      </c>
      <c r="BM250" s="255">
        <f t="shared" ca="1" si="348"/>
        <v>20993558.435035702</v>
      </c>
      <c r="BN250" s="255">
        <f t="shared" ca="1" si="348"/>
        <v>19889254.980259143</v>
      </c>
      <c r="BO250" s="255">
        <f t="shared" ca="1" si="348"/>
        <v>18769307.226539914</v>
      </c>
      <c r="BP250" s="255">
        <f t="shared" ca="1" si="348"/>
        <v>17633493.546309661</v>
      </c>
      <c r="BQ250" s="255">
        <f t="shared" ca="1" si="348"/>
        <v>16481589.172276149</v>
      </c>
      <c r="BR250" s="255">
        <f t="shared" ca="1" si="348"/>
        <v>15313366.152943827</v>
      </c>
      <c r="BS250" s="255">
        <f t="shared" ca="1" si="348"/>
        <v>14128593.307504298</v>
      </c>
      <c r="BT250" s="255">
        <f t="shared" ca="1" si="348"/>
        <v>12927036.18008771</v>
      </c>
      <c r="BU250" s="255">
        <f t="shared" ca="1" si="348"/>
        <v>11708456.993366053</v>
      </c>
      <c r="BV250" s="255">
        <f t="shared" ca="1" si="348"/>
        <v>10472614.601499172</v>
      </c>
      <c r="BW250" s="255">
        <f t="shared" ca="1" si="348"/>
        <v>9219264.4424141776</v>
      </c>
      <c r="BX250" s="255">
        <f t="shared" ca="1" si="348"/>
        <v>7948158.4894088116</v>
      </c>
      <c r="BY250" s="255">
        <f t="shared" ca="1" si="348"/>
        <v>6659045.2020692034</v>
      </c>
      <c r="BZ250" s="255">
        <f t="shared" ca="1" si="348"/>
        <v>5351669.4764922839</v>
      </c>
      <c r="CA250" s="255">
        <f t="shared" ca="1" si="348"/>
        <v>4025772.594803025</v>
      </c>
      <c r="CB250" s="255">
        <f t="shared" ca="1" si="348"/>
        <v>2681092.1739565013</v>
      </c>
      <c r="CC250" s="255">
        <f t="shared" ca="1" si="348"/>
        <v>1317362.113814652</v>
      </c>
      <c r="CD250" s="30"/>
      <c r="CE250" s="111"/>
    </row>
    <row r="251" spans="1:83" s="45" customFormat="1" ht="15" customHeight="1" outlineLevel="1" x14ac:dyDescent="0.3">
      <c r="A251" s="111"/>
      <c r="B251" s="30"/>
      <c r="C251" s="110"/>
      <c r="D251" s="134"/>
      <c r="E251" s="28"/>
      <c r="F251" s="28"/>
      <c r="G251" s="28"/>
      <c r="H251" s="28"/>
      <c r="I251" s="6"/>
      <c r="J251" s="6"/>
      <c r="K251" s="6"/>
      <c r="L251" s="6"/>
      <c r="M251" s="49"/>
      <c r="N251" s="5"/>
      <c r="O251" s="97"/>
      <c r="P251" s="5"/>
      <c r="Q251" s="5"/>
      <c r="R251" s="5"/>
      <c r="S251" s="5"/>
      <c r="T251" s="5"/>
      <c r="U251" s="97"/>
      <c r="V251" s="54"/>
      <c r="W251" s="54"/>
      <c r="X251" s="54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9"/>
      <c r="BG251" s="29"/>
      <c r="BH251" s="29"/>
      <c r="BI251" s="29"/>
      <c r="BJ251" s="29"/>
      <c r="BK251" s="29"/>
      <c r="BL251" s="29"/>
      <c r="BM251" s="29"/>
      <c r="BN251" s="29"/>
      <c r="BO251" s="29"/>
      <c r="BP251" s="29"/>
      <c r="BQ251" s="29"/>
      <c r="BR251" s="29"/>
      <c r="BS251" s="29"/>
      <c r="BT251" s="29"/>
      <c r="BU251" s="29"/>
      <c r="BV251" s="29"/>
      <c r="BW251" s="29"/>
      <c r="BX251" s="29"/>
      <c r="BY251" s="29"/>
      <c r="BZ251" s="29"/>
      <c r="CA251" s="29"/>
      <c r="CB251" s="29"/>
      <c r="CC251" s="29"/>
      <c r="CD251" s="30"/>
      <c r="CE251" s="111"/>
    </row>
    <row r="252" spans="1:83" s="45" customFormat="1" ht="15" customHeight="1" outlineLevel="1" x14ac:dyDescent="0.3">
      <c r="A252" s="111"/>
      <c r="B252" s="30"/>
      <c r="C252" s="110"/>
      <c r="D252" s="163" t="s">
        <v>90</v>
      </c>
      <c r="E252" s="148"/>
      <c r="F252" s="148"/>
      <c r="G252" s="148"/>
      <c r="H252" s="148"/>
      <c r="I252" s="153"/>
      <c r="J252" s="153"/>
      <c r="K252" s="153"/>
      <c r="L252" s="153"/>
      <c r="M252" s="216"/>
      <c r="N252" s="217"/>
      <c r="O252" s="97"/>
      <c r="P252" s="217"/>
      <c r="Q252" s="217"/>
      <c r="R252" s="217"/>
      <c r="S252" s="217"/>
      <c r="T252" s="217"/>
      <c r="U252" s="97"/>
      <c r="V252" s="218"/>
      <c r="W252" s="218"/>
      <c r="X252" s="218"/>
      <c r="Y252" s="93"/>
      <c r="Z252" s="93"/>
      <c r="AA252" s="93"/>
      <c r="AB252" s="93"/>
      <c r="AC252" s="93"/>
      <c r="AD252" s="93"/>
      <c r="AE252" s="93"/>
      <c r="AF252" s="93"/>
      <c r="AG252" s="93"/>
      <c r="AH252" s="93"/>
      <c r="AI252" s="93"/>
      <c r="AJ252" s="93"/>
      <c r="AK252" s="93"/>
      <c r="AL252" s="93"/>
      <c r="AM252" s="93"/>
      <c r="AN252" s="93"/>
      <c r="AO252" s="93"/>
      <c r="AP252" s="93"/>
      <c r="AQ252" s="93"/>
      <c r="AR252" s="93"/>
      <c r="AS252" s="93"/>
      <c r="AT252" s="93"/>
      <c r="AU252" s="93"/>
      <c r="AV252" s="93"/>
      <c r="AW252" s="93"/>
      <c r="AX252" s="93"/>
      <c r="AY252" s="93"/>
      <c r="AZ252" s="93"/>
      <c r="BA252" s="93"/>
      <c r="BB252" s="93"/>
      <c r="BC252" s="93"/>
      <c r="BD252" s="93"/>
      <c r="BE252" s="93"/>
      <c r="BF252" s="93"/>
      <c r="BG252" s="93"/>
      <c r="BH252" s="93"/>
      <c r="BI252" s="93"/>
      <c r="BJ252" s="93"/>
      <c r="BK252" s="93"/>
      <c r="BL252" s="93"/>
      <c r="BM252" s="93"/>
      <c r="BN252" s="93"/>
      <c r="BO252" s="93"/>
      <c r="BP252" s="93"/>
      <c r="BQ252" s="93"/>
      <c r="BR252" s="93"/>
      <c r="BS252" s="93"/>
      <c r="BT252" s="93"/>
      <c r="BU252" s="93"/>
      <c r="BV252" s="93"/>
      <c r="BW252" s="93"/>
      <c r="BX252" s="93"/>
      <c r="BY252" s="93"/>
      <c r="BZ252" s="93"/>
      <c r="CA252" s="93"/>
      <c r="CB252" s="93"/>
      <c r="CC252" s="93"/>
      <c r="CD252" s="30"/>
      <c r="CE252" s="111"/>
    </row>
    <row r="253" spans="1:83" s="45" customFormat="1" ht="15" customHeight="1" outlineLevel="1" x14ac:dyDescent="0.3">
      <c r="A253" s="111"/>
      <c r="B253" s="30"/>
      <c r="C253" s="110"/>
      <c r="D253" s="134"/>
      <c r="E253" s="28"/>
      <c r="F253" s="28"/>
      <c r="G253" s="28"/>
      <c r="H253" s="28"/>
      <c r="I253" s="6"/>
      <c r="J253" s="6"/>
      <c r="K253" s="6"/>
      <c r="L253" s="6"/>
      <c r="M253" s="49"/>
      <c r="N253" s="159"/>
      <c r="O253" s="158"/>
      <c r="P253" s="159"/>
      <c r="Q253" s="159"/>
      <c r="R253" s="159"/>
      <c r="S253" s="159"/>
      <c r="T253" s="159"/>
      <c r="U253" s="158"/>
      <c r="V253" s="173"/>
      <c r="W253" s="173"/>
      <c r="X253" s="173"/>
      <c r="Y253" s="173"/>
      <c r="Z253" s="173"/>
      <c r="AA253" s="173"/>
      <c r="AB253" s="173"/>
      <c r="AC253" s="173"/>
      <c r="AD253" s="173"/>
      <c r="AE253" s="173"/>
      <c r="AF253" s="173"/>
      <c r="AG253" s="173"/>
      <c r="AH253" s="173"/>
      <c r="AI253" s="173"/>
      <c r="AJ253" s="173"/>
      <c r="AK253" s="173"/>
      <c r="AL253" s="173"/>
      <c r="AM253" s="173"/>
      <c r="AN253" s="173"/>
      <c r="AO253" s="173"/>
      <c r="AP253" s="173"/>
      <c r="AQ253" s="173"/>
      <c r="AR253" s="173"/>
      <c r="AS253" s="173"/>
      <c r="AT253" s="173"/>
      <c r="AU253" s="173"/>
      <c r="AV253" s="173"/>
      <c r="AW253" s="173"/>
      <c r="AX253" s="173"/>
      <c r="AY253" s="173"/>
      <c r="AZ253" s="173"/>
      <c r="BA253" s="173"/>
      <c r="BB253" s="173"/>
      <c r="BC253" s="173"/>
      <c r="BD253" s="173"/>
      <c r="BE253" s="173"/>
      <c r="BF253" s="173"/>
      <c r="BG253" s="173"/>
      <c r="BH253" s="173"/>
      <c r="BI253" s="173"/>
      <c r="BJ253" s="173"/>
      <c r="BK253" s="173"/>
      <c r="BL253" s="173"/>
      <c r="BM253" s="173"/>
      <c r="BN253" s="173"/>
      <c r="BO253" s="173"/>
      <c r="BP253" s="173"/>
      <c r="BQ253" s="173"/>
      <c r="BR253" s="173"/>
      <c r="BS253" s="173"/>
      <c r="BT253" s="173"/>
      <c r="BU253" s="173"/>
      <c r="BV253" s="173"/>
      <c r="BW253" s="173"/>
      <c r="BX253" s="173"/>
      <c r="BY253" s="173"/>
      <c r="BZ253" s="173"/>
      <c r="CA253" s="173"/>
      <c r="CB253" s="173"/>
      <c r="CC253" s="173"/>
      <c r="CD253" s="30"/>
      <c r="CE253" s="111"/>
    </row>
    <row r="254" spans="1:83" s="45" customFormat="1" ht="15" customHeight="1" outlineLevel="1" x14ac:dyDescent="0.3">
      <c r="A254" s="111"/>
      <c r="B254" s="30"/>
      <c r="C254" s="110"/>
      <c r="D254" s="215" t="s">
        <v>134</v>
      </c>
      <c r="E254" s="28"/>
      <c r="F254" s="28"/>
      <c r="G254" s="28"/>
      <c r="H254" s="28"/>
      <c r="I254" s="31" t="str">
        <f>Ввод!$M$12</f>
        <v>руб</v>
      </c>
      <c r="J254" s="6"/>
      <c r="K254" s="6"/>
      <c r="L254" s="6"/>
      <c r="M254" s="173"/>
      <c r="N254" s="191">
        <f>SUM(P254:T254)</f>
        <v>11000000</v>
      </c>
      <c r="O254" s="252"/>
      <c r="P254" s="191">
        <f t="shared" ref="P254:T254" si="349">SUMIF($V$4:$EK$4,P$4,$V254:$EK254)</f>
        <v>11000000</v>
      </c>
      <c r="Q254" s="191">
        <f t="shared" si="349"/>
        <v>0</v>
      </c>
      <c r="R254" s="191">
        <f t="shared" si="349"/>
        <v>0</v>
      </c>
      <c r="S254" s="191">
        <f t="shared" si="349"/>
        <v>0</v>
      </c>
      <c r="T254" s="191">
        <f t="shared" si="349"/>
        <v>0</v>
      </c>
      <c r="U254" s="139"/>
      <c r="V254" s="95">
        <v>1000000</v>
      </c>
      <c r="W254" s="95">
        <v>0</v>
      </c>
      <c r="X254" s="95">
        <v>0</v>
      </c>
      <c r="Y254" s="95">
        <v>0</v>
      </c>
      <c r="Z254" s="95">
        <v>5000000</v>
      </c>
      <c r="AA254" s="95">
        <v>0</v>
      </c>
      <c r="AB254" s="95">
        <v>0</v>
      </c>
      <c r="AC254" s="95">
        <v>0</v>
      </c>
      <c r="AD254" s="95">
        <v>0</v>
      </c>
      <c r="AE254" s="95">
        <v>5000000</v>
      </c>
      <c r="AF254" s="95">
        <v>0</v>
      </c>
      <c r="AG254" s="95">
        <v>0</v>
      </c>
      <c r="AH254" s="95">
        <v>0</v>
      </c>
      <c r="AI254" s="95">
        <v>0</v>
      </c>
      <c r="AJ254" s="95">
        <v>0</v>
      </c>
      <c r="AK254" s="95">
        <v>0</v>
      </c>
      <c r="AL254" s="95">
        <v>0</v>
      </c>
      <c r="AM254" s="95">
        <v>0</v>
      </c>
      <c r="AN254" s="95">
        <v>0</v>
      </c>
      <c r="AO254" s="95">
        <v>0</v>
      </c>
      <c r="AP254" s="95">
        <v>0</v>
      </c>
      <c r="AQ254" s="95">
        <v>0</v>
      </c>
      <c r="AR254" s="95">
        <v>0</v>
      </c>
      <c r="AS254" s="95">
        <v>0</v>
      </c>
      <c r="AT254" s="95">
        <v>0</v>
      </c>
      <c r="AU254" s="95">
        <v>0</v>
      </c>
      <c r="AV254" s="95">
        <v>0</v>
      </c>
      <c r="AW254" s="95">
        <v>0</v>
      </c>
      <c r="AX254" s="95">
        <v>0</v>
      </c>
      <c r="AY254" s="95">
        <v>0</v>
      </c>
      <c r="AZ254" s="95">
        <v>0</v>
      </c>
      <c r="BA254" s="95">
        <v>0</v>
      </c>
      <c r="BB254" s="95">
        <v>0</v>
      </c>
      <c r="BC254" s="95">
        <v>0</v>
      </c>
      <c r="BD254" s="95">
        <v>0</v>
      </c>
      <c r="BE254" s="95">
        <v>0</v>
      </c>
      <c r="BF254" s="95">
        <v>0</v>
      </c>
      <c r="BG254" s="95">
        <v>0</v>
      </c>
      <c r="BH254" s="95">
        <v>0</v>
      </c>
      <c r="BI254" s="95">
        <v>0</v>
      </c>
      <c r="BJ254" s="95">
        <v>0</v>
      </c>
      <c r="BK254" s="95">
        <v>0</v>
      </c>
      <c r="BL254" s="95">
        <v>0</v>
      </c>
      <c r="BM254" s="95">
        <v>0</v>
      </c>
      <c r="BN254" s="95">
        <v>0</v>
      </c>
      <c r="BO254" s="95">
        <v>0</v>
      </c>
      <c r="BP254" s="95">
        <v>0</v>
      </c>
      <c r="BQ254" s="95">
        <v>0</v>
      </c>
      <c r="BR254" s="95">
        <v>0</v>
      </c>
      <c r="BS254" s="95">
        <v>0</v>
      </c>
      <c r="BT254" s="95">
        <v>0</v>
      </c>
      <c r="BU254" s="95">
        <v>0</v>
      </c>
      <c r="BV254" s="95">
        <v>0</v>
      </c>
      <c r="BW254" s="95">
        <v>0</v>
      </c>
      <c r="BX254" s="95">
        <v>0</v>
      </c>
      <c r="BY254" s="95">
        <v>0</v>
      </c>
      <c r="BZ254" s="95">
        <v>0</v>
      </c>
      <c r="CA254" s="95">
        <v>0</v>
      </c>
      <c r="CB254" s="95">
        <v>0</v>
      </c>
      <c r="CC254" s="95">
        <v>0</v>
      </c>
      <c r="CD254" s="30"/>
      <c r="CE254" s="111"/>
    </row>
    <row r="255" spans="1:83" s="45" customFormat="1" ht="15" customHeight="1" outlineLevel="1" x14ac:dyDescent="0.3">
      <c r="A255" s="111"/>
      <c r="B255" s="30"/>
      <c r="C255" s="110"/>
      <c r="D255" s="215"/>
      <c r="E255" s="28"/>
      <c r="F255" s="28"/>
      <c r="G255" s="28"/>
      <c r="H255" s="28"/>
      <c r="I255" s="31"/>
      <c r="J255" s="6"/>
      <c r="K255" s="6"/>
      <c r="L255" s="6"/>
      <c r="M255" s="173"/>
      <c r="N255" s="225"/>
      <c r="O255" s="139"/>
      <c r="P255" s="225"/>
      <c r="Q255" s="225"/>
      <c r="R255" s="225"/>
      <c r="S255" s="225"/>
      <c r="T255" s="225"/>
      <c r="U255" s="139"/>
      <c r="V255" s="228"/>
      <c r="W255" s="228"/>
      <c r="X255" s="228"/>
      <c r="Y255" s="228"/>
      <c r="Z255" s="228"/>
      <c r="AA255" s="228"/>
      <c r="AB255" s="228"/>
      <c r="AC255" s="228"/>
      <c r="AD255" s="228"/>
      <c r="AE255" s="228"/>
      <c r="AF255" s="228"/>
      <c r="AG255" s="228"/>
      <c r="AH255" s="228"/>
      <c r="AI255" s="228"/>
      <c r="AJ255" s="228"/>
      <c r="AK255" s="228"/>
      <c r="AL255" s="228"/>
      <c r="AM255" s="228"/>
      <c r="AN255" s="228"/>
      <c r="AO255" s="228"/>
      <c r="AP255" s="228"/>
      <c r="AQ255" s="228"/>
      <c r="AR255" s="228"/>
      <c r="AS255" s="228"/>
      <c r="AT255" s="228"/>
      <c r="AU255" s="228"/>
      <c r="AV255" s="228"/>
      <c r="AW255" s="228"/>
      <c r="AX255" s="228"/>
      <c r="AY255" s="228"/>
      <c r="AZ255" s="228"/>
      <c r="BA255" s="228"/>
      <c r="BB255" s="228"/>
      <c r="BC255" s="228"/>
      <c r="BD255" s="228"/>
      <c r="BE255" s="228"/>
      <c r="BF255" s="228"/>
      <c r="BG255" s="228"/>
      <c r="BH255" s="228"/>
      <c r="BI255" s="228"/>
      <c r="BJ255" s="228"/>
      <c r="BK255" s="228"/>
      <c r="BL255" s="228"/>
      <c r="BM255" s="228"/>
      <c r="BN255" s="228"/>
      <c r="BO255" s="228"/>
      <c r="BP255" s="228"/>
      <c r="BQ255" s="228"/>
      <c r="BR255" s="228"/>
      <c r="BS255" s="228"/>
      <c r="BT255" s="228"/>
      <c r="BU255" s="228"/>
      <c r="BV255" s="228"/>
      <c r="BW255" s="228"/>
      <c r="BX255" s="228"/>
      <c r="BY255" s="228"/>
      <c r="BZ255" s="228"/>
      <c r="CA255" s="228"/>
      <c r="CB255" s="228"/>
      <c r="CC255" s="228"/>
      <c r="CD255" s="30"/>
      <c r="CE255" s="111"/>
    </row>
    <row r="256" spans="1:83" s="22" customFormat="1" ht="15" customHeight="1" outlineLevel="1" x14ac:dyDescent="0.3">
      <c r="A256" s="51"/>
      <c r="D256" s="220" t="s">
        <v>16</v>
      </c>
      <c r="E256" s="221"/>
      <c r="F256" s="221"/>
      <c r="G256" s="221"/>
      <c r="H256" s="221"/>
      <c r="I256" s="209" t="str">
        <f>Ввод!$M$12</f>
        <v>руб</v>
      </c>
      <c r="J256" s="209"/>
      <c r="K256" s="209"/>
      <c r="L256" s="209"/>
      <c r="M256" s="210"/>
      <c r="N256" s="230">
        <f ca="1">SUM(P256:T256)</f>
        <v>67967512.113814652</v>
      </c>
      <c r="O256" s="139"/>
      <c r="P256" s="230">
        <f ca="1">SUMIF($V$4:$EK$4,P$4,$V256:$EK256)</f>
        <v>67210103.52269657</v>
      </c>
      <c r="Q256" s="230">
        <f ca="1">SUMIF($V$4:$EK$4,Q$4,$V256:$EK256)</f>
        <v>757408.59111808427</v>
      </c>
      <c r="R256" s="230">
        <f ca="1">SUMIF($V$4:$EK$4,R$4,$V256:$EK256)</f>
        <v>0</v>
      </c>
      <c r="S256" s="230">
        <f ca="1">SUMIF($V$4:$EK$4,S$4,$V256:$EK256)</f>
        <v>0</v>
      </c>
      <c r="T256" s="230">
        <f ca="1">SUMIF($V$4:$EK$4,T$4,$V256:$EK256)</f>
        <v>0</v>
      </c>
      <c r="U256" s="139"/>
      <c r="V256" s="230">
        <f ca="1">V247+V254</f>
        <v>14595391.81051291</v>
      </c>
      <c r="W256" s="230">
        <f t="shared" ref="W256:BA256" ca="1" si="350">W247+W254</f>
        <v>2400249.5693271924</v>
      </c>
      <c r="X256" s="230">
        <f t="shared" ca="1" si="350"/>
        <v>2400249.5693271924</v>
      </c>
      <c r="Y256" s="230">
        <f t="shared" ca="1" si="350"/>
        <v>10539770.880802605</v>
      </c>
      <c r="Z256" s="230">
        <f ca="1">Z247+Z254</f>
        <v>13718951.208671454</v>
      </c>
      <c r="AA256" s="230">
        <f t="shared" ca="1" si="350"/>
        <v>977227.65151897317</v>
      </c>
      <c r="AB256" s="230">
        <f t="shared" ca="1" si="350"/>
        <v>8905133.8945012335</v>
      </c>
      <c r="AC256" s="230">
        <f t="shared" ca="1" si="350"/>
        <v>11100814.222370084</v>
      </c>
      <c r="AD256" s="230">
        <f t="shared" ca="1" si="350"/>
        <v>931412.58302582265</v>
      </c>
      <c r="AE256" s="230">
        <f t="shared" ca="1" si="350"/>
        <v>657912.58302582242</v>
      </c>
      <c r="AF256" s="230">
        <f t="shared" ca="1" si="350"/>
        <v>546194.7748066443</v>
      </c>
      <c r="AG256" s="230">
        <f t="shared" ca="1" si="350"/>
        <v>436794.77480664453</v>
      </c>
      <c r="AH256" s="230">
        <f t="shared" ca="1" si="350"/>
        <v>327394.7748066443</v>
      </c>
      <c r="AI256" s="230">
        <f t="shared" ca="1" si="350"/>
        <v>222847.2420606222</v>
      </c>
      <c r="AJ256" s="230">
        <f t="shared" ca="1" si="350"/>
        <v>143325.99742569914</v>
      </c>
      <c r="AK256" s="230">
        <f t="shared" ca="1" si="350"/>
        <v>63840.576825118624</v>
      </c>
      <c r="AL256" s="230">
        <f t="shared" ca="1" si="350"/>
        <v>0</v>
      </c>
      <c r="AM256" s="230">
        <f t="shared" ca="1" si="350"/>
        <v>0</v>
      </c>
      <c r="AN256" s="230">
        <f t="shared" ca="1" si="350"/>
        <v>0</v>
      </c>
      <c r="AO256" s="230">
        <f t="shared" ca="1" si="350"/>
        <v>0</v>
      </c>
      <c r="AP256" s="230">
        <f t="shared" ca="1" si="350"/>
        <v>0</v>
      </c>
      <c r="AQ256" s="230">
        <f t="shared" ca="1" si="350"/>
        <v>0</v>
      </c>
      <c r="AR256" s="230">
        <f t="shared" ca="1" si="350"/>
        <v>0</v>
      </c>
      <c r="AS256" s="230">
        <f t="shared" ca="1" si="350"/>
        <v>0</v>
      </c>
      <c r="AT256" s="230">
        <f t="shared" ca="1" si="350"/>
        <v>0</v>
      </c>
      <c r="AU256" s="230">
        <f t="shared" ca="1" si="350"/>
        <v>0</v>
      </c>
      <c r="AV256" s="230">
        <f t="shared" ca="1" si="350"/>
        <v>0</v>
      </c>
      <c r="AW256" s="230">
        <f t="shared" ca="1" si="350"/>
        <v>0</v>
      </c>
      <c r="AX256" s="230">
        <f t="shared" ca="1" si="350"/>
        <v>0</v>
      </c>
      <c r="AY256" s="230">
        <f t="shared" ca="1" si="350"/>
        <v>0</v>
      </c>
      <c r="AZ256" s="230">
        <f t="shared" ca="1" si="350"/>
        <v>0</v>
      </c>
      <c r="BA256" s="230">
        <f t="shared" ca="1" si="350"/>
        <v>0</v>
      </c>
      <c r="BB256" s="230">
        <f t="shared" ref="BB256:CC256" ca="1" si="351">BB247+BB254</f>
        <v>0</v>
      </c>
      <c r="BC256" s="230">
        <f t="shared" ca="1" si="351"/>
        <v>0</v>
      </c>
      <c r="BD256" s="230">
        <f t="shared" ca="1" si="351"/>
        <v>0</v>
      </c>
      <c r="BE256" s="230">
        <f t="shared" ca="1" si="351"/>
        <v>0</v>
      </c>
      <c r="BF256" s="230">
        <f t="shared" ca="1" si="351"/>
        <v>0</v>
      </c>
      <c r="BG256" s="230">
        <f t="shared" ca="1" si="351"/>
        <v>0</v>
      </c>
      <c r="BH256" s="230">
        <f t="shared" ca="1" si="351"/>
        <v>0</v>
      </c>
      <c r="BI256" s="230">
        <f t="shared" ca="1" si="351"/>
        <v>0</v>
      </c>
      <c r="BJ256" s="230">
        <f t="shared" ca="1" si="351"/>
        <v>0</v>
      </c>
      <c r="BK256" s="230">
        <f t="shared" ca="1" si="351"/>
        <v>0</v>
      </c>
      <c r="BL256" s="230">
        <f t="shared" ca="1" si="351"/>
        <v>0</v>
      </c>
      <c r="BM256" s="230">
        <f t="shared" ca="1" si="351"/>
        <v>0</v>
      </c>
      <c r="BN256" s="230">
        <f t="shared" ca="1" si="351"/>
        <v>0</v>
      </c>
      <c r="BO256" s="230">
        <f t="shared" ca="1" si="351"/>
        <v>0</v>
      </c>
      <c r="BP256" s="230">
        <f t="shared" ca="1" si="351"/>
        <v>0</v>
      </c>
      <c r="BQ256" s="230">
        <f t="shared" ca="1" si="351"/>
        <v>0</v>
      </c>
      <c r="BR256" s="230">
        <f t="shared" ca="1" si="351"/>
        <v>0</v>
      </c>
      <c r="BS256" s="230">
        <f t="shared" ca="1" si="351"/>
        <v>0</v>
      </c>
      <c r="BT256" s="230">
        <f t="shared" ca="1" si="351"/>
        <v>0</v>
      </c>
      <c r="BU256" s="230">
        <f t="shared" ca="1" si="351"/>
        <v>0</v>
      </c>
      <c r="BV256" s="230">
        <f t="shared" ca="1" si="351"/>
        <v>0</v>
      </c>
      <c r="BW256" s="230">
        <f t="shared" ca="1" si="351"/>
        <v>0</v>
      </c>
      <c r="BX256" s="230">
        <f t="shared" ca="1" si="351"/>
        <v>0</v>
      </c>
      <c r="BY256" s="230">
        <f t="shared" ca="1" si="351"/>
        <v>0</v>
      </c>
      <c r="BZ256" s="230">
        <f t="shared" ca="1" si="351"/>
        <v>0</v>
      </c>
      <c r="CA256" s="230">
        <f t="shared" ca="1" si="351"/>
        <v>0</v>
      </c>
      <c r="CB256" s="230">
        <f t="shared" ca="1" si="351"/>
        <v>0</v>
      </c>
      <c r="CC256" s="230">
        <f t="shared" ca="1" si="351"/>
        <v>0</v>
      </c>
      <c r="CD256" s="175"/>
      <c r="CE256" s="182"/>
    </row>
    <row r="257" spans="1:83" s="45" customFormat="1" ht="15" customHeight="1" x14ac:dyDescent="0.3">
      <c r="A257" s="111"/>
      <c r="B257" s="30"/>
      <c r="C257" s="110"/>
      <c r="D257" s="215"/>
      <c r="E257" s="28"/>
      <c r="F257" s="28"/>
      <c r="G257" s="28"/>
      <c r="H257" s="28"/>
      <c r="I257" s="31"/>
      <c r="J257" s="6"/>
      <c r="K257" s="6"/>
      <c r="L257" s="6"/>
      <c r="M257" s="173"/>
      <c r="N257" s="225"/>
      <c r="O257" s="139"/>
      <c r="P257" s="225"/>
      <c r="Q257" s="225"/>
      <c r="R257" s="225"/>
      <c r="S257" s="225"/>
      <c r="T257" s="225"/>
      <c r="U257" s="139"/>
      <c r="V257" s="191">
        <f t="shared" ref="V257:BA257" ca="1" si="352">V256-V243</f>
        <v>0</v>
      </c>
      <c r="W257" s="191">
        <f t="shared" ca="1" si="352"/>
        <v>0</v>
      </c>
      <c r="X257" s="191">
        <f t="shared" ca="1" si="352"/>
        <v>0</v>
      </c>
      <c r="Y257" s="191">
        <f t="shared" ca="1" si="352"/>
        <v>0</v>
      </c>
      <c r="Z257" s="191">
        <f t="shared" ca="1" si="352"/>
        <v>0</v>
      </c>
      <c r="AA257" s="191">
        <f t="shared" ca="1" si="352"/>
        <v>0</v>
      </c>
      <c r="AB257" s="191">
        <f t="shared" ca="1" si="352"/>
        <v>0</v>
      </c>
      <c r="AC257" s="191">
        <f t="shared" ca="1" si="352"/>
        <v>0</v>
      </c>
      <c r="AD257" s="191">
        <f t="shared" ca="1" si="352"/>
        <v>0</v>
      </c>
      <c r="AE257" s="191">
        <f t="shared" ca="1" si="352"/>
        <v>0</v>
      </c>
      <c r="AF257" s="191">
        <f t="shared" ca="1" si="352"/>
        <v>0</v>
      </c>
      <c r="AG257" s="191">
        <f t="shared" ca="1" si="352"/>
        <v>0</v>
      </c>
      <c r="AH257" s="191">
        <f t="shared" ca="1" si="352"/>
        <v>0</v>
      </c>
      <c r="AI257" s="191">
        <f t="shared" ca="1" si="352"/>
        <v>0</v>
      </c>
      <c r="AJ257" s="191">
        <f t="shared" ca="1" si="352"/>
        <v>0</v>
      </c>
      <c r="AK257" s="191">
        <f t="shared" ca="1" si="352"/>
        <v>0</v>
      </c>
      <c r="AL257" s="191">
        <f t="shared" ca="1" si="352"/>
        <v>0</v>
      </c>
      <c r="AM257" s="191">
        <f t="shared" ca="1" si="352"/>
        <v>0</v>
      </c>
      <c r="AN257" s="191">
        <f t="shared" ca="1" si="352"/>
        <v>0</v>
      </c>
      <c r="AO257" s="191">
        <f t="shared" ca="1" si="352"/>
        <v>0</v>
      </c>
      <c r="AP257" s="191">
        <f t="shared" ca="1" si="352"/>
        <v>0</v>
      </c>
      <c r="AQ257" s="191">
        <f t="shared" ca="1" si="352"/>
        <v>0</v>
      </c>
      <c r="AR257" s="191">
        <f t="shared" ca="1" si="352"/>
        <v>0</v>
      </c>
      <c r="AS257" s="191">
        <f t="shared" ca="1" si="352"/>
        <v>0</v>
      </c>
      <c r="AT257" s="191">
        <f t="shared" ca="1" si="352"/>
        <v>0</v>
      </c>
      <c r="AU257" s="191">
        <f t="shared" ca="1" si="352"/>
        <v>0</v>
      </c>
      <c r="AV257" s="191">
        <f t="shared" ca="1" si="352"/>
        <v>0</v>
      </c>
      <c r="AW257" s="191">
        <f t="shared" ca="1" si="352"/>
        <v>0</v>
      </c>
      <c r="AX257" s="191">
        <f t="shared" ca="1" si="352"/>
        <v>0</v>
      </c>
      <c r="AY257" s="191">
        <f t="shared" ca="1" si="352"/>
        <v>0</v>
      </c>
      <c r="AZ257" s="191">
        <f t="shared" ca="1" si="352"/>
        <v>0</v>
      </c>
      <c r="BA257" s="191">
        <f t="shared" ca="1" si="352"/>
        <v>0</v>
      </c>
      <c r="BB257" s="191">
        <f t="shared" ref="BB257:CC257" ca="1" si="353">BB256-BB243</f>
        <v>0</v>
      </c>
      <c r="BC257" s="191">
        <f t="shared" ca="1" si="353"/>
        <v>0</v>
      </c>
      <c r="BD257" s="191">
        <f t="shared" ca="1" si="353"/>
        <v>0</v>
      </c>
      <c r="BE257" s="191">
        <f t="shared" ca="1" si="353"/>
        <v>0</v>
      </c>
      <c r="BF257" s="191">
        <f t="shared" ca="1" si="353"/>
        <v>0</v>
      </c>
      <c r="BG257" s="191">
        <f t="shared" ca="1" si="353"/>
        <v>0</v>
      </c>
      <c r="BH257" s="191">
        <f t="shared" ca="1" si="353"/>
        <v>0</v>
      </c>
      <c r="BI257" s="191">
        <f t="shared" ca="1" si="353"/>
        <v>0</v>
      </c>
      <c r="BJ257" s="191">
        <f t="shared" ca="1" si="353"/>
        <v>0</v>
      </c>
      <c r="BK257" s="191">
        <f t="shared" ca="1" si="353"/>
        <v>0</v>
      </c>
      <c r="BL257" s="191">
        <f t="shared" ca="1" si="353"/>
        <v>0</v>
      </c>
      <c r="BM257" s="191">
        <f t="shared" ca="1" si="353"/>
        <v>0</v>
      </c>
      <c r="BN257" s="191">
        <f t="shared" ca="1" si="353"/>
        <v>0</v>
      </c>
      <c r="BO257" s="191">
        <f t="shared" ca="1" si="353"/>
        <v>0</v>
      </c>
      <c r="BP257" s="191">
        <f t="shared" ca="1" si="353"/>
        <v>0</v>
      </c>
      <c r="BQ257" s="191">
        <f t="shared" ca="1" si="353"/>
        <v>0</v>
      </c>
      <c r="BR257" s="191">
        <f t="shared" ca="1" si="353"/>
        <v>0</v>
      </c>
      <c r="BS257" s="191">
        <f t="shared" ca="1" si="353"/>
        <v>0</v>
      </c>
      <c r="BT257" s="191">
        <f t="shared" ca="1" si="353"/>
        <v>0</v>
      </c>
      <c r="BU257" s="191">
        <f t="shared" ca="1" si="353"/>
        <v>0</v>
      </c>
      <c r="BV257" s="191">
        <f t="shared" ca="1" si="353"/>
        <v>0</v>
      </c>
      <c r="BW257" s="191">
        <f t="shared" ca="1" si="353"/>
        <v>0</v>
      </c>
      <c r="BX257" s="191">
        <f t="shared" ca="1" si="353"/>
        <v>0</v>
      </c>
      <c r="BY257" s="191">
        <f t="shared" ca="1" si="353"/>
        <v>0</v>
      </c>
      <c r="BZ257" s="191">
        <f t="shared" ca="1" si="353"/>
        <v>0</v>
      </c>
      <c r="CA257" s="191">
        <f t="shared" ca="1" si="353"/>
        <v>0</v>
      </c>
      <c r="CB257" s="191">
        <f t="shared" ca="1" si="353"/>
        <v>0</v>
      </c>
      <c r="CC257" s="191">
        <f t="shared" ca="1" si="353"/>
        <v>0</v>
      </c>
      <c r="CD257" s="30"/>
      <c r="CE257" s="111"/>
    </row>
    <row r="258" spans="1:83" s="23" customFormat="1" ht="15" customHeight="1" x14ac:dyDescent="0.3">
      <c r="A258" s="111"/>
      <c r="B258" s="110"/>
      <c r="C258" s="110"/>
      <c r="D258" s="114"/>
      <c r="E258" s="114"/>
      <c r="F258" s="114"/>
      <c r="G258" s="114"/>
      <c r="H258" s="114"/>
      <c r="I258" s="114"/>
      <c r="J258" s="114"/>
      <c r="K258" s="114"/>
      <c r="L258" s="114"/>
      <c r="M258" s="110"/>
      <c r="N258" s="110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  <c r="AA258" s="97"/>
      <c r="AB258" s="97"/>
      <c r="AC258" s="97"/>
      <c r="AD258" s="97"/>
      <c r="AE258" s="97"/>
      <c r="AF258" s="97"/>
      <c r="AG258" s="97"/>
      <c r="AH258" s="97"/>
      <c r="AI258" s="97"/>
      <c r="AJ258" s="97"/>
      <c r="AK258" s="97"/>
      <c r="AL258" s="97"/>
      <c r="AM258" s="97"/>
      <c r="AN258" s="97"/>
      <c r="AO258" s="97"/>
      <c r="AP258" s="97"/>
      <c r="AQ258" s="97"/>
      <c r="AR258" s="97"/>
      <c r="AS258" s="97"/>
      <c r="AT258" s="97"/>
      <c r="AU258" s="97"/>
      <c r="AV258" s="97"/>
      <c r="AW258" s="97"/>
      <c r="AX258" s="97"/>
      <c r="AY258" s="97"/>
      <c r="AZ258" s="97"/>
      <c r="BA258" s="97"/>
      <c r="BB258" s="97"/>
      <c r="BC258" s="97"/>
      <c r="BD258" s="97"/>
      <c r="BE258" s="97"/>
      <c r="BF258" s="97"/>
      <c r="BG258" s="97"/>
      <c r="BH258" s="97"/>
      <c r="BI258" s="97"/>
      <c r="BJ258" s="97"/>
      <c r="BK258" s="97"/>
      <c r="BL258" s="97"/>
      <c r="BM258" s="97"/>
      <c r="BN258" s="97"/>
      <c r="BO258" s="97"/>
      <c r="BP258" s="97"/>
      <c r="BQ258" s="97"/>
      <c r="BR258" s="97"/>
      <c r="BS258" s="97"/>
      <c r="BT258" s="97"/>
      <c r="BU258" s="97"/>
      <c r="BV258" s="97"/>
      <c r="BW258" s="97"/>
      <c r="BX258" s="97"/>
      <c r="BY258" s="97"/>
      <c r="BZ258" s="97"/>
      <c r="CA258" s="97"/>
      <c r="CB258" s="97"/>
      <c r="CC258" s="97"/>
      <c r="CD258" s="110"/>
      <c r="CE258" s="111"/>
    </row>
    <row r="259" spans="1:83" ht="15" customHeight="1" x14ac:dyDescent="0.3">
      <c r="A259" s="111"/>
      <c r="B259" s="111"/>
      <c r="C259" s="111"/>
      <c r="D259" s="118"/>
      <c r="E259" s="118"/>
      <c r="F259" s="118"/>
      <c r="G259" s="118"/>
      <c r="H259" s="118"/>
      <c r="I259" s="118"/>
      <c r="J259" s="118"/>
      <c r="K259" s="118"/>
      <c r="L259" s="118"/>
      <c r="M259" s="111"/>
      <c r="N259" s="111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  <c r="AD259" s="109"/>
      <c r="AE259" s="109"/>
      <c r="AF259" s="109"/>
      <c r="AG259" s="109"/>
      <c r="AH259" s="109"/>
      <c r="AI259" s="109"/>
      <c r="AJ259" s="109"/>
      <c r="AK259" s="109"/>
      <c r="AL259" s="109"/>
      <c r="AM259" s="109"/>
      <c r="AN259" s="109"/>
      <c r="AO259" s="109"/>
      <c r="AP259" s="109"/>
      <c r="AQ259" s="109"/>
      <c r="AR259" s="109"/>
      <c r="AS259" s="109"/>
      <c r="AT259" s="109"/>
      <c r="AU259" s="109"/>
      <c r="AV259" s="109"/>
      <c r="AW259" s="109"/>
      <c r="AX259" s="109"/>
      <c r="AY259" s="109"/>
      <c r="AZ259" s="109"/>
      <c r="BA259" s="109"/>
      <c r="BB259" s="109"/>
      <c r="BC259" s="109"/>
      <c r="BD259" s="109"/>
      <c r="BE259" s="109"/>
      <c r="BF259" s="109"/>
      <c r="BG259" s="109"/>
      <c r="BH259" s="109"/>
      <c r="BI259" s="109"/>
      <c r="BJ259" s="109"/>
      <c r="BK259" s="109"/>
      <c r="BL259" s="109"/>
      <c r="BM259" s="109"/>
      <c r="BN259" s="109"/>
      <c r="BO259" s="109"/>
      <c r="BP259" s="109"/>
      <c r="BQ259" s="109"/>
      <c r="BR259" s="109"/>
      <c r="BS259" s="109"/>
      <c r="BT259" s="109"/>
      <c r="BU259" s="109"/>
      <c r="BV259" s="109"/>
      <c r="BW259" s="109"/>
      <c r="BX259" s="109"/>
      <c r="BY259" s="109"/>
      <c r="BZ259" s="109"/>
      <c r="CA259" s="109"/>
      <c r="CB259" s="109"/>
      <c r="CC259" s="109"/>
      <c r="CD259" s="111"/>
      <c r="CE259" s="111"/>
    </row>
    <row r="260" spans="1:83" ht="15" customHeight="1" x14ac:dyDescent="0.3">
      <c r="A260" s="111"/>
      <c r="B260" s="111"/>
      <c r="C260" s="111"/>
      <c r="D260" s="118"/>
      <c r="E260" s="118"/>
      <c r="F260" s="118"/>
      <c r="G260" s="118"/>
      <c r="H260" s="118"/>
      <c r="I260" s="118"/>
      <c r="J260" s="118"/>
      <c r="K260" s="118"/>
      <c r="L260" s="118"/>
      <c r="M260" s="111"/>
      <c r="N260" s="111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  <c r="AD260" s="109"/>
      <c r="AE260" s="109"/>
      <c r="AF260" s="109"/>
      <c r="AG260" s="109"/>
      <c r="AH260" s="109"/>
      <c r="AI260" s="109"/>
      <c r="AJ260" s="109"/>
      <c r="AK260" s="109"/>
      <c r="AL260" s="109"/>
      <c r="AM260" s="109"/>
      <c r="AN260" s="109"/>
      <c r="AO260" s="109"/>
      <c r="AP260" s="109"/>
      <c r="AQ260" s="109"/>
      <c r="AR260" s="109"/>
      <c r="AS260" s="109"/>
      <c r="AT260" s="109"/>
      <c r="AU260" s="109"/>
      <c r="AV260" s="109"/>
      <c r="AW260" s="109"/>
      <c r="AX260" s="109"/>
      <c r="AY260" s="109"/>
      <c r="AZ260" s="109"/>
      <c r="BA260" s="109"/>
      <c r="BB260" s="109"/>
      <c r="BC260" s="109"/>
      <c r="BD260" s="109"/>
      <c r="BE260" s="109"/>
      <c r="BF260" s="109"/>
      <c r="BG260" s="109"/>
      <c r="BH260" s="109"/>
      <c r="BI260" s="109"/>
      <c r="BJ260" s="109"/>
      <c r="BK260" s="109"/>
      <c r="BL260" s="109"/>
      <c r="BM260" s="109"/>
      <c r="BN260" s="109"/>
      <c r="BO260" s="109"/>
      <c r="BP260" s="109"/>
      <c r="BQ260" s="109"/>
      <c r="BR260" s="109"/>
      <c r="BS260" s="109"/>
      <c r="BT260" s="109"/>
      <c r="BU260" s="109"/>
      <c r="BV260" s="109"/>
      <c r="BW260" s="109"/>
      <c r="BX260" s="109"/>
      <c r="BY260" s="109"/>
      <c r="BZ260" s="109"/>
      <c r="CA260" s="109"/>
      <c r="CB260" s="109"/>
      <c r="CC260" s="109"/>
      <c r="CD260" s="111"/>
      <c r="CE260" s="111"/>
    </row>
    <row r="261" spans="1:83" ht="15" customHeight="1" x14ac:dyDescent="0.3">
      <c r="A261" s="111"/>
      <c r="B261" s="111"/>
      <c r="C261" s="111"/>
      <c r="D261" s="118"/>
      <c r="E261" s="118"/>
      <c r="F261" s="118"/>
      <c r="G261" s="118"/>
      <c r="H261" s="118"/>
      <c r="I261" s="118"/>
      <c r="J261" s="118"/>
      <c r="K261" s="118"/>
      <c r="L261" s="118"/>
      <c r="M261" s="111"/>
      <c r="N261" s="111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  <c r="AC261" s="109"/>
      <c r="AD261" s="109"/>
      <c r="AE261" s="109"/>
      <c r="AF261" s="109"/>
      <c r="AG261" s="109"/>
      <c r="AH261" s="109"/>
      <c r="AI261" s="109"/>
      <c r="AJ261" s="109"/>
      <c r="AK261" s="109"/>
      <c r="AL261" s="109"/>
      <c r="AM261" s="109"/>
      <c r="AN261" s="109"/>
      <c r="AO261" s="109"/>
      <c r="AP261" s="109"/>
      <c r="AQ261" s="109"/>
      <c r="AR261" s="109"/>
      <c r="AS261" s="109"/>
      <c r="AT261" s="109"/>
      <c r="AU261" s="109"/>
      <c r="AV261" s="109"/>
      <c r="AW261" s="109"/>
      <c r="AX261" s="109"/>
      <c r="AY261" s="109"/>
      <c r="AZ261" s="109"/>
      <c r="BA261" s="109"/>
      <c r="BB261" s="109"/>
      <c r="BC261" s="109"/>
      <c r="BD261" s="109"/>
      <c r="BE261" s="109"/>
      <c r="BF261" s="109"/>
      <c r="BG261" s="109"/>
      <c r="BH261" s="109"/>
      <c r="BI261" s="109"/>
      <c r="BJ261" s="109"/>
      <c r="BK261" s="109"/>
      <c r="BL261" s="109"/>
      <c r="BM261" s="109"/>
      <c r="BN261" s="109"/>
      <c r="BO261" s="109"/>
      <c r="BP261" s="109"/>
      <c r="BQ261" s="109"/>
      <c r="BR261" s="109"/>
      <c r="BS261" s="109"/>
      <c r="BT261" s="109"/>
      <c r="BU261" s="109"/>
      <c r="BV261" s="109"/>
      <c r="BW261" s="109"/>
      <c r="BX261" s="109"/>
      <c r="BY261" s="109"/>
      <c r="BZ261" s="109"/>
      <c r="CA261" s="109"/>
      <c r="CB261" s="109"/>
      <c r="CC261" s="109"/>
      <c r="CD261" s="111"/>
      <c r="CE261" s="111"/>
    </row>
    <row r="262" spans="1:83" ht="15" customHeight="1" x14ac:dyDescent="0.3">
      <c r="A262" s="111"/>
      <c r="B262" s="111"/>
      <c r="C262" s="111"/>
      <c r="D262" s="118"/>
      <c r="E262" s="118"/>
      <c r="F262" s="118"/>
      <c r="G262" s="118"/>
      <c r="H262" s="118"/>
      <c r="I262" s="118"/>
      <c r="J262" s="118"/>
      <c r="K262" s="118"/>
      <c r="L262" s="118"/>
      <c r="M262" s="111"/>
      <c r="N262" s="111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  <c r="AA262" s="109"/>
      <c r="AB262" s="109"/>
      <c r="AC262" s="109"/>
      <c r="AD262" s="109"/>
      <c r="AE262" s="109"/>
      <c r="AF262" s="109"/>
      <c r="AG262" s="109"/>
      <c r="AH262" s="109"/>
      <c r="AI262" s="109"/>
      <c r="AJ262" s="109"/>
      <c r="AK262" s="109"/>
      <c r="AL262" s="109"/>
      <c r="AM262" s="109"/>
      <c r="AN262" s="109"/>
      <c r="AO262" s="109"/>
      <c r="AP262" s="109"/>
      <c r="AQ262" s="109"/>
      <c r="AR262" s="109"/>
      <c r="AS262" s="109"/>
      <c r="AT262" s="109"/>
      <c r="AU262" s="109"/>
      <c r="AV262" s="109"/>
      <c r="AW262" s="109"/>
      <c r="AX262" s="109"/>
      <c r="AY262" s="109"/>
      <c r="AZ262" s="109"/>
      <c r="BA262" s="109"/>
      <c r="BB262" s="109"/>
      <c r="BC262" s="109"/>
      <c r="BD262" s="109"/>
      <c r="BE262" s="109"/>
      <c r="BF262" s="109"/>
      <c r="BG262" s="109"/>
      <c r="BH262" s="109"/>
      <c r="BI262" s="109"/>
      <c r="BJ262" s="109"/>
      <c r="BK262" s="109"/>
      <c r="BL262" s="109"/>
      <c r="BM262" s="109"/>
      <c r="BN262" s="109"/>
      <c r="BO262" s="109"/>
      <c r="BP262" s="109"/>
      <c r="BQ262" s="109"/>
      <c r="BR262" s="109"/>
      <c r="BS262" s="109"/>
      <c r="BT262" s="109"/>
      <c r="BU262" s="109"/>
      <c r="BV262" s="109"/>
      <c r="BW262" s="109"/>
      <c r="BX262" s="109"/>
      <c r="BY262" s="109"/>
      <c r="BZ262" s="109"/>
      <c r="CA262" s="109"/>
      <c r="CB262" s="109"/>
      <c r="CC262" s="109"/>
      <c r="CD262" s="111"/>
      <c r="CE262" s="111"/>
    </row>
    <row r="263" spans="1:83" ht="15" customHeight="1" x14ac:dyDescent="0.3">
      <c r="A263" s="111"/>
      <c r="B263" s="111"/>
      <c r="C263" s="111"/>
      <c r="D263" s="118"/>
      <c r="E263" s="118"/>
      <c r="F263" s="118"/>
      <c r="G263" s="118"/>
      <c r="H263" s="118"/>
      <c r="I263" s="118"/>
      <c r="J263" s="118"/>
      <c r="K263" s="118"/>
      <c r="L263" s="118"/>
      <c r="M263" s="111"/>
      <c r="N263" s="111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  <c r="AB263" s="109"/>
      <c r="AC263" s="109"/>
      <c r="AD263" s="109"/>
      <c r="AE263" s="109"/>
      <c r="AF263" s="109"/>
      <c r="AG263" s="109"/>
      <c r="AH263" s="109"/>
      <c r="AI263" s="109"/>
      <c r="AJ263" s="109"/>
      <c r="AK263" s="109"/>
      <c r="AL263" s="109"/>
      <c r="AM263" s="109"/>
      <c r="AN263" s="109"/>
      <c r="AO263" s="109"/>
      <c r="AP263" s="109"/>
      <c r="AQ263" s="109"/>
      <c r="AR263" s="109"/>
      <c r="AS263" s="109"/>
      <c r="AT263" s="109"/>
      <c r="AU263" s="109"/>
      <c r="AV263" s="109"/>
      <c r="AW263" s="109"/>
      <c r="AX263" s="109"/>
      <c r="AY263" s="109"/>
      <c r="AZ263" s="109"/>
      <c r="BA263" s="109"/>
      <c r="BB263" s="109"/>
      <c r="BC263" s="109"/>
      <c r="BD263" s="109"/>
      <c r="BE263" s="109"/>
      <c r="BF263" s="109"/>
      <c r="BG263" s="109"/>
      <c r="BH263" s="109"/>
      <c r="BI263" s="109"/>
      <c r="BJ263" s="109"/>
      <c r="BK263" s="109"/>
      <c r="BL263" s="109"/>
      <c r="BM263" s="109"/>
      <c r="BN263" s="109"/>
      <c r="BO263" s="109"/>
      <c r="BP263" s="109"/>
      <c r="BQ263" s="109"/>
      <c r="BR263" s="109"/>
      <c r="BS263" s="109"/>
      <c r="BT263" s="109"/>
      <c r="BU263" s="109"/>
      <c r="BV263" s="109"/>
      <c r="BW263" s="109"/>
      <c r="BX263" s="109"/>
      <c r="BY263" s="109"/>
      <c r="BZ263" s="109"/>
      <c r="CA263" s="109"/>
      <c r="CB263" s="109"/>
      <c r="CC263" s="109"/>
      <c r="CD263" s="111"/>
      <c r="CE263" s="111"/>
    </row>
    <row r="264" spans="1:83" ht="15" customHeight="1" x14ac:dyDescent="0.3"/>
    <row r="265" spans="1:83" ht="15" customHeight="1" x14ac:dyDescent="0.3"/>
    <row r="266" spans="1:83" ht="15" customHeight="1" x14ac:dyDescent="0.3"/>
    <row r="267" spans="1:83" ht="15" customHeight="1" x14ac:dyDescent="0.3"/>
    <row r="268" spans="1:83" ht="15" customHeight="1" x14ac:dyDescent="0.3"/>
    <row r="269" spans="1:83" ht="15" customHeight="1" x14ac:dyDescent="0.3"/>
    <row r="270" spans="1:83" ht="15" customHeight="1" x14ac:dyDescent="0.3"/>
    <row r="271" spans="1:83" ht="15" customHeight="1" x14ac:dyDescent="0.3"/>
    <row r="272" spans="1:83" ht="15" customHeight="1" x14ac:dyDescent="0.3"/>
    <row r="273" ht="15" customHeight="1" x14ac:dyDescent="0.3"/>
    <row r="274" ht="15" customHeight="1" x14ac:dyDescent="0.3"/>
    <row r="275" ht="15" customHeight="1" x14ac:dyDescent="0.3"/>
    <row r="276" ht="15" customHeight="1" x14ac:dyDescent="0.3"/>
    <row r="277" ht="15" customHeight="1" x14ac:dyDescent="0.3"/>
    <row r="278" ht="15" customHeight="1" x14ac:dyDescent="0.3"/>
    <row r="279" ht="15" customHeight="1" x14ac:dyDescent="0.3"/>
    <row r="280" ht="15" customHeight="1" x14ac:dyDescent="0.3"/>
    <row r="281" ht="15" customHeight="1" x14ac:dyDescent="0.3"/>
    <row r="282" ht="15" customHeight="1" x14ac:dyDescent="0.3"/>
    <row r="283" ht="15" customHeight="1" x14ac:dyDescent="0.3"/>
    <row r="284" ht="15" customHeight="1" x14ac:dyDescent="0.3"/>
    <row r="285" ht="15" customHeight="1" x14ac:dyDescent="0.3"/>
    <row r="286" ht="15" customHeight="1" x14ac:dyDescent="0.3"/>
    <row r="287" ht="15" customHeight="1" x14ac:dyDescent="0.3"/>
    <row r="288" ht="15" customHeight="1" x14ac:dyDescent="0.3"/>
    <row r="289" ht="15" customHeight="1" x14ac:dyDescent="0.3"/>
    <row r="290" ht="15" customHeight="1" x14ac:dyDescent="0.3"/>
    <row r="291" ht="15" customHeight="1" x14ac:dyDescent="0.3"/>
    <row r="292" ht="15" customHeight="1" x14ac:dyDescent="0.3"/>
    <row r="293" ht="15" customHeight="1" x14ac:dyDescent="0.3"/>
    <row r="294" ht="15" customHeight="1" x14ac:dyDescent="0.3"/>
    <row r="295" ht="15" customHeight="1" x14ac:dyDescent="0.3"/>
    <row r="296" ht="15" customHeight="1" x14ac:dyDescent="0.3"/>
    <row r="297" ht="15" customHeight="1" x14ac:dyDescent="0.3"/>
    <row r="298" ht="15" customHeight="1" x14ac:dyDescent="0.3"/>
    <row r="299" ht="15" customHeight="1" x14ac:dyDescent="0.3"/>
    <row r="300" ht="15" customHeight="1" x14ac:dyDescent="0.3"/>
    <row r="301" ht="15" customHeight="1" x14ac:dyDescent="0.3"/>
    <row r="302" ht="15" customHeight="1" x14ac:dyDescent="0.3"/>
    <row r="303" ht="15" customHeight="1" x14ac:dyDescent="0.3"/>
    <row r="304" ht="15" customHeight="1" x14ac:dyDescent="0.3"/>
    <row r="305" ht="15" customHeight="1" x14ac:dyDescent="0.3"/>
    <row r="306" ht="15" customHeight="1" x14ac:dyDescent="0.3"/>
    <row r="307" ht="15" customHeight="1" x14ac:dyDescent="0.3"/>
    <row r="308" ht="15" customHeight="1" x14ac:dyDescent="0.3"/>
    <row r="309" ht="15" customHeight="1" x14ac:dyDescent="0.3"/>
    <row r="310" ht="15" customHeight="1" x14ac:dyDescent="0.3"/>
    <row r="311" ht="15" customHeight="1" x14ac:dyDescent="0.3"/>
    <row r="312" ht="15" customHeight="1" x14ac:dyDescent="0.3"/>
    <row r="313" ht="15" customHeight="1" x14ac:dyDescent="0.3"/>
    <row r="314" ht="15" customHeight="1" x14ac:dyDescent="0.3"/>
    <row r="315" ht="15" customHeight="1" x14ac:dyDescent="0.3"/>
    <row r="316" ht="15" customHeight="1" x14ac:dyDescent="0.3"/>
    <row r="317" ht="15" customHeight="1" x14ac:dyDescent="0.3"/>
    <row r="318" ht="15" customHeight="1" x14ac:dyDescent="0.3"/>
    <row r="319" ht="15" customHeight="1" x14ac:dyDescent="0.3"/>
    <row r="320" ht="15" customHeight="1" x14ac:dyDescent="0.3"/>
    <row r="321" ht="15" customHeight="1" x14ac:dyDescent="0.3"/>
    <row r="322" ht="15" customHeight="1" x14ac:dyDescent="0.3"/>
    <row r="323" ht="15" customHeight="1" x14ac:dyDescent="0.3"/>
    <row r="324" ht="15" customHeight="1" x14ac:dyDescent="0.3"/>
    <row r="325" ht="15" customHeight="1" x14ac:dyDescent="0.3"/>
    <row r="326" ht="15" customHeight="1" x14ac:dyDescent="0.3"/>
    <row r="327" ht="15" customHeight="1" x14ac:dyDescent="0.3"/>
    <row r="328" ht="15" customHeight="1" x14ac:dyDescent="0.3"/>
    <row r="329" ht="15" customHeight="1" x14ac:dyDescent="0.3"/>
    <row r="330" ht="15" customHeight="1" x14ac:dyDescent="0.3"/>
    <row r="331" ht="15" customHeight="1" x14ac:dyDescent="0.3"/>
    <row r="332" ht="15" customHeight="1" x14ac:dyDescent="0.3"/>
    <row r="333" ht="15" customHeight="1" x14ac:dyDescent="0.3"/>
    <row r="334" ht="15" customHeight="1" x14ac:dyDescent="0.3"/>
    <row r="335" ht="15" customHeight="1" x14ac:dyDescent="0.3"/>
    <row r="336" ht="15" customHeight="1" x14ac:dyDescent="0.3"/>
    <row r="337" ht="15" customHeight="1" x14ac:dyDescent="0.3"/>
    <row r="338" ht="15" customHeight="1" x14ac:dyDescent="0.3"/>
    <row r="339" ht="15" customHeight="1" x14ac:dyDescent="0.3"/>
    <row r="340" ht="15" customHeight="1" x14ac:dyDescent="0.3"/>
    <row r="341" ht="15" customHeight="1" x14ac:dyDescent="0.3"/>
    <row r="342" ht="15" customHeight="1" x14ac:dyDescent="0.3"/>
    <row r="343" ht="15" customHeight="1" x14ac:dyDescent="0.3"/>
    <row r="344" ht="15" customHeight="1" x14ac:dyDescent="0.3"/>
    <row r="345" ht="15" customHeight="1" x14ac:dyDescent="0.3"/>
    <row r="346" ht="15" customHeight="1" x14ac:dyDescent="0.3"/>
    <row r="347" ht="15" customHeight="1" x14ac:dyDescent="0.3"/>
    <row r="348" ht="15" customHeight="1" x14ac:dyDescent="0.3"/>
    <row r="349" ht="15" customHeight="1" x14ac:dyDescent="0.3"/>
    <row r="350" ht="15" customHeight="1" x14ac:dyDescent="0.3"/>
    <row r="351" ht="15" customHeight="1" x14ac:dyDescent="0.3"/>
    <row r="352" ht="15" customHeight="1" x14ac:dyDescent="0.3"/>
    <row r="353" ht="15" customHeight="1" x14ac:dyDescent="0.3"/>
    <row r="354" ht="15" customHeight="1" x14ac:dyDescent="0.3"/>
    <row r="355" ht="15" customHeight="1" x14ac:dyDescent="0.3"/>
    <row r="356" ht="15" customHeight="1" x14ac:dyDescent="0.3"/>
    <row r="357" ht="15" customHeight="1" x14ac:dyDescent="0.3"/>
    <row r="358" ht="15" customHeight="1" x14ac:dyDescent="0.3"/>
    <row r="359" ht="15" customHeight="1" x14ac:dyDescent="0.3"/>
    <row r="360" ht="15" customHeight="1" x14ac:dyDescent="0.3"/>
    <row r="361" ht="15" customHeight="1" x14ac:dyDescent="0.3"/>
    <row r="362" ht="15" customHeight="1" x14ac:dyDescent="0.3"/>
    <row r="363" ht="15" customHeight="1" x14ac:dyDescent="0.3"/>
    <row r="364" ht="15" customHeight="1" x14ac:dyDescent="0.3"/>
    <row r="365" ht="15" customHeight="1" x14ac:dyDescent="0.3"/>
    <row r="366" ht="15" customHeight="1" x14ac:dyDescent="0.3"/>
    <row r="367" ht="15" customHeight="1" x14ac:dyDescent="0.3"/>
    <row r="368" ht="15" customHeight="1" x14ac:dyDescent="0.3"/>
    <row r="369" ht="15" customHeight="1" x14ac:dyDescent="0.3"/>
    <row r="370" ht="15" customHeight="1" x14ac:dyDescent="0.3"/>
    <row r="371" ht="15" customHeight="1" x14ac:dyDescent="0.3"/>
    <row r="372" ht="15" customHeight="1" x14ac:dyDescent="0.3"/>
    <row r="373" ht="15" customHeight="1" x14ac:dyDescent="0.3"/>
    <row r="374" ht="15" customHeight="1" x14ac:dyDescent="0.3"/>
    <row r="375" ht="15" customHeight="1" x14ac:dyDescent="0.3"/>
    <row r="376" ht="15" customHeight="1" x14ac:dyDescent="0.3"/>
    <row r="377" ht="15" customHeight="1" x14ac:dyDescent="0.3"/>
    <row r="378" ht="15" customHeight="1" x14ac:dyDescent="0.3"/>
    <row r="379" ht="15" customHeight="1" x14ac:dyDescent="0.3"/>
    <row r="380" ht="15" customHeight="1" x14ac:dyDescent="0.3"/>
    <row r="381" ht="15" customHeight="1" x14ac:dyDescent="0.3"/>
    <row r="382" ht="15" customHeight="1" x14ac:dyDescent="0.3"/>
    <row r="383" ht="15" customHeight="1" x14ac:dyDescent="0.3"/>
    <row r="384" ht="15" customHeight="1" x14ac:dyDescent="0.3"/>
    <row r="385" ht="15" customHeight="1" x14ac:dyDescent="0.3"/>
    <row r="386" ht="15" customHeight="1" x14ac:dyDescent="0.3"/>
    <row r="387" ht="15" customHeight="1" x14ac:dyDescent="0.3"/>
    <row r="388" ht="15" customHeight="1" x14ac:dyDescent="0.3"/>
    <row r="389" ht="15" customHeight="1" x14ac:dyDescent="0.3"/>
    <row r="390" ht="15" customHeight="1" x14ac:dyDescent="0.3"/>
    <row r="391" ht="15" customHeight="1" x14ac:dyDescent="0.3"/>
  </sheetData>
  <phoneticPr fontId="15" type="noConversion"/>
  <hyperlinks>
    <hyperlink ref="D5" location="Ввод!D5" display="Ввод" xr:uid="{5AB741F5-6E33-4750-BAB9-0A92135946BB}"/>
    <hyperlink ref="E5" location="Расчет!E5" display="Расчет" xr:uid="{71852460-00EE-46E4-A330-3A56BF6D54D7}"/>
    <hyperlink ref="F5" location="Отчетность!F5" display="Отчетность" xr:uid="{F1299A84-BCD9-44EF-B1CD-5A2CE77D0018}"/>
    <hyperlink ref="G5" location="Результат!G5" display="Результат" xr:uid="{45007DEE-6D2B-45AA-B970-965385800F67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9">
    <tabColor rgb="FF8FD299"/>
    <pageSetUpPr fitToPage="1"/>
  </sheetPr>
  <dimension ref="A1:CE91"/>
  <sheetViews>
    <sheetView showGridLines="0" zoomScaleNormal="100" workbookViewId="0">
      <pane xSplit="12" ySplit="8" topLeftCell="M54" activePane="bottomRight" state="frozen"/>
      <selection activeCell="O9" sqref="O9"/>
      <selection pane="topRight" activeCell="O9" sqref="O9"/>
      <selection pane="bottomLeft" activeCell="O9" sqref="O9"/>
      <selection pane="bottomRight" activeCell="O90" sqref="O90"/>
    </sheetView>
  </sheetViews>
  <sheetFormatPr defaultColWidth="0" defaultRowHeight="15" customHeight="1" zeroHeight="1" x14ac:dyDescent="0.3"/>
  <cols>
    <col min="1" max="3" width="2.6640625" style="22" customWidth="1"/>
    <col min="4" max="10" width="11.6640625" style="27" customWidth="1"/>
    <col min="11" max="11" width="11.6640625" style="22" customWidth="1"/>
    <col min="12" max="12" width="13.6640625" style="22" customWidth="1"/>
    <col min="13" max="13" width="2.6640625" style="33" customWidth="1"/>
    <col min="14" max="14" width="12.88671875" style="22" customWidth="1"/>
    <col min="15" max="18" width="12.21875" style="22" bestFit="1" customWidth="1"/>
    <col min="19" max="19" width="2.6640625" style="33" customWidth="1"/>
    <col min="20" max="79" width="11.6640625" style="33" customWidth="1"/>
    <col min="80" max="80" width="2.6640625" style="23" customWidth="1"/>
    <col min="81" max="81" width="2.6640625" style="22" customWidth="1"/>
    <col min="82" max="83" width="0" style="22" hidden="1" customWidth="1"/>
    <col min="84" max="16384" width="11.6640625" style="22" hidden="1"/>
  </cols>
  <sheetData>
    <row r="1" spans="1:81" ht="15" customHeight="1" x14ac:dyDescent="0.3">
      <c r="A1" s="18"/>
      <c r="B1" s="51"/>
      <c r="C1" s="51"/>
      <c r="D1" s="67"/>
      <c r="E1" s="67"/>
      <c r="F1" s="67"/>
      <c r="G1" s="67"/>
      <c r="H1" s="67"/>
      <c r="I1" s="67"/>
      <c r="J1" s="67"/>
      <c r="K1" s="51"/>
      <c r="L1" s="51"/>
      <c r="M1" s="109"/>
      <c r="N1" s="51"/>
      <c r="O1" s="51"/>
      <c r="P1" s="51"/>
      <c r="Q1" s="51"/>
      <c r="R1" s="51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11"/>
      <c r="CC1" s="51"/>
    </row>
    <row r="2" spans="1:81" ht="15" customHeight="1" x14ac:dyDescent="0.3">
      <c r="A2" s="51"/>
      <c r="D2" s="22"/>
      <c r="E2" s="22"/>
      <c r="F2" s="22"/>
      <c r="G2" s="22"/>
      <c r="H2" s="22"/>
      <c r="K2" s="27"/>
      <c r="L2" s="27"/>
      <c r="M2" s="22"/>
      <c r="S2" s="22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  <c r="BT2" s="58"/>
      <c r="BU2" s="58"/>
      <c r="BV2" s="58"/>
      <c r="BW2" s="58"/>
      <c r="BX2" s="58"/>
      <c r="BY2" s="58"/>
      <c r="BZ2" s="58"/>
      <c r="CA2" s="58"/>
      <c r="CB2" s="110"/>
      <c r="CC2" s="51"/>
    </row>
    <row r="3" spans="1:81" ht="15" customHeight="1" x14ac:dyDescent="0.3">
      <c r="A3" s="81"/>
      <c r="M3" s="22"/>
      <c r="N3" s="239"/>
      <c r="O3" s="239"/>
      <c r="P3" s="239"/>
      <c r="Q3" s="239"/>
      <c r="R3" s="239"/>
      <c r="S3" s="243"/>
      <c r="T3" s="244">
        <f>Ввод!V3</f>
        <v>1</v>
      </c>
      <c r="U3" s="244">
        <f>Ввод!W3</f>
        <v>1</v>
      </c>
      <c r="V3" s="244">
        <f>Ввод!X3</f>
        <v>1</v>
      </c>
      <c r="W3" s="244">
        <f>Ввод!Y3</f>
        <v>1</v>
      </c>
      <c r="X3" s="244">
        <f>Ввод!Z3</f>
        <v>1</v>
      </c>
      <c r="Y3" s="244">
        <f>Ввод!AA3</f>
        <v>1</v>
      </c>
      <c r="Z3" s="244">
        <f>Ввод!AB3</f>
        <v>1</v>
      </c>
      <c r="AA3" s="244">
        <f>Ввод!AC3</f>
        <v>1</v>
      </c>
      <c r="AB3" s="244">
        <f>Ввод!AD3</f>
        <v>1</v>
      </c>
      <c r="AC3" s="244">
        <f>Ввод!AE3</f>
        <v>1</v>
      </c>
      <c r="AD3" s="244">
        <f>Ввод!AF3</f>
        <v>1</v>
      </c>
      <c r="AE3" s="244">
        <f>Ввод!AG3</f>
        <v>1</v>
      </c>
      <c r="AF3" s="244">
        <f>Ввод!AH3</f>
        <v>2</v>
      </c>
      <c r="AG3" s="244">
        <f>Ввод!AI3</f>
        <v>2</v>
      </c>
      <c r="AH3" s="244">
        <f>Ввод!AJ3</f>
        <v>2</v>
      </c>
      <c r="AI3" s="244">
        <f>Ввод!AK3</f>
        <v>2</v>
      </c>
      <c r="AJ3" s="244">
        <f>Ввод!AL3</f>
        <v>2</v>
      </c>
      <c r="AK3" s="244">
        <f>Ввод!AM3</f>
        <v>2</v>
      </c>
      <c r="AL3" s="244">
        <f>Ввод!AN3</f>
        <v>2</v>
      </c>
      <c r="AM3" s="244">
        <f>Ввод!AO3</f>
        <v>2</v>
      </c>
      <c r="AN3" s="244">
        <f>Ввод!AP3</f>
        <v>2</v>
      </c>
      <c r="AO3" s="244">
        <f>Ввод!AQ3</f>
        <v>2</v>
      </c>
      <c r="AP3" s="244">
        <f>Ввод!AR3</f>
        <v>2</v>
      </c>
      <c r="AQ3" s="244">
        <f>Ввод!AS3</f>
        <v>2</v>
      </c>
      <c r="AR3" s="244">
        <f>Ввод!AT3</f>
        <v>3</v>
      </c>
      <c r="AS3" s="244">
        <f>Ввод!AU3</f>
        <v>3</v>
      </c>
      <c r="AT3" s="244">
        <f>Ввод!AV3</f>
        <v>3</v>
      </c>
      <c r="AU3" s="244">
        <f>Ввод!AW3</f>
        <v>3</v>
      </c>
      <c r="AV3" s="244">
        <f>Ввод!AX3</f>
        <v>3</v>
      </c>
      <c r="AW3" s="244">
        <f>Ввод!AY3</f>
        <v>3</v>
      </c>
      <c r="AX3" s="244">
        <f>Ввод!AZ3</f>
        <v>3</v>
      </c>
      <c r="AY3" s="244">
        <f>Ввод!BA3</f>
        <v>3</v>
      </c>
      <c r="AZ3" s="244">
        <f>Ввод!BB3</f>
        <v>3</v>
      </c>
      <c r="BA3" s="244">
        <f>Ввод!BC3</f>
        <v>3</v>
      </c>
      <c r="BB3" s="244">
        <f>Ввод!BD3</f>
        <v>3</v>
      </c>
      <c r="BC3" s="244">
        <f>Ввод!BE3</f>
        <v>3</v>
      </c>
      <c r="BD3" s="244">
        <f>Ввод!BF3</f>
        <v>4</v>
      </c>
      <c r="BE3" s="244">
        <f>Ввод!BG3</f>
        <v>4</v>
      </c>
      <c r="BF3" s="244">
        <f>Ввод!BH3</f>
        <v>4</v>
      </c>
      <c r="BG3" s="244">
        <f>Ввод!BI3</f>
        <v>4</v>
      </c>
      <c r="BH3" s="244">
        <f>Ввод!BJ3</f>
        <v>4</v>
      </c>
      <c r="BI3" s="244">
        <f>Ввод!BK3</f>
        <v>4</v>
      </c>
      <c r="BJ3" s="244">
        <f>Ввод!BL3</f>
        <v>4</v>
      </c>
      <c r="BK3" s="244">
        <f>Ввод!BM3</f>
        <v>4</v>
      </c>
      <c r="BL3" s="244">
        <f>Ввод!BN3</f>
        <v>4</v>
      </c>
      <c r="BM3" s="244">
        <f>Ввод!BO3</f>
        <v>4</v>
      </c>
      <c r="BN3" s="244">
        <f>Ввод!BP3</f>
        <v>4</v>
      </c>
      <c r="BO3" s="244">
        <f>Ввод!BQ3</f>
        <v>4</v>
      </c>
      <c r="BP3" s="244">
        <f>Ввод!BR3</f>
        <v>5</v>
      </c>
      <c r="BQ3" s="244">
        <f>Ввод!BS3</f>
        <v>5</v>
      </c>
      <c r="BR3" s="244">
        <f>Ввод!BT3</f>
        <v>5</v>
      </c>
      <c r="BS3" s="244">
        <f>Ввод!BU3</f>
        <v>5</v>
      </c>
      <c r="BT3" s="244">
        <f>Ввод!BV3</f>
        <v>5</v>
      </c>
      <c r="BU3" s="244">
        <f>Ввод!BW3</f>
        <v>5</v>
      </c>
      <c r="BV3" s="244">
        <f>Ввод!BX3</f>
        <v>5</v>
      </c>
      <c r="BW3" s="244">
        <f>Ввод!BY3</f>
        <v>5</v>
      </c>
      <c r="BX3" s="244">
        <f>Ввод!BZ3</f>
        <v>5</v>
      </c>
      <c r="BY3" s="244">
        <f>Ввод!CA3</f>
        <v>5</v>
      </c>
      <c r="BZ3" s="244">
        <f>Ввод!CB3</f>
        <v>5</v>
      </c>
      <c r="CA3" s="244">
        <f>Ввод!CC3</f>
        <v>5</v>
      </c>
      <c r="CB3" s="110"/>
      <c r="CC3" s="51"/>
    </row>
    <row r="4" spans="1:81" ht="15" customHeight="1" x14ac:dyDescent="0.3">
      <c r="A4" s="51"/>
      <c r="D4" s="185"/>
      <c r="E4" s="185"/>
      <c r="F4" s="130"/>
      <c r="G4" s="127"/>
      <c r="I4" s="296"/>
      <c r="K4" s="98" t="s">
        <v>22</v>
      </c>
      <c r="L4" s="242">
        <f ca="1">Отчетность!$L$83</f>
        <v>64235030.865700364</v>
      </c>
      <c r="M4" s="22"/>
      <c r="N4" s="244">
        <f>Ввод!P4</f>
        <v>2021</v>
      </c>
      <c r="O4" s="244">
        <f>Ввод!Q4</f>
        <v>2022</v>
      </c>
      <c r="P4" s="244">
        <f>Ввод!R4</f>
        <v>2023</v>
      </c>
      <c r="Q4" s="244">
        <f>Ввод!S4</f>
        <v>2024</v>
      </c>
      <c r="R4" s="244">
        <f>Ввод!T4</f>
        <v>2025</v>
      </c>
      <c r="S4" s="243"/>
      <c r="T4" s="244">
        <f>Ввод!V4</f>
        <v>2021</v>
      </c>
      <c r="U4" s="244">
        <f>Ввод!W4</f>
        <v>2021</v>
      </c>
      <c r="V4" s="244">
        <f>Ввод!X4</f>
        <v>2021</v>
      </c>
      <c r="W4" s="244">
        <f>Ввод!Y4</f>
        <v>2021</v>
      </c>
      <c r="X4" s="244">
        <f>Ввод!Z4</f>
        <v>2021</v>
      </c>
      <c r="Y4" s="244">
        <f>Ввод!AA4</f>
        <v>2021</v>
      </c>
      <c r="Z4" s="244">
        <f>Ввод!AB4</f>
        <v>2021</v>
      </c>
      <c r="AA4" s="244">
        <f>Ввод!AC4</f>
        <v>2021</v>
      </c>
      <c r="AB4" s="244">
        <f>Ввод!AD4</f>
        <v>2021</v>
      </c>
      <c r="AC4" s="244">
        <f>Ввод!AE4</f>
        <v>2021</v>
      </c>
      <c r="AD4" s="244">
        <f>Ввод!AF4</f>
        <v>2021</v>
      </c>
      <c r="AE4" s="244">
        <f>Ввод!AG4</f>
        <v>2021</v>
      </c>
      <c r="AF4" s="244">
        <f>Ввод!AH4</f>
        <v>2022</v>
      </c>
      <c r="AG4" s="244">
        <f>Ввод!AI4</f>
        <v>2022</v>
      </c>
      <c r="AH4" s="244">
        <f>Ввод!AJ4</f>
        <v>2022</v>
      </c>
      <c r="AI4" s="244">
        <f>Ввод!AK4</f>
        <v>2022</v>
      </c>
      <c r="AJ4" s="244">
        <f>Ввод!AL4</f>
        <v>2022</v>
      </c>
      <c r="AK4" s="244">
        <f>Ввод!AM4</f>
        <v>2022</v>
      </c>
      <c r="AL4" s="244">
        <f>Ввод!AN4</f>
        <v>2022</v>
      </c>
      <c r="AM4" s="244">
        <f>Ввод!AO4</f>
        <v>2022</v>
      </c>
      <c r="AN4" s="244">
        <f>Ввод!AP4</f>
        <v>2022</v>
      </c>
      <c r="AO4" s="244">
        <f>Ввод!AQ4</f>
        <v>2022</v>
      </c>
      <c r="AP4" s="244">
        <f>Ввод!AR4</f>
        <v>2022</v>
      </c>
      <c r="AQ4" s="244">
        <f>Ввод!AS4</f>
        <v>2022</v>
      </c>
      <c r="AR4" s="244">
        <f>Ввод!AT4</f>
        <v>2023</v>
      </c>
      <c r="AS4" s="244">
        <f>Ввод!AU4</f>
        <v>2023</v>
      </c>
      <c r="AT4" s="244">
        <f>Ввод!AV4</f>
        <v>2023</v>
      </c>
      <c r="AU4" s="244">
        <f>Ввод!AW4</f>
        <v>2023</v>
      </c>
      <c r="AV4" s="244">
        <f>Ввод!AX4</f>
        <v>2023</v>
      </c>
      <c r="AW4" s="244">
        <f>Ввод!AY4</f>
        <v>2023</v>
      </c>
      <c r="AX4" s="244">
        <f>Ввод!AZ4</f>
        <v>2023</v>
      </c>
      <c r="AY4" s="244">
        <f>Ввод!BA4</f>
        <v>2023</v>
      </c>
      <c r="AZ4" s="244">
        <f>Ввод!BB4</f>
        <v>2023</v>
      </c>
      <c r="BA4" s="244">
        <f>Ввод!BC4</f>
        <v>2023</v>
      </c>
      <c r="BB4" s="244">
        <f>Ввод!BD4</f>
        <v>2023</v>
      </c>
      <c r="BC4" s="244">
        <f>Ввод!BE4</f>
        <v>2023</v>
      </c>
      <c r="BD4" s="244">
        <f>Ввод!BF4</f>
        <v>2024</v>
      </c>
      <c r="BE4" s="244">
        <f>Ввод!BG4</f>
        <v>2024</v>
      </c>
      <c r="BF4" s="244">
        <f>Ввод!BH4</f>
        <v>2024</v>
      </c>
      <c r="BG4" s="244">
        <f>Ввод!BI4</f>
        <v>2024</v>
      </c>
      <c r="BH4" s="244">
        <f>Ввод!BJ4</f>
        <v>2024</v>
      </c>
      <c r="BI4" s="244">
        <f>Ввод!BK4</f>
        <v>2024</v>
      </c>
      <c r="BJ4" s="244">
        <f>Ввод!BL4</f>
        <v>2024</v>
      </c>
      <c r="BK4" s="244">
        <f>Ввод!BM4</f>
        <v>2024</v>
      </c>
      <c r="BL4" s="244">
        <f>Ввод!BN4</f>
        <v>2024</v>
      </c>
      <c r="BM4" s="244">
        <f>Ввод!BO4</f>
        <v>2024</v>
      </c>
      <c r="BN4" s="244">
        <f>Ввод!BP4</f>
        <v>2024</v>
      </c>
      <c r="BO4" s="244">
        <f>Ввод!BQ4</f>
        <v>2024</v>
      </c>
      <c r="BP4" s="244">
        <f>Ввод!BR4</f>
        <v>2025</v>
      </c>
      <c r="BQ4" s="244">
        <f>Ввод!BS4</f>
        <v>2025</v>
      </c>
      <c r="BR4" s="244">
        <f>Ввод!BT4</f>
        <v>2025</v>
      </c>
      <c r="BS4" s="244">
        <f>Ввод!BU4</f>
        <v>2025</v>
      </c>
      <c r="BT4" s="244">
        <f>Ввод!BV4</f>
        <v>2025</v>
      </c>
      <c r="BU4" s="244">
        <f>Ввод!BW4</f>
        <v>2025</v>
      </c>
      <c r="BV4" s="244">
        <f>Ввод!BX4</f>
        <v>2025</v>
      </c>
      <c r="BW4" s="244">
        <f>Ввод!BY4</f>
        <v>2025</v>
      </c>
      <c r="BX4" s="244">
        <f>Ввод!BZ4</f>
        <v>2025</v>
      </c>
      <c r="BY4" s="244">
        <f>Ввод!CA4</f>
        <v>2025</v>
      </c>
      <c r="BZ4" s="244">
        <f>Ввод!CB4</f>
        <v>2025</v>
      </c>
      <c r="CA4" s="244">
        <f>Ввод!CC4</f>
        <v>2025</v>
      </c>
      <c r="CB4" s="110"/>
      <c r="CC4" s="51"/>
    </row>
    <row r="5" spans="1:81" ht="15" customHeight="1" x14ac:dyDescent="0.3">
      <c r="A5" s="51"/>
      <c r="D5" s="186" t="s">
        <v>21</v>
      </c>
      <c r="E5" s="186" t="s">
        <v>5</v>
      </c>
      <c r="F5" s="146" t="s">
        <v>18</v>
      </c>
      <c r="G5" s="147" t="s">
        <v>19</v>
      </c>
      <c r="I5" s="297"/>
      <c r="K5" s="98" t="s">
        <v>23</v>
      </c>
      <c r="L5" s="99">
        <f ca="1">Отчетность!$L$86</f>
        <v>0.89190127765534299</v>
      </c>
      <c r="M5" s="22"/>
      <c r="N5" s="244">
        <f>Ввод!P5</f>
        <v>1</v>
      </c>
      <c r="O5" s="244">
        <f>Ввод!Q5</f>
        <v>2</v>
      </c>
      <c r="P5" s="244">
        <f>Ввод!R5</f>
        <v>3</v>
      </c>
      <c r="Q5" s="244">
        <f>Ввод!S5</f>
        <v>4</v>
      </c>
      <c r="R5" s="244">
        <f>Ввод!T5</f>
        <v>5</v>
      </c>
      <c r="S5" s="243"/>
      <c r="T5" s="244">
        <f>Ввод!V5</f>
        <v>1</v>
      </c>
      <c r="U5" s="244">
        <f>Ввод!W5</f>
        <v>2</v>
      </c>
      <c r="V5" s="244">
        <f>Ввод!X5</f>
        <v>3</v>
      </c>
      <c r="W5" s="244">
        <f>Ввод!Y5</f>
        <v>4</v>
      </c>
      <c r="X5" s="244">
        <f>Ввод!Z5</f>
        <v>5</v>
      </c>
      <c r="Y5" s="244">
        <f>Ввод!AA5</f>
        <v>6</v>
      </c>
      <c r="Z5" s="244">
        <f>Ввод!AB5</f>
        <v>7</v>
      </c>
      <c r="AA5" s="244">
        <f>Ввод!AC5</f>
        <v>8</v>
      </c>
      <c r="AB5" s="244">
        <f>Ввод!AD5</f>
        <v>9</v>
      </c>
      <c r="AC5" s="244">
        <f>Ввод!AE5</f>
        <v>10</v>
      </c>
      <c r="AD5" s="244">
        <f>Ввод!AF5</f>
        <v>11</v>
      </c>
      <c r="AE5" s="244">
        <f>Ввод!AG5</f>
        <v>12</v>
      </c>
      <c r="AF5" s="244">
        <f>Ввод!AH5</f>
        <v>13</v>
      </c>
      <c r="AG5" s="244">
        <f>Ввод!AI5</f>
        <v>14</v>
      </c>
      <c r="AH5" s="244">
        <f>Ввод!AJ5</f>
        <v>15</v>
      </c>
      <c r="AI5" s="244">
        <f>Ввод!AK5</f>
        <v>16</v>
      </c>
      <c r="AJ5" s="244">
        <f>Ввод!AL5</f>
        <v>17</v>
      </c>
      <c r="AK5" s="244">
        <f>Ввод!AM5</f>
        <v>18</v>
      </c>
      <c r="AL5" s="244">
        <f>Ввод!AN5</f>
        <v>19</v>
      </c>
      <c r="AM5" s="244">
        <f>Ввод!AO5</f>
        <v>20</v>
      </c>
      <c r="AN5" s="244">
        <f>Ввод!AP5</f>
        <v>21</v>
      </c>
      <c r="AO5" s="244">
        <f>Ввод!AQ5</f>
        <v>22</v>
      </c>
      <c r="AP5" s="244">
        <f>Ввод!AR5</f>
        <v>23</v>
      </c>
      <c r="AQ5" s="244">
        <f>Ввод!AS5</f>
        <v>24</v>
      </c>
      <c r="AR5" s="244">
        <f>Ввод!AT5</f>
        <v>25</v>
      </c>
      <c r="AS5" s="244">
        <f>Ввод!AU5</f>
        <v>26</v>
      </c>
      <c r="AT5" s="244">
        <f>Ввод!AV5</f>
        <v>27</v>
      </c>
      <c r="AU5" s="244">
        <f>Ввод!AW5</f>
        <v>28</v>
      </c>
      <c r="AV5" s="244">
        <f>Ввод!AX5</f>
        <v>29</v>
      </c>
      <c r="AW5" s="244">
        <f>Ввод!AY5</f>
        <v>30</v>
      </c>
      <c r="AX5" s="244">
        <f>Ввод!AZ5</f>
        <v>31</v>
      </c>
      <c r="AY5" s="244">
        <f>Ввод!BA5</f>
        <v>32</v>
      </c>
      <c r="AZ5" s="244">
        <f>Ввод!BB5</f>
        <v>33</v>
      </c>
      <c r="BA5" s="244">
        <f>Ввод!BC5</f>
        <v>34</v>
      </c>
      <c r="BB5" s="244">
        <f>Ввод!BD5</f>
        <v>35</v>
      </c>
      <c r="BC5" s="244">
        <f>Ввод!BE5</f>
        <v>36</v>
      </c>
      <c r="BD5" s="244">
        <f>Ввод!BF5</f>
        <v>37</v>
      </c>
      <c r="BE5" s="244">
        <f>Ввод!BG5</f>
        <v>38</v>
      </c>
      <c r="BF5" s="244">
        <f>Ввод!BH5</f>
        <v>39</v>
      </c>
      <c r="BG5" s="244">
        <f>Ввод!BI5</f>
        <v>40</v>
      </c>
      <c r="BH5" s="244">
        <f>Ввод!BJ5</f>
        <v>41</v>
      </c>
      <c r="BI5" s="244">
        <f>Ввод!BK5</f>
        <v>42</v>
      </c>
      <c r="BJ5" s="244">
        <f>Ввод!BL5</f>
        <v>43</v>
      </c>
      <c r="BK5" s="244">
        <f>Ввод!BM5</f>
        <v>44</v>
      </c>
      <c r="BL5" s="244">
        <f>Ввод!BN5</f>
        <v>45</v>
      </c>
      <c r="BM5" s="244">
        <f>Ввод!BO5</f>
        <v>46</v>
      </c>
      <c r="BN5" s="244">
        <f>Ввод!BP5</f>
        <v>47</v>
      </c>
      <c r="BO5" s="244">
        <f>Ввод!BQ5</f>
        <v>48</v>
      </c>
      <c r="BP5" s="244">
        <f>Ввод!BR5</f>
        <v>49</v>
      </c>
      <c r="BQ5" s="244">
        <f>Ввод!BS5</f>
        <v>50</v>
      </c>
      <c r="BR5" s="244">
        <f>Ввод!BT5</f>
        <v>51</v>
      </c>
      <c r="BS5" s="244">
        <f>Ввод!BU5</f>
        <v>52</v>
      </c>
      <c r="BT5" s="244">
        <f>Ввод!BV5</f>
        <v>53</v>
      </c>
      <c r="BU5" s="244">
        <f>Ввод!BW5</f>
        <v>54</v>
      </c>
      <c r="BV5" s="244">
        <f>Ввод!BX5</f>
        <v>55</v>
      </c>
      <c r="BW5" s="244">
        <f>Ввод!BY5</f>
        <v>56</v>
      </c>
      <c r="BX5" s="244">
        <f>Ввод!BZ5</f>
        <v>57</v>
      </c>
      <c r="BY5" s="244">
        <f>Ввод!CA5</f>
        <v>58</v>
      </c>
      <c r="BZ5" s="244">
        <f>Ввод!CB5</f>
        <v>59</v>
      </c>
      <c r="CA5" s="244">
        <f>Ввод!CC5</f>
        <v>60</v>
      </c>
      <c r="CB5" s="110"/>
      <c r="CC5" s="51"/>
    </row>
    <row r="6" spans="1:81" ht="15" customHeight="1" x14ac:dyDescent="0.3">
      <c r="A6" s="51"/>
      <c r="K6" s="27"/>
      <c r="L6" s="27"/>
      <c r="M6" s="22"/>
      <c r="N6" s="243"/>
      <c r="O6" s="243"/>
      <c r="P6" s="243"/>
      <c r="Q6" s="243"/>
      <c r="R6" s="243"/>
      <c r="S6" s="243"/>
      <c r="T6" s="244">
        <f>Ввод!V6</f>
        <v>1</v>
      </c>
      <c r="U6" s="244">
        <f>Ввод!W6</f>
        <v>2</v>
      </c>
      <c r="V6" s="244">
        <f>Ввод!X6</f>
        <v>3</v>
      </c>
      <c r="W6" s="244">
        <f>Ввод!Y6</f>
        <v>4</v>
      </c>
      <c r="X6" s="244">
        <f>Ввод!Z6</f>
        <v>5</v>
      </c>
      <c r="Y6" s="244">
        <f>Ввод!AA6</f>
        <v>6</v>
      </c>
      <c r="Z6" s="244">
        <f>Ввод!AB6</f>
        <v>7</v>
      </c>
      <c r="AA6" s="244">
        <f>Ввод!AC6</f>
        <v>8</v>
      </c>
      <c r="AB6" s="244">
        <f>Ввод!AD6</f>
        <v>9</v>
      </c>
      <c r="AC6" s="244">
        <f>Ввод!AE6</f>
        <v>10</v>
      </c>
      <c r="AD6" s="244">
        <f>Ввод!AF6</f>
        <v>11</v>
      </c>
      <c r="AE6" s="244">
        <f>Ввод!AG6</f>
        <v>12</v>
      </c>
      <c r="AF6" s="244">
        <f>Ввод!AH6</f>
        <v>1</v>
      </c>
      <c r="AG6" s="244">
        <f>Ввод!AI6</f>
        <v>2</v>
      </c>
      <c r="AH6" s="244">
        <f>Ввод!AJ6</f>
        <v>3</v>
      </c>
      <c r="AI6" s="244">
        <f>Ввод!AK6</f>
        <v>4</v>
      </c>
      <c r="AJ6" s="244">
        <f>Ввод!AL6</f>
        <v>5</v>
      </c>
      <c r="AK6" s="244">
        <f>Ввод!AM6</f>
        <v>6</v>
      </c>
      <c r="AL6" s="244">
        <f>Ввод!AN6</f>
        <v>7</v>
      </c>
      <c r="AM6" s="244">
        <f>Ввод!AO6</f>
        <v>8</v>
      </c>
      <c r="AN6" s="244">
        <f>Ввод!AP6</f>
        <v>9</v>
      </c>
      <c r="AO6" s="244">
        <f>Ввод!AQ6</f>
        <v>10</v>
      </c>
      <c r="AP6" s="244">
        <f>Ввод!AR6</f>
        <v>11</v>
      </c>
      <c r="AQ6" s="244">
        <f>Ввод!AS6</f>
        <v>12</v>
      </c>
      <c r="AR6" s="244">
        <f>Ввод!AT6</f>
        <v>1</v>
      </c>
      <c r="AS6" s="244">
        <f>Ввод!AU6</f>
        <v>2</v>
      </c>
      <c r="AT6" s="244">
        <f>Ввод!AV6</f>
        <v>3</v>
      </c>
      <c r="AU6" s="244">
        <f>Ввод!AW6</f>
        <v>4</v>
      </c>
      <c r="AV6" s="244">
        <f>Ввод!AX6</f>
        <v>5</v>
      </c>
      <c r="AW6" s="244">
        <f>Ввод!AY6</f>
        <v>6</v>
      </c>
      <c r="AX6" s="244">
        <f>Ввод!AZ6</f>
        <v>7</v>
      </c>
      <c r="AY6" s="244">
        <f>Ввод!BA6</f>
        <v>8</v>
      </c>
      <c r="AZ6" s="244">
        <f>Ввод!BB6</f>
        <v>9</v>
      </c>
      <c r="BA6" s="244">
        <f>Ввод!BC6</f>
        <v>10</v>
      </c>
      <c r="BB6" s="244">
        <f>Ввод!BD6</f>
        <v>11</v>
      </c>
      <c r="BC6" s="244">
        <f>Ввод!BE6</f>
        <v>12</v>
      </c>
      <c r="BD6" s="244">
        <f>Ввод!BF6</f>
        <v>1</v>
      </c>
      <c r="BE6" s="244">
        <f>Ввод!BG6</f>
        <v>2</v>
      </c>
      <c r="BF6" s="244">
        <f>Ввод!BH6</f>
        <v>3</v>
      </c>
      <c r="BG6" s="244">
        <f>Ввод!BI6</f>
        <v>4</v>
      </c>
      <c r="BH6" s="244">
        <f>Ввод!BJ6</f>
        <v>5</v>
      </c>
      <c r="BI6" s="244">
        <f>Ввод!BK6</f>
        <v>6</v>
      </c>
      <c r="BJ6" s="244">
        <f>Ввод!BL6</f>
        <v>7</v>
      </c>
      <c r="BK6" s="244">
        <f>Ввод!BM6</f>
        <v>8</v>
      </c>
      <c r="BL6" s="244">
        <f>Ввод!BN6</f>
        <v>9</v>
      </c>
      <c r="BM6" s="244">
        <f>Ввод!BO6</f>
        <v>10</v>
      </c>
      <c r="BN6" s="244">
        <f>Ввод!BP6</f>
        <v>11</v>
      </c>
      <c r="BO6" s="244">
        <f>Ввод!BQ6</f>
        <v>12</v>
      </c>
      <c r="BP6" s="244">
        <f>Ввод!BR6</f>
        <v>1</v>
      </c>
      <c r="BQ6" s="244">
        <f>Ввод!BS6</f>
        <v>2</v>
      </c>
      <c r="BR6" s="244">
        <f>Ввод!BT6</f>
        <v>3</v>
      </c>
      <c r="BS6" s="244">
        <f>Ввод!BU6</f>
        <v>4</v>
      </c>
      <c r="BT6" s="244">
        <f>Ввод!BV6</f>
        <v>5</v>
      </c>
      <c r="BU6" s="244">
        <f>Ввод!BW6</f>
        <v>6</v>
      </c>
      <c r="BV6" s="244">
        <f>Ввод!BX6</f>
        <v>7</v>
      </c>
      <c r="BW6" s="244">
        <f>Ввод!BY6</f>
        <v>8</v>
      </c>
      <c r="BX6" s="244">
        <f>Ввод!BZ6</f>
        <v>9</v>
      </c>
      <c r="BY6" s="244">
        <f>Ввод!CA6</f>
        <v>10</v>
      </c>
      <c r="BZ6" s="244">
        <f>Ввод!CB6</f>
        <v>11</v>
      </c>
      <c r="CA6" s="244">
        <f>Ввод!CC6</f>
        <v>12</v>
      </c>
      <c r="CB6" s="110"/>
      <c r="CC6" s="51"/>
    </row>
    <row r="7" spans="1:81" ht="15" customHeight="1" x14ac:dyDescent="0.3">
      <c r="A7" s="51"/>
      <c r="K7" s="27"/>
      <c r="L7" s="27"/>
      <c r="M7" s="22"/>
      <c r="N7" s="243"/>
      <c r="O7" s="243"/>
      <c r="P7" s="243"/>
      <c r="Q7" s="243"/>
      <c r="R7" s="243"/>
      <c r="S7" s="243"/>
      <c r="T7" s="244"/>
      <c r="U7" s="244"/>
      <c r="V7" s="244"/>
      <c r="W7" s="244"/>
      <c r="X7" s="244"/>
      <c r="Y7" s="244"/>
      <c r="Z7" s="244"/>
      <c r="AA7" s="244"/>
      <c r="AB7" s="244"/>
      <c r="AC7" s="244"/>
      <c r="AD7" s="244"/>
      <c r="AE7" s="244"/>
      <c r="AF7" s="244"/>
      <c r="AG7" s="244"/>
      <c r="AH7" s="244"/>
      <c r="AI7" s="244"/>
      <c r="AJ7" s="244"/>
      <c r="AK7" s="244"/>
      <c r="AL7" s="244"/>
      <c r="AM7" s="244"/>
      <c r="AN7" s="244"/>
      <c r="AO7" s="244"/>
      <c r="AP7" s="244"/>
      <c r="AQ7" s="244"/>
      <c r="AR7" s="244"/>
      <c r="AS7" s="244"/>
      <c r="AT7" s="244"/>
      <c r="AU7" s="244"/>
      <c r="AV7" s="244"/>
      <c r="AW7" s="244"/>
      <c r="AX7" s="244"/>
      <c r="AY7" s="244"/>
      <c r="AZ7" s="244"/>
      <c r="BA7" s="244"/>
      <c r="BB7" s="244"/>
      <c r="BC7" s="244"/>
      <c r="BD7" s="244"/>
      <c r="BE7" s="244"/>
      <c r="BF7" s="244"/>
      <c r="BG7" s="244"/>
      <c r="BH7" s="244"/>
      <c r="BI7" s="244"/>
      <c r="BJ7" s="244"/>
      <c r="BK7" s="244"/>
      <c r="BL7" s="244"/>
      <c r="BM7" s="244"/>
      <c r="BN7" s="244"/>
      <c r="BO7" s="244"/>
      <c r="BP7" s="244"/>
      <c r="BQ7" s="244"/>
      <c r="BR7" s="244"/>
      <c r="BS7" s="244"/>
      <c r="BT7" s="244"/>
      <c r="BU7" s="244"/>
      <c r="BV7" s="244"/>
      <c r="BW7" s="244"/>
      <c r="BX7" s="244"/>
      <c r="BY7" s="244"/>
      <c r="BZ7" s="244"/>
      <c r="CA7" s="244"/>
      <c r="CB7" s="110"/>
      <c r="CC7" s="111"/>
    </row>
    <row r="8" spans="1:81" s="23" customFormat="1" ht="20.100000000000001" customHeight="1" x14ac:dyDescent="0.3">
      <c r="A8" s="111"/>
      <c r="B8" s="110"/>
      <c r="C8" s="110"/>
      <c r="D8" s="121" t="s">
        <v>24</v>
      </c>
      <c r="E8" s="121"/>
      <c r="F8" s="121"/>
      <c r="G8" s="121"/>
      <c r="H8" s="121"/>
      <c r="I8" s="121" t="s">
        <v>25</v>
      </c>
      <c r="J8" s="121"/>
      <c r="K8" s="121"/>
      <c r="L8" s="122" t="s">
        <v>26</v>
      </c>
      <c r="M8" s="88"/>
      <c r="N8" s="246">
        <f>Ввод!P8</f>
        <v>44197</v>
      </c>
      <c r="O8" s="246">
        <f>Ввод!Q8</f>
        <v>44562</v>
      </c>
      <c r="P8" s="246">
        <f>Ввод!R8</f>
        <v>44927</v>
      </c>
      <c r="Q8" s="246">
        <f>Ввод!S8</f>
        <v>45292</v>
      </c>
      <c r="R8" s="246">
        <f>Ввод!T8</f>
        <v>45658</v>
      </c>
      <c r="S8" s="88"/>
      <c r="T8" s="247">
        <f>Ввод!V8</f>
        <v>44197</v>
      </c>
      <c r="U8" s="247">
        <f>Ввод!W8</f>
        <v>44228</v>
      </c>
      <c r="V8" s="247">
        <f>Ввод!X8</f>
        <v>44256</v>
      </c>
      <c r="W8" s="247">
        <f>Ввод!Y8</f>
        <v>44287</v>
      </c>
      <c r="X8" s="247">
        <f>Ввод!Z8</f>
        <v>44317</v>
      </c>
      <c r="Y8" s="247">
        <f>Ввод!AA8</f>
        <v>44348</v>
      </c>
      <c r="Z8" s="247">
        <f>Ввод!AB8</f>
        <v>44378</v>
      </c>
      <c r="AA8" s="247">
        <f>Ввод!AC8</f>
        <v>44409</v>
      </c>
      <c r="AB8" s="247">
        <f>Ввод!AD8</f>
        <v>44440</v>
      </c>
      <c r="AC8" s="247">
        <f>Ввод!AE8</f>
        <v>44470</v>
      </c>
      <c r="AD8" s="247">
        <f>Ввод!AF8</f>
        <v>44501</v>
      </c>
      <c r="AE8" s="247">
        <f>Ввод!AG8</f>
        <v>44531</v>
      </c>
      <c r="AF8" s="247">
        <f>Ввод!AH8</f>
        <v>44562</v>
      </c>
      <c r="AG8" s="247">
        <f>Ввод!AI8</f>
        <v>44593</v>
      </c>
      <c r="AH8" s="247">
        <f>Ввод!AJ8</f>
        <v>44621</v>
      </c>
      <c r="AI8" s="247">
        <f>Ввод!AK8</f>
        <v>44652</v>
      </c>
      <c r="AJ8" s="247">
        <f>Ввод!AL8</f>
        <v>44682</v>
      </c>
      <c r="AK8" s="247">
        <f>Ввод!AM8</f>
        <v>44713</v>
      </c>
      <c r="AL8" s="247">
        <f>Ввод!AN8</f>
        <v>44743</v>
      </c>
      <c r="AM8" s="247">
        <f>Ввод!AO8</f>
        <v>44774</v>
      </c>
      <c r="AN8" s="247">
        <f>Ввод!AP8</f>
        <v>44805</v>
      </c>
      <c r="AO8" s="247">
        <f>Ввод!AQ8</f>
        <v>44835</v>
      </c>
      <c r="AP8" s="247">
        <f>Ввод!AR8</f>
        <v>44866</v>
      </c>
      <c r="AQ8" s="247">
        <f>Ввод!AS8</f>
        <v>44896</v>
      </c>
      <c r="AR8" s="247">
        <f>Ввод!AT8</f>
        <v>44927</v>
      </c>
      <c r="AS8" s="247">
        <f>Ввод!AU8</f>
        <v>44958</v>
      </c>
      <c r="AT8" s="247">
        <f>Ввод!AV8</f>
        <v>44986</v>
      </c>
      <c r="AU8" s="247">
        <f>Ввод!AW8</f>
        <v>45017</v>
      </c>
      <c r="AV8" s="247">
        <f>Ввод!AX8</f>
        <v>45047</v>
      </c>
      <c r="AW8" s="247">
        <f>Ввод!AY8</f>
        <v>45078</v>
      </c>
      <c r="AX8" s="247">
        <f>Ввод!AZ8</f>
        <v>45108</v>
      </c>
      <c r="AY8" s="247">
        <f>Ввод!BA8</f>
        <v>45139</v>
      </c>
      <c r="AZ8" s="247">
        <f>Ввод!BB8</f>
        <v>45170</v>
      </c>
      <c r="BA8" s="247">
        <f>Ввод!BC8</f>
        <v>45200</v>
      </c>
      <c r="BB8" s="247">
        <f>Ввод!BD8</f>
        <v>45231</v>
      </c>
      <c r="BC8" s="247">
        <f>Ввод!BE8</f>
        <v>45261</v>
      </c>
      <c r="BD8" s="247">
        <f>Ввод!BF8</f>
        <v>45292</v>
      </c>
      <c r="BE8" s="247">
        <f>Ввод!BG8</f>
        <v>45323</v>
      </c>
      <c r="BF8" s="247">
        <f>Ввод!BH8</f>
        <v>45352</v>
      </c>
      <c r="BG8" s="247">
        <f>Ввод!BI8</f>
        <v>45383</v>
      </c>
      <c r="BH8" s="247">
        <f>Ввод!BJ8</f>
        <v>45413</v>
      </c>
      <c r="BI8" s="247">
        <f>Ввод!BK8</f>
        <v>45444</v>
      </c>
      <c r="BJ8" s="247">
        <f>Ввод!BL8</f>
        <v>45474</v>
      </c>
      <c r="BK8" s="247">
        <f>Ввод!BM8</f>
        <v>45505</v>
      </c>
      <c r="BL8" s="247">
        <f>Ввод!BN8</f>
        <v>45536</v>
      </c>
      <c r="BM8" s="247">
        <f>Ввод!BO8</f>
        <v>45566</v>
      </c>
      <c r="BN8" s="247">
        <f>Ввод!BP8</f>
        <v>45597</v>
      </c>
      <c r="BO8" s="247">
        <f>Ввод!BQ8</f>
        <v>45627</v>
      </c>
      <c r="BP8" s="247">
        <f>Ввод!BR8</f>
        <v>45658</v>
      </c>
      <c r="BQ8" s="247">
        <f>Ввод!BS8</f>
        <v>45689</v>
      </c>
      <c r="BR8" s="247">
        <f>Ввод!BT8</f>
        <v>45717</v>
      </c>
      <c r="BS8" s="247">
        <f>Ввод!BU8</f>
        <v>45748</v>
      </c>
      <c r="BT8" s="247">
        <f>Ввод!BV8</f>
        <v>45778</v>
      </c>
      <c r="BU8" s="247">
        <f>Ввод!BW8</f>
        <v>45809</v>
      </c>
      <c r="BV8" s="247">
        <f>Ввод!BX8</f>
        <v>45839</v>
      </c>
      <c r="BW8" s="247">
        <f>Ввод!BY8</f>
        <v>45870</v>
      </c>
      <c r="BX8" s="247">
        <f>Ввод!BZ8</f>
        <v>45901</v>
      </c>
      <c r="BY8" s="247">
        <f>Ввод!CA8</f>
        <v>45931</v>
      </c>
      <c r="BZ8" s="247">
        <f>Ввод!CB8</f>
        <v>45962</v>
      </c>
      <c r="CA8" s="247">
        <f>Ввод!CC8</f>
        <v>45992</v>
      </c>
      <c r="CB8" s="112"/>
      <c r="CC8" s="111"/>
    </row>
    <row r="9" spans="1:81" s="23" customFormat="1" ht="15" customHeight="1" x14ac:dyDescent="0.3">
      <c r="A9" s="111"/>
      <c r="B9" s="110"/>
      <c r="C9" s="110"/>
      <c r="D9" s="133" t="s">
        <v>115</v>
      </c>
      <c r="E9" s="123"/>
      <c r="F9" s="123"/>
      <c r="G9" s="123"/>
      <c r="H9" s="123"/>
      <c r="I9" s="124"/>
      <c r="J9" s="124"/>
      <c r="K9" s="125"/>
      <c r="L9" s="126"/>
      <c r="M9" s="97"/>
      <c r="N9" s="126"/>
      <c r="O9" s="126"/>
      <c r="P9" s="126"/>
      <c r="Q9" s="126"/>
      <c r="R9" s="126"/>
      <c r="S9" s="97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  <c r="AP9" s="126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26"/>
      <c r="BN9" s="126"/>
      <c r="BO9" s="126"/>
      <c r="BP9" s="126"/>
      <c r="BQ9" s="126"/>
      <c r="BR9" s="126"/>
      <c r="BS9" s="126"/>
      <c r="BT9" s="126"/>
      <c r="BU9" s="126"/>
      <c r="BV9" s="126"/>
      <c r="BW9" s="126"/>
      <c r="BX9" s="126"/>
      <c r="BY9" s="126"/>
      <c r="BZ9" s="126"/>
      <c r="CA9" s="126"/>
      <c r="CB9" s="112"/>
      <c r="CC9" s="111"/>
    </row>
    <row r="10" spans="1:81" s="33" customFormat="1" ht="15" customHeight="1" x14ac:dyDescent="0.3">
      <c r="A10" s="51"/>
      <c r="B10" s="22"/>
      <c r="C10" s="22"/>
      <c r="D10" s="187"/>
      <c r="E10" s="40"/>
      <c r="F10" s="40"/>
      <c r="G10" s="40"/>
      <c r="H10" s="40"/>
      <c r="I10" s="40"/>
      <c r="J10" s="40"/>
      <c r="K10" s="59"/>
      <c r="L10" s="59"/>
      <c r="M10" s="97"/>
      <c r="N10" s="59"/>
      <c r="O10" s="59"/>
      <c r="P10" s="59"/>
      <c r="Q10" s="59"/>
      <c r="R10" s="59"/>
      <c r="S10" s="97"/>
      <c r="T10" s="54"/>
      <c r="U10" s="54"/>
      <c r="V10" s="54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30"/>
      <c r="CC10" s="111"/>
    </row>
    <row r="11" spans="1:81" ht="15" customHeight="1" x14ac:dyDescent="0.3">
      <c r="A11" s="51"/>
      <c r="D11" s="169" t="s">
        <v>6</v>
      </c>
      <c r="E11" s="60"/>
      <c r="F11" s="60"/>
      <c r="G11" s="60"/>
      <c r="H11" s="60"/>
      <c r="I11" s="6" t="str">
        <f>Ввод!$M$12</f>
        <v>руб</v>
      </c>
      <c r="J11" s="6"/>
      <c r="K11" s="49"/>
      <c r="L11" s="225">
        <f t="shared" ref="L11" si="0">SUM(N11:R11)</f>
        <v>635000000</v>
      </c>
      <c r="M11" s="139"/>
      <c r="N11" s="225">
        <f t="shared" ref="N11:R11" si="1">SUMIF($T$4:$EI$4,N$4,$T11:$EI11)</f>
        <v>44600000</v>
      </c>
      <c r="O11" s="225">
        <f t="shared" si="1"/>
        <v>104400000</v>
      </c>
      <c r="P11" s="225">
        <f t="shared" si="1"/>
        <v>133200000</v>
      </c>
      <c r="Q11" s="225">
        <f t="shared" si="1"/>
        <v>162000000</v>
      </c>
      <c r="R11" s="225">
        <f t="shared" si="1"/>
        <v>190800000</v>
      </c>
      <c r="S11" s="139"/>
      <c r="T11" s="234">
        <f>Расчет!V24</f>
        <v>0</v>
      </c>
      <c r="U11" s="234">
        <f>Расчет!W24</f>
        <v>0</v>
      </c>
      <c r="V11" s="234">
        <f>Расчет!X24</f>
        <v>0</v>
      </c>
      <c r="W11" s="234">
        <f>Расчет!Y24</f>
        <v>0</v>
      </c>
      <c r="X11" s="234">
        <f>Расчет!Z24</f>
        <v>0</v>
      </c>
      <c r="Y11" s="234">
        <f>Расчет!AA24</f>
        <v>5000000</v>
      </c>
      <c r="Z11" s="234">
        <f>Расчет!AB24</f>
        <v>5500000</v>
      </c>
      <c r="AA11" s="234">
        <f>Расчет!AC24</f>
        <v>6000000</v>
      </c>
      <c r="AB11" s="234">
        <f>Расчет!AD24</f>
        <v>6500000</v>
      </c>
      <c r="AC11" s="234">
        <f>Расчет!AE24</f>
        <v>7000000</v>
      </c>
      <c r="AD11" s="234">
        <f>Расчет!AF24</f>
        <v>7200000</v>
      </c>
      <c r="AE11" s="234">
        <f>Расчет!AG24</f>
        <v>7400000</v>
      </c>
      <c r="AF11" s="234">
        <f>Расчет!AH24</f>
        <v>7600000</v>
      </c>
      <c r="AG11" s="234">
        <f>Расчет!AI24</f>
        <v>7800000</v>
      </c>
      <c r="AH11" s="234">
        <f>Расчет!AJ24</f>
        <v>8000000</v>
      </c>
      <c r="AI11" s="234">
        <f>Расчет!AK24</f>
        <v>8200000</v>
      </c>
      <c r="AJ11" s="234">
        <f>Расчет!AL24</f>
        <v>8400000</v>
      </c>
      <c r="AK11" s="234">
        <f>Расчет!AM24</f>
        <v>8600000</v>
      </c>
      <c r="AL11" s="234">
        <f>Расчет!AN24</f>
        <v>8800000</v>
      </c>
      <c r="AM11" s="234">
        <f>Расчет!AO24</f>
        <v>9000000</v>
      </c>
      <c r="AN11" s="234">
        <f>Расчет!AP24</f>
        <v>9200000</v>
      </c>
      <c r="AO11" s="234">
        <f>Расчет!AQ24</f>
        <v>9400000</v>
      </c>
      <c r="AP11" s="234">
        <f>Расчет!AR24</f>
        <v>9600000</v>
      </c>
      <c r="AQ11" s="234">
        <f>Расчет!AS24</f>
        <v>9800000</v>
      </c>
      <c r="AR11" s="234">
        <f>Расчет!AT24</f>
        <v>10000000</v>
      </c>
      <c r="AS11" s="234">
        <f>Расчет!AU24</f>
        <v>10200000</v>
      </c>
      <c r="AT11" s="234">
        <f>Расчет!AV24</f>
        <v>10400000</v>
      </c>
      <c r="AU11" s="234">
        <f>Расчет!AW24</f>
        <v>10600000</v>
      </c>
      <c r="AV11" s="234">
        <f>Расчет!AX24</f>
        <v>10800000</v>
      </c>
      <c r="AW11" s="234">
        <f>Расчет!AY24</f>
        <v>11000000</v>
      </c>
      <c r="AX11" s="234">
        <f>Расчет!AZ24</f>
        <v>11200000</v>
      </c>
      <c r="AY11" s="234">
        <f>Расчет!BA24</f>
        <v>11400000</v>
      </c>
      <c r="AZ11" s="234">
        <f>Расчет!BB24</f>
        <v>11600000</v>
      </c>
      <c r="BA11" s="234">
        <f>Расчет!BC24</f>
        <v>11800000</v>
      </c>
      <c r="BB11" s="234">
        <f>Расчет!BD24</f>
        <v>12000000</v>
      </c>
      <c r="BC11" s="234">
        <f>Расчет!BE24</f>
        <v>12200000</v>
      </c>
      <c r="BD11" s="234">
        <f>Расчет!BF24</f>
        <v>12400000</v>
      </c>
      <c r="BE11" s="234">
        <f>Расчет!BG24</f>
        <v>12600000</v>
      </c>
      <c r="BF11" s="234">
        <f>Расчет!BH24</f>
        <v>12800000</v>
      </c>
      <c r="BG11" s="234">
        <f>Расчет!BI24</f>
        <v>13000000</v>
      </c>
      <c r="BH11" s="234">
        <f>Расчет!BJ24</f>
        <v>13200000</v>
      </c>
      <c r="BI11" s="234">
        <f>Расчет!BK24</f>
        <v>13400000</v>
      </c>
      <c r="BJ11" s="234">
        <f>Расчет!BL24</f>
        <v>13600000</v>
      </c>
      <c r="BK11" s="234">
        <f>Расчет!BM24</f>
        <v>13800000</v>
      </c>
      <c r="BL11" s="234">
        <f>Расчет!BN24</f>
        <v>14000000</v>
      </c>
      <c r="BM11" s="234">
        <f>Расчет!BO24</f>
        <v>14200000</v>
      </c>
      <c r="BN11" s="234">
        <f>Расчет!BP24</f>
        <v>14400000</v>
      </c>
      <c r="BO11" s="234">
        <f>Расчет!BQ24</f>
        <v>14600000</v>
      </c>
      <c r="BP11" s="234">
        <f>Расчет!BR24</f>
        <v>14800000</v>
      </c>
      <c r="BQ11" s="234">
        <f>Расчет!BS24</f>
        <v>15000000</v>
      </c>
      <c r="BR11" s="234">
        <f>Расчет!BT24</f>
        <v>15200000</v>
      </c>
      <c r="BS11" s="234">
        <f>Расчет!BU24</f>
        <v>15400000</v>
      </c>
      <c r="BT11" s="234">
        <f>Расчет!BV24</f>
        <v>15600000</v>
      </c>
      <c r="BU11" s="234">
        <f>Расчет!BW24</f>
        <v>15800000</v>
      </c>
      <c r="BV11" s="234">
        <f>Расчет!BX24</f>
        <v>16000000</v>
      </c>
      <c r="BW11" s="234">
        <f>Расчет!BY24</f>
        <v>16200000</v>
      </c>
      <c r="BX11" s="234">
        <f>Расчет!BZ24</f>
        <v>16400000</v>
      </c>
      <c r="BY11" s="234">
        <f>Расчет!CA24</f>
        <v>16600000</v>
      </c>
      <c r="BZ11" s="234">
        <f>Расчет!CB24</f>
        <v>16800000</v>
      </c>
      <c r="CA11" s="234">
        <f>Расчет!CC24</f>
        <v>17000000</v>
      </c>
      <c r="CB11" s="110"/>
      <c r="CC11" s="111"/>
    </row>
    <row r="12" spans="1:81" ht="15" customHeight="1" x14ac:dyDescent="0.3">
      <c r="A12" s="51"/>
      <c r="D12" s="188"/>
      <c r="E12" s="63"/>
      <c r="F12" s="63"/>
      <c r="G12" s="63"/>
      <c r="H12" s="63"/>
      <c r="I12" s="31"/>
      <c r="J12" s="31"/>
      <c r="K12" s="2"/>
      <c r="L12" s="231"/>
      <c r="M12" s="232"/>
      <c r="N12" s="231"/>
      <c r="O12" s="231"/>
      <c r="P12" s="231"/>
      <c r="Q12" s="231"/>
      <c r="R12" s="231"/>
      <c r="S12" s="139"/>
      <c r="T12" s="228"/>
      <c r="U12" s="228"/>
      <c r="V12" s="228"/>
      <c r="W12" s="228"/>
      <c r="X12" s="228"/>
      <c r="Y12" s="228"/>
      <c r="Z12" s="228"/>
      <c r="AA12" s="228"/>
      <c r="AB12" s="228"/>
      <c r="AC12" s="228"/>
      <c r="AD12" s="228"/>
      <c r="AE12" s="228"/>
      <c r="AF12" s="228"/>
      <c r="AG12" s="228"/>
      <c r="AH12" s="228"/>
      <c r="AI12" s="228"/>
      <c r="AJ12" s="228"/>
      <c r="AK12" s="228"/>
      <c r="AL12" s="228"/>
      <c r="AM12" s="228"/>
      <c r="AN12" s="228"/>
      <c r="AO12" s="228"/>
      <c r="AP12" s="228"/>
      <c r="AQ12" s="228"/>
      <c r="AR12" s="228"/>
      <c r="AS12" s="228"/>
      <c r="AT12" s="228"/>
      <c r="AU12" s="228"/>
      <c r="AV12" s="228"/>
      <c r="AW12" s="228"/>
      <c r="AX12" s="228"/>
      <c r="AY12" s="228"/>
      <c r="AZ12" s="228"/>
      <c r="BA12" s="228"/>
      <c r="BB12" s="228"/>
      <c r="BC12" s="228"/>
      <c r="BD12" s="228"/>
      <c r="BE12" s="228"/>
      <c r="BF12" s="228"/>
      <c r="BG12" s="228"/>
      <c r="BH12" s="228"/>
      <c r="BI12" s="228"/>
      <c r="BJ12" s="228"/>
      <c r="BK12" s="228"/>
      <c r="BL12" s="228"/>
      <c r="BM12" s="228"/>
      <c r="BN12" s="228"/>
      <c r="BO12" s="228"/>
      <c r="BP12" s="228"/>
      <c r="BQ12" s="228"/>
      <c r="BR12" s="228"/>
      <c r="BS12" s="228"/>
      <c r="BT12" s="228"/>
      <c r="BU12" s="228"/>
      <c r="BV12" s="228"/>
      <c r="BW12" s="228"/>
      <c r="BX12" s="228"/>
      <c r="BY12" s="228"/>
      <c r="BZ12" s="228"/>
      <c r="CA12" s="228"/>
      <c r="CB12" s="50"/>
      <c r="CC12" s="111"/>
    </row>
    <row r="13" spans="1:81" ht="15" customHeight="1" x14ac:dyDescent="0.3">
      <c r="A13" s="51"/>
      <c r="D13" s="169" t="s">
        <v>7</v>
      </c>
      <c r="E13" s="60"/>
      <c r="F13" s="60"/>
      <c r="G13" s="60"/>
      <c r="H13" s="60"/>
      <c r="I13" s="6" t="str">
        <f>Ввод!$M$12</f>
        <v>руб</v>
      </c>
      <c r="J13" s="6"/>
      <c r="K13" s="49"/>
      <c r="L13" s="225">
        <f t="shared" ref="L13" si="2">SUM(N13:R13)</f>
        <v>-266700000</v>
      </c>
      <c r="M13" s="139"/>
      <c r="N13" s="225">
        <f t="shared" ref="N13:R17" si="3">SUMIF($T$4:$EI$4,N$4,$T13:$EI13)</f>
        <v>-18732000</v>
      </c>
      <c r="O13" s="225">
        <f t="shared" si="3"/>
        <v>-43848000</v>
      </c>
      <c r="P13" s="225">
        <f t="shared" si="3"/>
        <v>-55944000</v>
      </c>
      <c r="Q13" s="225">
        <f t="shared" si="3"/>
        <v>-68040000</v>
      </c>
      <c r="R13" s="225">
        <f t="shared" si="3"/>
        <v>-80136000</v>
      </c>
      <c r="S13" s="139"/>
      <c r="T13" s="225">
        <f>Расчет!V40</f>
        <v>0</v>
      </c>
      <c r="U13" s="225">
        <f>Расчет!W40</f>
        <v>0</v>
      </c>
      <c r="V13" s="225">
        <f>Расчет!X40</f>
        <v>0</v>
      </c>
      <c r="W13" s="225">
        <f>Расчет!Y40</f>
        <v>0</v>
      </c>
      <c r="X13" s="225">
        <f>Расчет!Z40</f>
        <v>0</v>
      </c>
      <c r="Y13" s="225">
        <f>Расчет!AA40</f>
        <v>-2100000</v>
      </c>
      <c r="Z13" s="225">
        <f>Расчет!AB40</f>
        <v>-2310000</v>
      </c>
      <c r="AA13" s="225">
        <f>Расчет!AC40</f>
        <v>-2520000</v>
      </c>
      <c r="AB13" s="225">
        <f>Расчет!AD40</f>
        <v>-2730000</v>
      </c>
      <c r="AC13" s="225">
        <f>Расчет!AE40</f>
        <v>-2940000</v>
      </c>
      <c r="AD13" s="225">
        <f>Расчет!AF40</f>
        <v>-3024000</v>
      </c>
      <c r="AE13" s="225">
        <f>Расчет!AG40</f>
        <v>-3108000</v>
      </c>
      <c r="AF13" s="225">
        <f>Расчет!AH40</f>
        <v>-3192000</v>
      </c>
      <c r="AG13" s="225">
        <f>Расчет!AI40</f>
        <v>-3276000</v>
      </c>
      <c r="AH13" s="225">
        <f>Расчет!AJ40</f>
        <v>-3360000</v>
      </c>
      <c r="AI13" s="225">
        <f>Расчет!AK40</f>
        <v>-3444000</v>
      </c>
      <c r="AJ13" s="225">
        <f>Расчет!AL40</f>
        <v>-3528000</v>
      </c>
      <c r="AK13" s="225">
        <f>Расчет!AM40</f>
        <v>-3612000</v>
      </c>
      <c r="AL13" s="225">
        <f>Расчет!AN40</f>
        <v>-3696000</v>
      </c>
      <c r="AM13" s="225">
        <f>Расчет!AO40</f>
        <v>-3780000</v>
      </c>
      <c r="AN13" s="225">
        <f>Расчет!AP40</f>
        <v>-3864000</v>
      </c>
      <c r="AO13" s="225">
        <f>Расчет!AQ40</f>
        <v>-3948000</v>
      </c>
      <c r="AP13" s="225">
        <f>Расчет!AR40</f>
        <v>-4032000</v>
      </c>
      <c r="AQ13" s="225">
        <f>Расчет!AS40</f>
        <v>-4116000</v>
      </c>
      <c r="AR13" s="225">
        <f>Расчет!AT40</f>
        <v>-4200000</v>
      </c>
      <c r="AS13" s="225">
        <f>Расчет!AU40</f>
        <v>-4284000</v>
      </c>
      <c r="AT13" s="225">
        <f>Расчет!AV40</f>
        <v>-4368000</v>
      </c>
      <c r="AU13" s="225">
        <f>Расчет!AW40</f>
        <v>-4452000</v>
      </c>
      <c r="AV13" s="225">
        <f>Расчет!AX40</f>
        <v>-4536000</v>
      </c>
      <c r="AW13" s="225">
        <f>Расчет!AY40</f>
        <v>-4620000</v>
      </c>
      <c r="AX13" s="225">
        <f>Расчет!AZ40</f>
        <v>-4704000</v>
      </c>
      <c r="AY13" s="225">
        <f>Расчет!BA40</f>
        <v>-4788000</v>
      </c>
      <c r="AZ13" s="225">
        <f>Расчет!BB40</f>
        <v>-4872000</v>
      </c>
      <c r="BA13" s="225">
        <f>Расчет!BC40</f>
        <v>-4956000</v>
      </c>
      <c r="BB13" s="225">
        <f>Расчет!BD40</f>
        <v>-5040000</v>
      </c>
      <c r="BC13" s="225">
        <f>Расчет!BE40</f>
        <v>-5124000</v>
      </c>
      <c r="BD13" s="225">
        <f>Расчет!BF40</f>
        <v>-5208000</v>
      </c>
      <c r="BE13" s="225">
        <f>Расчет!BG40</f>
        <v>-5292000</v>
      </c>
      <c r="BF13" s="225">
        <f>Расчет!BH40</f>
        <v>-5376000</v>
      </c>
      <c r="BG13" s="225">
        <f>Расчет!BI40</f>
        <v>-5460000</v>
      </c>
      <c r="BH13" s="225">
        <f>Расчет!BJ40</f>
        <v>-5544000</v>
      </c>
      <c r="BI13" s="225">
        <f>Расчет!BK40</f>
        <v>-5628000</v>
      </c>
      <c r="BJ13" s="225">
        <f>Расчет!BL40</f>
        <v>-5712000</v>
      </c>
      <c r="BK13" s="225">
        <f>Расчет!BM40</f>
        <v>-5796000</v>
      </c>
      <c r="BL13" s="225">
        <f>Расчет!BN40</f>
        <v>-5880000</v>
      </c>
      <c r="BM13" s="225">
        <f>Расчет!BO40</f>
        <v>-5964000</v>
      </c>
      <c r="BN13" s="225">
        <f>Расчет!BP40</f>
        <v>-6048000</v>
      </c>
      <c r="BO13" s="225">
        <f>Расчет!BQ40</f>
        <v>-6132000</v>
      </c>
      <c r="BP13" s="225">
        <f>Расчет!BR40</f>
        <v>-6216000</v>
      </c>
      <c r="BQ13" s="225">
        <f>Расчет!BS40</f>
        <v>-6300000</v>
      </c>
      <c r="BR13" s="225">
        <f>Расчет!BT40</f>
        <v>-6384000</v>
      </c>
      <c r="BS13" s="225">
        <f>Расчет!BU40</f>
        <v>-6468000</v>
      </c>
      <c r="BT13" s="225">
        <f>Расчет!BV40</f>
        <v>-6552000</v>
      </c>
      <c r="BU13" s="225">
        <f>Расчет!BW40</f>
        <v>-6636000</v>
      </c>
      <c r="BV13" s="225">
        <f>Расчет!BX40</f>
        <v>-6720000</v>
      </c>
      <c r="BW13" s="225">
        <f>Расчет!BY40</f>
        <v>-6804000</v>
      </c>
      <c r="BX13" s="225">
        <f>Расчет!BZ40</f>
        <v>-6888000</v>
      </c>
      <c r="BY13" s="225">
        <f>Расчет!CA40</f>
        <v>-6972000</v>
      </c>
      <c r="BZ13" s="225">
        <f>Расчет!CB40</f>
        <v>-7056000</v>
      </c>
      <c r="CA13" s="225">
        <f>Расчет!CC40</f>
        <v>-7140000</v>
      </c>
      <c r="CB13" s="30"/>
      <c r="CC13" s="111"/>
    </row>
    <row r="14" spans="1:81" ht="15" customHeight="1" x14ac:dyDescent="0.3">
      <c r="A14" s="51"/>
      <c r="D14" s="289" t="str">
        <f>Расчет!D34</f>
        <v>Труба г/к</v>
      </c>
      <c r="E14" s="60"/>
      <c r="F14" s="60"/>
      <c r="G14" s="60"/>
      <c r="H14" s="60"/>
      <c r="I14" s="31" t="str">
        <f>Ввод!$M$12</f>
        <v>руб</v>
      </c>
      <c r="J14" s="6"/>
      <c r="K14" s="49"/>
      <c r="L14" s="191">
        <f t="shared" ref="L14:L17" si="4">SUM(N14:R14)</f>
        <v>-158750000</v>
      </c>
      <c r="M14" s="233"/>
      <c r="N14" s="191">
        <f t="shared" si="3"/>
        <v>-11150000</v>
      </c>
      <c r="O14" s="191">
        <f t="shared" si="3"/>
        <v>-26100000</v>
      </c>
      <c r="P14" s="191">
        <f t="shared" si="3"/>
        <v>-33300000</v>
      </c>
      <c r="Q14" s="191">
        <f t="shared" si="3"/>
        <v>-40500000</v>
      </c>
      <c r="R14" s="191">
        <f t="shared" si="3"/>
        <v>-47700000</v>
      </c>
      <c r="S14" s="139"/>
      <c r="T14" s="224">
        <f>Расчет!V34</f>
        <v>0</v>
      </c>
      <c r="U14" s="224">
        <f>Расчет!W34</f>
        <v>0</v>
      </c>
      <c r="V14" s="224">
        <f>Расчет!X34</f>
        <v>0</v>
      </c>
      <c r="W14" s="224">
        <f>Расчет!Y34</f>
        <v>0</v>
      </c>
      <c r="X14" s="224">
        <f>Расчет!Z34</f>
        <v>0</v>
      </c>
      <c r="Y14" s="224">
        <f>Расчет!AA34</f>
        <v>-1250000</v>
      </c>
      <c r="Z14" s="224">
        <f>Расчет!AB34</f>
        <v>-1375000</v>
      </c>
      <c r="AA14" s="224">
        <f>Расчет!AC34</f>
        <v>-1500000</v>
      </c>
      <c r="AB14" s="224">
        <f>Расчет!AD34</f>
        <v>-1625000</v>
      </c>
      <c r="AC14" s="224">
        <f>Расчет!AE34</f>
        <v>-1750000</v>
      </c>
      <c r="AD14" s="224">
        <f>Расчет!AF34</f>
        <v>-1800000</v>
      </c>
      <c r="AE14" s="224">
        <f>Расчет!AG34</f>
        <v>-1850000</v>
      </c>
      <c r="AF14" s="224">
        <f>Расчет!AH34</f>
        <v>-1900000</v>
      </c>
      <c r="AG14" s="224">
        <f>Расчет!AI34</f>
        <v>-1950000</v>
      </c>
      <c r="AH14" s="224">
        <f>Расчет!AJ34</f>
        <v>-2000000</v>
      </c>
      <c r="AI14" s="224">
        <f>Расчет!AK34</f>
        <v>-2050000</v>
      </c>
      <c r="AJ14" s="224">
        <f>Расчет!AL34</f>
        <v>-2100000</v>
      </c>
      <c r="AK14" s="224">
        <f>Расчет!AM34</f>
        <v>-2150000</v>
      </c>
      <c r="AL14" s="224">
        <f>Расчет!AN34</f>
        <v>-2200000</v>
      </c>
      <c r="AM14" s="224">
        <f>Расчет!AO34</f>
        <v>-2250000</v>
      </c>
      <c r="AN14" s="224">
        <f>Расчет!AP34</f>
        <v>-2300000</v>
      </c>
      <c r="AO14" s="224">
        <f>Расчет!AQ34</f>
        <v>-2350000</v>
      </c>
      <c r="AP14" s="224">
        <f>Расчет!AR34</f>
        <v>-2400000</v>
      </c>
      <c r="AQ14" s="224">
        <f>Расчет!AS34</f>
        <v>-2450000</v>
      </c>
      <c r="AR14" s="224">
        <f>Расчет!AT34</f>
        <v>-2500000</v>
      </c>
      <c r="AS14" s="224">
        <f>Расчет!AU34</f>
        <v>-2550000</v>
      </c>
      <c r="AT14" s="224">
        <f>Расчет!AV34</f>
        <v>-2600000</v>
      </c>
      <c r="AU14" s="224">
        <f>Расчет!AW34</f>
        <v>-2650000</v>
      </c>
      <c r="AV14" s="224">
        <f>Расчет!AX34</f>
        <v>-2700000</v>
      </c>
      <c r="AW14" s="224">
        <f>Расчет!AY34</f>
        <v>-2750000</v>
      </c>
      <c r="AX14" s="224">
        <f>Расчет!AZ34</f>
        <v>-2800000</v>
      </c>
      <c r="AY14" s="224">
        <f>Расчет!BA34</f>
        <v>-2850000</v>
      </c>
      <c r="AZ14" s="224">
        <f>Расчет!BB34</f>
        <v>-2900000</v>
      </c>
      <c r="BA14" s="224">
        <f>Расчет!BC34</f>
        <v>-2950000</v>
      </c>
      <c r="BB14" s="224">
        <f>Расчет!BD34</f>
        <v>-3000000</v>
      </c>
      <c r="BC14" s="224">
        <f>Расчет!BE34</f>
        <v>-3050000</v>
      </c>
      <c r="BD14" s="224">
        <f>Расчет!BF34</f>
        <v>-3100000</v>
      </c>
      <c r="BE14" s="224">
        <f>Расчет!BG34</f>
        <v>-3150000</v>
      </c>
      <c r="BF14" s="224">
        <f>Расчет!BH34</f>
        <v>-3200000</v>
      </c>
      <c r="BG14" s="224">
        <f>Расчет!BI34</f>
        <v>-3250000</v>
      </c>
      <c r="BH14" s="224">
        <f>Расчет!BJ34</f>
        <v>-3300000</v>
      </c>
      <c r="BI14" s="224">
        <f>Расчет!BK34</f>
        <v>-3350000</v>
      </c>
      <c r="BJ14" s="224">
        <f>Расчет!BL34</f>
        <v>-3400000</v>
      </c>
      <c r="BK14" s="224">
        <f>Расчет!BM34</f>
        <v>-3450000</v>
      </c>
      <c r="BL14" s="224">
        <f>Расчет!BN34</f>
        <v>-3500000</v>
      </c>
      <c r="BM14" s="224">
        <f>Расчет!BO34</f>
        <v>-3550000</v>
      </c>
      <c r="BN14" s="224">
        <f>Расчет!BP34</f>
        <v>-3600000</v>
      </c>
      <c r="BO14" s="224">
        <f>Расчет!BQ34</f>
        <v>-3650000</v>
      </c>
      <c r="BP14" s="224">
        <f>Расчет!BR34</f>
        <v>-3700000</v>
      </c>
      <c r="BQ14" s="224">
        <f>Расчет!BS34</f>
        <v>-3750000</v>
      </c>
      <c r="BR14" s="224">
        <f>Расчет!BT34</f>
        <v>-3800000</v>
      </c>
      <c r="BS14" s="224">
        <f>Расчет!BU34</f>
        <v>-3850000</v>
      </c>
      <c r="BT14" s="224">
        <f>Расчет!BV34</f>
        <v>-3900000</v>
      </c>
      <c r="BU14" s="224">
        <f>Расчет!BW34</f>
        <v>-3950000</v>
      </c>
      <c r="BV14" s="224">
        <f>Расчет!BX34</f>
        <v>-4000000</v>
      </c>
      <c r="BW14" s="224">
        <f>Расчет!BY34</f>
        <v>-4050000</v>
      </c>
      <c r="BX14" s="224">
        <f>Расчет!BZ34</f>
        <v>-4100000</v>
      </c>
      <c r="BY14" s="224">
        <f>Расчет!CA34</f>
        <v>-4150000</v>
      </c>
      <c r="BZ14" s="224">
        <f>Расчет!CB34</f>
        <v>-4200000</v>
      </c>
      <c r="CA14" s="224">
        <f>Расчет!CC34</f>
        <v>-4250000</v>
      </c>
      <c r="CB14" s="30"/>
      <c r="CC14" s="111"/>
    </row>
    <row r="15" spans="1:81" ht="15" customHeight="1" x14ac:dyDescent="0.3">
      <c r="A15" s="51"/>
      <c r="D15" s="289" t="str">
        <f>Расчет!D35</f>
        <v>Лист г/к</v>
      </c>
      <c r="E15" s="60"/>
      <c r="F15" s="60"/>
      <c r="G15" s="60"/>
      <c r="H15" s="60"/>
      <c r="I15" s="31" t="str">
        <f>Ввод!$M$12</f>
        <v>руб</v>
      </c>
      <c r="J15" s="6"/>
      <c r="K15" s="49"/>
      <c r="L15" s="191">
        <f t="shared" si="4"/>
        <v>-63500000</v>
      </c>
      <c r="M15" s="233"/>
      <c r="N15" s="191">
        <f t="shared" si="3"/>
        <v>-4460000</v>
      </c>
      <c r="O15" s="191">
        <f t="shared" si="3"/>
        <v>-10440000</v>
      </c>
      <c r="P15" s="191">
        <f t="shared" si="3"/>
        <v>-13320000</v>
      </c>
      <c r="Q15" s="191">
        <f t="shared" si="3"/>
        <v>-16200000</v>
      </c>
      <c r="R15" s="191">
        <f t="shared" si="3"/>
        <v>-19080000</v>
      </c>
      <c r="S15" s="139"/>
      <c r="T15" s="224">
        <f>Расчет!V35</f>
        <v>0</v>
      </c>
      <c r="U15" s="224">
        <f>Расчет!W35</f>
        <v>0</v>
      </c>
      <c r="V15" s="224">
        <f>Расчет!X35</f>
        <v>0</v>
      </c>
      <c r="W15" s="224">
        <f>Расчет!Y35</f>
        <v>0</v>
      </c>
      <c r="X15" s="224">
        <f>Расчет!Z35</f>
        <v>0</v>
      </c>
      <c r="Y15" s="224">
        <f>Расчет!AA35</f>
        <v>-500000</v>
      </c>
      <c r="Z15" s="224">
        <f>Расчет!AB35</f>
        <v>-550000</v>
      </c>
      <c r="AA15" s="224">
        <f>Расчет!AC35</f>
        <v>-600000</v>
      </c>
      <c r="AB15" s="224">
        <f>Расчет!AD35</f>
        <v>-650000</v>
      </c>
      <c r="AC15" s="224">
        <f>Расчет!AE35</f>
        <v>-700000</v>
      </c>
      <c r="AD15" s="224">
        <f>Расчет!AF35</f>
        <v>-720000</v>
      </c>
      <c r="AE15" s="224">
        <f>Расчет!AG35</f>
        <v>-740000</v>
      </c>
      <c r="AF15" s="224">
        <f>Расчет!AH35</f>
        <v>-760000</v>
      </c>
      <c r="AG15" s="224">
        <f>Расчет!AI35</f>
        <v>-780000</v>
      </c>
      <c r="AH15" s="224">
        <f>Расчет!AJ35</f>
        <v>-800000</v>
      </c>
      <c r="AI15" s="224">
        <f>Расчет!AK35</f>
        <v>-820000</v>
      </c>
      <c r="AJ15" s="224">
        <f>Расчет!AL35</f>
        <v>-840000</v>
      </c>
      <c r="AK15" s="224">
        <f>Расчет!AM35</f>
        <v>-860000</v>
      </c>
      <c r="AL15" s="224">
        <f>Расчет!AN35</f>
        <v>-880000</v>
      </c>
      <c r="AM15" s="224">
        <f>Расчет!AO35</f>
        <v>-900000</v>
      </c>
      <c r="AN15" s="224">
        <f>Расчет!AP35</f>
        <v>-920000</v>
      </c>
      <c r="AO15" s="224">
        <f>Расчет!AQ35</f>
        <v>-940000</v>
      </c>
      <c r="AP15" s="224">
        <f>Расчет!AR35</f>
        <v>-960000</v>
      </c>
      <c r="AQ15" s="224">
        <f>Расчет!AS35</f>
        <v>-980000</v>
      </c>
      <c r="AR15" s="224">
        <f>Расчет!AT35</f>
        <v>-1000000</v>
      </c>
      <c r="AS15" s="224">
        <f>Расчет!AU35</f>
        <v>-1020000</v>
      </c>
      <c r="AT15" s="224">
        <f>Расчет!AV35</f>
        <v>-1040000</v>
      </c>
      <c r="AU15" s="224">
        <f>Расчет!AW35</f>
        <v>-1060000</v>
      </c>
      <c r="AV15" s="224">
        <f>Расчет!AX35</f>
        <v>-1080000</v>
      </c>
      <c r="AW15" s="224">
        <f>Расчет!AY35</f>
        <v>-1100000</v>
      </c>
      <c r="AX15" s="224">
        <f>Расчет!AZ35</f>
        <v>-1120000</v>
      </c>
      <c r="AY15" s="224">
        <f>Расчет!BA35</f>
        <v>-1140000</v>
      </c>
      <c r="AZ15" s="224">
        <f>Расчет!BB35</f>
        <v>-1160000</v>
      </c>
      <c r="BA15" s="224">
        <f>Расчет!BC35</f>
        <v>-1180000</v>
      </c>
      <c r="BB15" s="224">
        <f>Расчет!BD35</f>
        <v>-1200000</v>
      </c>
      <c r="BC15" s="224">
        <f>Расчет!BE35</f>
        <v>-1220000</v>
      </c>
      <c r="BD15" s="224">
        <f>Расчет!BF35</f>
        <v>-1240000</v>
      </c>
      <c r="BE15" s="224">
        <f>Расчет!BG35</f>
        <v>-1260000</v>
      </c>
      <c r="BF15" s="224">
        <f>Расчет!BH35</f>
        <v>-1280000</v>
      </c>
      <c r="BG15" s="224">
        <f>Расчет!BI35</f>
        <v>-1300000</v>
      </c>
      <c r="BH15" s="224">
        <f>Расчет!BJ35</f>
        <v>-1320000</v>
      </c>
      <c r="BI15" s="224">
        <f>Расчет!BK35</f>
        <v>-1340000</v>
      </c>
      <c r="BJ15" s="224">
        <f>Расчет!BL35</f>
        <v>-1360000</v>
      </c>
      <c r="BK15" s="224">
        <f>Расчет!BM35</f>
        <v>-1380000</v>
      </c>
      <c r="BL15" s="224">
        <f>Расчет!BN35</f>
        <v>-1400000</v>
      </c>
      <c r="BM15" s="224">
        <f>Расчет!BO35</f>
        <v>-1420000</v>
      </c>
      <c r="BN15" s="224">
        <f>Расчет!BP35</f>
        <v>-1440000</v>
      </c>
      <c r="BO15" s="224">
        <f>Расчет!BQ35</f>
        <v>-1460000</v>
      </c>
      <c r="BP15" s="224">
        <f>Расчет!BR35</f>
        <v>-1480000</v>
      </c>
      <c r="BQ15" s="224">
        <f>Расчет!BS35</f>
        <v>-1500000</v>
      </c>
      <c r="BR15" s="224">
        <f>Расчет!BT35</f>
        <v>-1520000</v>
      </c>
      <c r="BS15" s="224">
        <f>Расчет!BU35</f>
        <v>-1540000</v>
      </c>
      <c r="BT15" s="224">
        <f>Расчет!BV35</f>
        <v>-1560000</v>
      </c>
      <c r="BU15" s="224">
        <f>Расчет!BW35</f>
        <v>-1580000</v>
      </c>
      <c r="BV15" s="224">
        <f>Расчет!BX35</f>
        <v>-1600000</v>
      </c>
      <c r="BW15" s="224">
        <f>Расчет!BY35</f>
        <v>-1620000</v>
      </c>
      <c r="BX15" s="224">
        <f>Расчет!BZ35</f>
        <v>-1640000</v>
      </c>
      <c r="BY15" s="224">
        <f>Расчет!CA35</f>
        <v>-1660000</v>
      </c>
      <c r="BZ15" s="224">
        <f>Расчет!CB35</f>
        <v>-1680000</v>
      </c>
      <c r="CA15" s="224">
        <f>Расчет!CC35</f>
        <v>-1700000</v>
      </c>
      <c r="CB15" s="30"/>
      <c r="CC15" s="111"/>
    </row>
    <row r="16" spans="1:81" ht="15" customHeight="1" x14ac:dyDescent="0.3">
      <c r="A16" s="51"/>
      <c r="D16" s="289" t="str">
        <f>Расчет!D36</f>
        <v>Расходные материалы</v>
      </c>
      <c r="E16" s="60"/>
      <c r="F16" s="60"/>
      <c r="G16" s="60"/>
      <c r="H16" s="60"/>
      <c r="I16" s="31" t="str">
        <f>Ввод!$M$12</f>
        <v>руб</v>
      </c>
      <c r="J16" s="6"/>
      <c r="K16" s="49"/>
      <c r="L16" s="191">
        <f t="shared" si="4"/>
        <v>-31750000</v>
      </c>
      <c r="M16" s="233"/>
      <c r="N16" s="191">
        <f t="shared" si="3"/>
        <v>-2230000</v>
      </c>
      <c r="O16" s="191">
        <f t="shared" si="3"/>
        <v>-5220000</v>
      </c>
      <c r="P16" s="191">
        <f t="shared" si="3"/>
        <v>-6660000</v>
      </c>
      <c r="Q16" s="191">
        <f t="shared" si="3"/>
        <v>-8100000</v>
      </c>
      <c r="R16" s="191">
        <f t="shared" si="3"/>
        <v>-9540000</v>
      </c>
      <c r="S16" s="139"/>
      <c r="T16" s="224">
        <f>Расчет!V36</f>
        <v>0</v>
      </c>
      <c r="U16" s="224">
        <f>Расчет!W36</f>
        <v>0</v>
      </c>
      <c r="V16" s="224">
        <f>Расчет!X36</f>
        <v>0</v>
      </c>
      <c r="W16" s="224">
        <f>Расчет!Y36</f>
        <v>0</v>
      </c>
      <c r="X16" s="224">
        <f>Расчет!Z36</f>
        <v>0</v>
      </c>
      <c r="Y16" s="224">
        <f>Расчет!AA36</f>
        <v>-250000</v>
      </c>
      <c r="Z16" s="224">
        <f>Расчет!AB36</f>
        <v>-275000</v>
      </c>
      <c r="AA16" s="224">
        <f>Расчет!AC36</f>
        <v>-300000</v>
      </c>
      <c r="AB16" s="224">
        <f>Расчет!AD36</f>
        <v>-325000</v>
      </c>
      <c r="AC16" s="224">
        <f>Расчет!AE36</f>
        <v>-350000</v>
      </c>
      <c r="AD16" s="224">
        <f>Расчет!AF36</f>
        <v>-360000</v>
      </c>
      <c r="AE16" s="224">
        <f>Расчет!AG36</f>
        <v>-370000</v>
      </c>
      <c r="AF16" s="224">
        <f>Расчет!AH36</f>
        <v>-380000</v>
      </c>
      <c r="AG16" s="224">
        <f>Расчет!AI36</f>
        <v>-390000</v>
      </c>
      <c r="AH16" s="224">
        <f>Расчет!AJ36</f>
        <v>-400000</v>
      </c>
      <c r="AI16" s="224">
        <f>Расчет!AK36</f>
        <v>-410000</v>
      </c>
      <c r="AJ16" s="224">
        <f>Расчет!AL36</f>
        <v>-420000</v>
      </c>
      <c r="AK16" s="224">
        <f>Расчет!AM36</f>
        <v>-430000</v>
      </c>
      <c r="AL16" s="224">
        <f>Расчет!AN36</f>
        <v>-440000</v>
      </c>
      <c r="AM16" s="224">
        <f>Расчет!AO36</f>
        <v>-450000</v>
      </c>
      <c r="AN16" s="224">
        <f>Расчет!AP36</f>
        <v>-460000</v>
      </c>
      <c r="AO16" s="224">
        <f>Расчет!AQ36</f>
        <v>-470000</v>
      </c>
      <c r="AP16" s="224">
        <f>Расчет!AR36</f>
        <v>-480000</v>
      </c>
      <c r="AQ16" s="224">
        <f>Расчет!AS36</f>
        <v>-490000</v>
      </c>
      <c r="AR16" s="224">
        <f>Расчет!AT36</f>
        <v>-500000</v>
      </c>
      <c r="AS16" s="224">
        <f>Расчет!AU36</f>
        <v>-510000</v>
      </c>
      <c r="AT16" s="224">
        <f>Расчет!AV36</f>
        <v>-520000</v>
      </c>
      <c r="AU16" s="224">
        <f>Расчет!AW36</f>
        <v>-530000</v>
      </c>
      <c r="AV16" s="224">
        <f>Расчет!AX36</f>
        <v>-540000</v>
      </c>
      <c r="AW16" s="224">
        <f>Расчет!AY36</f>
        <v>-550000</v>
      </c>
      <c r="AX16" s="224">
        <f>Расчет!AZ36</f>
        <v>-560000</v>
      </c>
      <c r="AY16" s="224">
        <f>Расчет!BA36</f>
        <v>-570000</v>
      </c>
      <c r="AZ16" s="224">
        <f>Расчет!BB36</f>
        <v>-580000</v>
      </c>
      <c r="BA16" s="224">
        <f>Расчет!BC36</f>
        <v>-590000</v>
      </c>
      <c r="BB16" s="224">
        <f>Расчет!BD36</f>
        <v>-600000</v>
      </c>
      <c r="BC16" s="224">
        <f>Расчет!BE36</f>
        <v>-610000</v>
      </c>
      <c r="BD16" s="224">
        <f>Расчет!BF36</f>
        <v>-620000</v>
      </c>
      <c r="BE16" s="224">
        <f>Расчет!BG36</f>
        <v>-630000</v>
      </c>
      <c r="BF16" s="224">
        <f>Расчет!BH36</f>
        <v>-640000</v>
      </c>
      <c r="BG16" s="224">
        <f>Расчет!BI36</f>
        <v>-650000</v>
      </c>
      <c r="BH16" s="224">
        <f>Расчет!BJ36</f>
        <v>-660000</v>
      </c>
      <c r="BI16" s="224">
        <f>Расчет!BK36</f>
        <v>-670000</v>
      </c>
      <c r="BJ16" s="224">
        <f>Расчет!BL36</f>
        <v>-680000</v>
      </c>
      <c r="BK16" s="224">
        <f>Расчет!BM36</f>
        <v>-690000</v>
      </c>
      <c r="BL16" s="224">
        <f>Расчет!BN36</f>
        <v>-700000</v>
      </c>
      <c r="BM16" s="224">
        <f>Расчет!BO36</f>
        <v>-710000</v>
      </c>
      <c r="BN16" s="224">
        <f>Расчет!BP36</f>
        <v>-720000</v>
      </c>
      <c r="BO16" s="224">
        <f>Расчет!BQ36</f>
        <v>-730000</v>
      </c>
      <c r="BP16" s="224">
        <f>Расчет!BR36</f>
        <v>-740000</v>
      </c>
      <c r="BQ16" s="224">
        <f>Расчет!BS36</f>
        <v>-750000</v>
      </c>
      <c r="BR16" s="224">
        <f>Расчет!BT36</f>
        <v>-760000</v>
      </c>
      <c r="BS16" s="224">
        <f>Расчет!BU36</f>
        <v>-770000</v>
      </c>
      <c r="BT16" s="224">
        <f>Расчет!BV36</f>
        <v>-780000</v>
      </c>
      <c r="BU16" s="224">
        <f>Расчет!BW36</f>
        <v>-790000</v>
      </c>
      <c r="BV16" s="224">
        <f>Расчет!BX36</f>
        <v>-800000</v>
      </c>
      <c r="BW16" s="224">
        <f>Расчет!BY36</f>
        <v>-810000</v>
      </c>
      <c r="BX16" s="224">
        <f>Расчет!BZ36</f>
        <v>-820000</v>
      </c>
      <c r="BY16" s="224">
        <f>Расчет!CA36</f>
        <v>-830000</v>
      </c>
      <c r="BZ16" s="224">
        <f>Расчет!CB36</f>
        <v>-840000</v>
      </c>
      <c r="CA16" s="224">
        <f>Расчет!CC36</f>
        <v>-850000</v>
      </c>
      <c r="CB16" s="30"/>
      <c r="CC16" s="111"/>
    </row>
    <row r="17" spans="1:81" ht="15" customHeight="1" x14ac:dyDescent="0.3">
      <c r="A17" s="51"/>
      <c r="D17" s="289" t="str">
        <f>Расчет!D38</f>
        <v>Коммунальные расходы</v>
      </c>
      <c r="E17" s="60"/>
      <c r="F17" s="60"/>
      <c r="G17" s="60"/>
      <c r="H17" s="60"/>
      <c r="I17" s="31" t="str">
        <f>Ввод!$M$12</f>
        <v>руб</v>
      </c>
      <c r="J17" s="6"/>
      <c r="K17" s="49"/>
      <c r="L17" s="191">
        <f t="shared" si="4"/>
        <v>-6350000</v>
      </c>
      <c r="M17" s="233"/>
      <c r="N17" s="191">
        <f t="shared" si="3"/>
        <v>-446000</v>
      </c>
      <c r="O17" s="191">
        <f t="shared" si="3"/>
        <v>-1044000</v>
      </c>
      <c r="P17" s="191">
        <f t="shared" si="3"/>
        <v>-1332000</v>
      </c>
      <c r="Q17" s="191">
        <f t="shared" si="3"/>
        <v>-1620000</v>
      </c>
      <c r="R17" s="191">
        <f t="shared" si="3"/>
        <v>-1908000</v>
      </c>
      <c r="S17" s="139"/>
      <c r="T17" s="224">
        <f>Расчет!V38</f>
        <v>0</v>
      </c>
      <c r="U17" s="224">
        <f>Расчет!W38</f>
        <v>0</v>
      </c>
      <c r="V17" s="224">
        <f>Расчет!X38</f>
        <v>0</v>
      </c>
      <c r="W17" s="224">
        <f>Расчет!Y38</f>
        <v>0</v>
      </c>
      <c r="X17" s="224">
        <f>Расчет!Z38</f>
        <v>0</v>
      </c>
      <c r="Y17" s="224">
        <f>Расчет!AA38</f>
        <v>-50000</v>
      </c>
      <c r="Z17" s="224">
        <f>Расчет!AB38</f>
        <v>-55000</v>
      </c>
      <c r="AA17" s="224">
        <f>Расчет!AC38</f>
        <v>-60000</v>
      </c>
      <c r="AB17" s="224">
        <f>Расчет!AD38</f>
        <v>-65000</v>
      </c>
      <c r="AC17" s="224">
        <f>Расчет!AE38</f>
        <v>-70000</v>
      </c>
      <c r="AD17" s="224">
        <f>Расчет!AF38</f>
        <v>-72000</v>
      </c>
      <c r="AE17" s="224">
        <f>Расчет!AG38</f>
        <v>-74000</v>
      </c>
      <c r="AF17" s="224">
        <f>Расчет!AH38</f>
        <v>-76000</v>
      </c>
      <c r="AG17" s="224">
        <f>Расчет!AI38</f>
        <v>-78000</v>
      </c>
      <c r="AH17" s="224">
        <f>Расчет!AJ38</f>
        <v>-80000</v>
      </c>
      <c r="AI17" s="224">
        <f>Расчет!AK38</f>
        <v>-82000</v>
      </c>
      <c r="AJ17" s="224">
        <f>Расчет!AL38</f>
        <v>-84000</v>
      </c>
      <c r="AK17" s="224">
        <f>Расчет!AM38</f>
        <v>-86000</v>
      </c>
      <c r="AL17" s="224">
        <f>Расчет!AN38</f>
        <v>-88000</v>
      </c>
      <c r="AM17" s="224">
        <f>Расчет!AO38</f>
        <v>-90000</v>
      </c>
      <c r="AN17" s="224">
        <f>Расчет!AP38</f>
        <v>-92000</v>
      </c>
      <c r="AO17" s="224">
        <f>Расчет!AQ38</f>
        <v>-94000</v>
      </c>
      <c r="AP17" s="224">
        <f>Расчет!AR38</f>
        <v>-96000</v>
      </c>
      <c r="AQ17" s="224">
        <f>Расчет!AS38</f>
        <v>-98000</v>
      </c>
      <c r="AR17" s="224">
        <f>Расчет!AT38</f>
        <v>-100000</v>
      </c>
      <c r="AS17" s="224">
        <f>Расчет!AU38</f>
        <v>-102000</v>
      </c>
      <c r="AT17" s="224">
        <f>Расчет!AV38</f>
        <v>-104000</v>
      </c>
      <c r="AU17" s="224">
        <f>Расчет!AW38</f>
        <v>-106000</v>
      </c>
      <c r="AV17" s="224">
        <f>Расчет!AX38</f>
        <v>-108000</v>
      </c>
      <c r="AW17" s="224">
        <f>Расчет!AY38</f>
        <v>-110000</v>
      </c>
      <c r="AX17" s="224">
        <f>Расчет!AZ38</f>
        <v>-112000</v>
      </c>
      <c r="AY17" s="224">
        <f>Расчет!BA38</f>
        <v>-114000</v>
      </c>
      <c r="AZ17" s="224">
        <f>Расчет!BB38</f>
        <v>-116000</v>
      </c>
      <c r="BA17" s="224">
        <f>Расчет!BC38</f>
        <v>-118000</v>
      </c>
      <c r="BB17" s="224">
        <f>Расчет!BD38</f>
        <v>-120000</v>
      </c>
      <c r="BC17" s="224">
        <f>Расчет!BE38</f>
        <v>-122000</v>
      </c>
      <c r="BD17" s="224">
        <f>Расчет!BF38</f>
        <v>-124000</v>
      </c>
      <c r="BE17" s="224">
        <f>Расчет!BG38</f>
        <v>-126000</v>
      </c>
      <c r="BF17" s="224">
        <f>Расчет!BH38</f>
        <v>-128000</v>
      </c>
      <c r="BG17" s="224">
        <f>Расчет!BI38</f>
        <v>-130000</v>
      </c>
      <c r="BH17" s="224">
        <f>Расчет!BJ38</f>
        <v>-132000</v>
      </c>
      <c r="BI17" s="224">
        <f>Расчет!BK38</f>
        <v>-134000</v>
      </c>
      <c r="BJ17" s="224">
        <f>Расчет!BL38</f>
        <v>-136000</v>
      </c>
      <c r="BK17" s="224">
        <f>Расчет!BM38</f>
        <v>-138000</v>
      </c>
      <c r="BL17" s="224">
        <f>Расчет!BN38</f>
        <v>-140000</v>
      </c>
      <c r="BM17" s="224">
        <f>Расчет!BO38</f>
        <v>-142000</v>
      </c>
      <c r="BN17" s="224">
        <f>Расчет!BP38</f>
        <v>-144000</v>
      </c>
      <c r="BO17" s="224">
        <f>Расчет!BQ38</f>
        <v>-146000</v>
      </c>
      <c r="BP17" s="224">
        <f>Расчет!BR38</f>
        <v>-148000</v>
      </c>
      <c r="BQ17" s="224">
        <f>Расчет!BS38</f>
        <v>-150000</v>
      </c>
      <c r="BR17" s="224">
        <f>Расчет!BT38</f>
        <v>-152000</v>
      </c>
      <c r="BS17" s="224">
        <f>Расчет!BU38</f>
        <v>-154000</v>
      </c>
      <c r="BT17" s="224">
        <f>Расчет!BV38</f>
        <v>-156000</v>
      </c>
      <c r="BU17" s="224">
        <f>Расчет!BW38</f>
        <v>-158000</v>
      </c>
      <c r="BV17" s="224">
        <f>Расчет!BX38</f>
        <v>-160000</v>
      </c>
      <c r="BW17" s="224">
        <f>Расчет!BY38</f>
        <v>-162000</v>
      </c>
      <c r="BX17" s="224">
        <f>Расчет!BZ38</f>
        <v>-164000</v>
      </c>
      <c r="BY17" s="224">
        <f>Расчет!CA38</f>
        <v>-166000</v>
      </c>
      <c r="BZ17" s="224">
        <f>Расчет!CB38</f>
        <v>-168000</v>
      </c>
      <c r="CA17" s="224">
        <f>Расчет!CC38</f>
        <v>-170000</v>
      </c>
      <c r="CB17" s="30"/>
      <c r="CC17" s="111"/>
    </row>
    <row r="18" spans="1:81" ht="15" customHeight="1" x14ac:dyDescent="0.3">
      <c r="A18" s="51"/>
      <c r="D18" s="132"/>
      <c r="E18" s="154"/>
      <c r="F18" s="154"/>
      <c r="G18" s="154"/>
      <c r="H18" s="154"/>
      <c r="I18" s="31"/>
      <c r="J18" s="31"/>
      <c r="K18" s="2"/>
      <c r="L18" s="29"/>
      <c r="M18" s="97"/>
      <c r="N18" s="29"/>
      <c r="O18" s="29"/>
      <c r="P18" s="29"/>
      <c r="Q18" s="29"/>
      <c r="R18" s="29"/>
      <c r="S18" s="97"/>
      <c r="T18" s="173"/>
      <c r="U18" s="173"/>
      <c r="V18" s="173"/>
      <c r="W18" s="173"/>
      <c r="X18" s="173"/>
      <c r="Y18" s="173"/>
      <c r="Z18" s="173"/>
      <c r="AA18" s="173"/>
      <c r="AB18" s="173"/>
      <c r="AC18" s="173"/>
      <c r="AD18" s="173"/>
      <c r="AE18" s="173"/>
      <c r="AF18" s="173"/>
      <c r="AG18" s="173"/>
      <c r="AH18" s="173"/>
      <c r="AI18" s="173"/>
      <c r="AJ18" s="173"/>
      <c r="AK18" s="173"/>
      <c r="AL18" s="173"/>
      <c r="AM18" s="173"/>
      <c r="AN18" s="173"/>
      <c r="AO18" s="173"/>
      <c r="AP18" s="173"/>
      <c r="AQ18" s="173"/>
      <c r="AR18" s="173"/>
      <c r="AS18" s="173"/>
      <c r="AT18" s="173"/>
      <c r="AU18" s="173"/>
      <c r="AV18" s="173"/>
      <c r="AW18" s="173"/>
      <c r="AX18" s="173"/>
      <c r="AY18" s="173"/>
      <c r="AZ18" s="173"/>
      <c r="BA18" s="173"/>
      <c r="BB18" s="173"/>
      <c r="BC18" s="173"/>
      <c r="BD18" s="173"/>
      <c r="BE18" s="173"/>
      <c r="BF18" s="173"/>
      <c r="BG18" s="173"/>
      <c r="BH18" s="173"/>
      <c r="BI18" s="173"/>
      <c r="BJ18" s="173"/>
      <c r="BK18" s="173"/>
      <c r="BL18" s="173"/>
      <c r="BM18" s="173"/>
      <c r="BN18" s="173"/>
      <c r="BO18" s="173"/>
      <c r="BP18" s="173"/>
      <c r="BQ18" s="173"/>
      <c r="BR18" s="173"/>
      <c r="BS18" s="173"/>
      <c r="BT18" s="173"/>
      <c r="BU18" s="173"/>
      <c r="BV18" s="173"/>
      <c r="BW18" s="173"/>
      <c r="BX18" s="173"/>
      <c r="BY18" s="173"/>
      <c r="BZ18" s="173"/>
      <c r="CA18" s="173"/>
      <c r="CB18" s="46"/>
      <c r="CC18" s="111"/>
    </row>
    <row r="19" spans="1:81" ht="15" customHeight="1" x14ac:dyDescent="0.3">
      <c r="A19" s="51"/>
      <c r="D19" s="213" t="s">
        <v>91</v>
      </c>
      <c r="E19" s="208"/>
      <c r="F19" s="208"/>
      <c r="G19" s="208"/>
      <c r="H19" s="208"/>
      <c r="I19" s="209" t="str">
        <f>Ввод!$M$12</f>
        <v>руб</v>
      </c>
      <c r="J19" s="209"/>
      <c r="K19" s="214"/>
      <c r="L19" s="230">
        <f>SUM(N19:R19)</f>
        <v>368300000</v>
      </c>
      <c r="M19" s="232"/>
      <c r="N19" s="230">
        <f>SUMIF($T$4:$EI$4,N$4,$T19:$EI19)</f>
        <v>25868000</v>
      </c>
      <c r="O19" s="230">
        <f>SUMIF($T$4:$EI$4,O$4,$T19:$EI19)</f>
        <v>60552000</v>
      </c>
      <c r="P19" s="230">
        <f>SUMIF($T$4:$EI$4,P$4,$T19:$EI19)</f>
        <v>77256000</v>
      </c>
      <c r="Q19" s="230">
        <f>SUMIF($T$4:$EI$4,Q$4,$T19:$EI19)</f>
        <v>93960000</v>
      </c>
      <c r="R19" s="230">
        <f>SUMIF($T$4:$EI$4,R$4,$T19:$EI19)</f>
        <v>110664000</v>
      </c>
      <c r="S19" s="139"/>
      <c r="T19" s="230">
        <f>T11+T13</f>
        <v>0</v>
      </c>
      <c r="U19" s="230">
        <f t="shared" ref="U19:CA19" si="5">U11+U13</f>
        <v>0</v>
      </c>
      <c r="V19" s="230">
        <f t="shared" si="5"/>
        <v>0</v>
      </c>
      <c r="W19" s="230">
        <f t="shared" si="5"/>
        <v>0</v>
      </c>
      <c r="X19" s="230">
        <f t="shared" si="5"/>
        <v>0</v>
      </c>
      <c r="Y19" s="230">
        <f t="shared" si="5"/>
        <v>2900000</v>
      </c>
      <c r="Z19" s="230">
        <f t="shared" si="5"/>
        <v>3190000</v>
      </c>
      <c r="AA19" s="230">
        <f t="shared" si="5"/>
        <v>3480000</v>
      </c>
      <c r="AB19" s="230">
        <f t="shared" si="5"/>
        <v>3770000</v>
      </c>
      <c r="AC19" s="230">
        <f t="shared" si="5"/>
        <v>4060000</v>
      </c>
      <c r="AD19" s="230">
        <f t="shared" si="5"/>
        <v>4176000</v>
      </c>
      <c r="AE19" s="230">
        <f t="shared" si="5"/>
        <v>4292000</v>
      </c>
      <c r="AF19" s="230">
        <f t="shared" si="5"/>
        <v>4408000</v>
      </c>
      <c r="AG19" s="230">
        <f t="shared" si="5"/>
        <v>4524000</v>
      </c>
      <c r="AH19" s="230">
        <f t="shared" si="5"/>
        <v>4640000</v>
      </c>
      <c r="AI19" s="230">
        <f t="shared" si="5"/>
        <v>4756000</v>
      </c>
      <c r="AJ19" s="230">
        <f t="shared" si="5"/>
        <v>4872000</v>
      </c>
      <c r="AK19" s="230">
        <f t="shared" si="5"/>
        <v>4988000</v>
      </c>
      <c r="AL19" s="230">
        <f t="shared" si="5"/>
        <v>5104000</v>
      </c>
      <c r="AM19" s="230">
        <f t="shared" si="5"/>
        <v>5220000</v>
      </c>
      <c r="AN19" s="230">
        <f t="shared" si="5"/>
        <v>5336000</v>
      </c>
      <c r="AO19" s="230">
        <f t="shared" si="5"/>
        <v>5452000</v>
      </c>
      <c r="AP19" s="230">
        <f t="shared" si="5"/>
        <v>5568000</v>
      </c>
      <c r="AQ19" s="230">
        <f t="shared" si="5"/>
        <v>5684000</v>
      </c>
      <c r="AR19" s="230">
        <f t="shared" si="5"/>
        <v>5800000</v>
      </c>
      <c r="AS19" s="230">
        <f t="shared" si="5"/>
        <v>5916000</v>
      </c>
      <c r="AT19" s="230">
        <f t="shared" si="5"/>
        <v>6032000</v>
      </c>
      <c r="AU19" s="230">
        <f t="shared" si="5"/>
        <v>6148000</v>
      </c>
      <c r="AV19" s="230">
        <f t="shared" si="5"/>
        <v>6264000</v>
      </c>
      <c r="AW19" s="230">
        <f t="shared" si="5"/>
        <v>6380000</v>
      </c>
      <c r="AX19" s="230">
        <f t="shared" si="5"/>
        <v>6496000</v>
      </c>
      <c r="AY19" s="230">
        <f t="shared" si="5"/>
        <v>6612000</v>
      </c>
      <c r="AZ19" s="230">
        <f t="shared" si="5"/>
        <v>6728000</v>
      </c>
      <c r="BA19" s="230">
        <f t="shared" si="5"/>
        <v>6844000</v>
      </c>
      <c r="BB19" s="230">
        <f t="shared" si="5"/>
        <v>6960000</v>
      </c>
      <c r="BC19" s="230">
        <f t="shared" si="5"/>
        <v>7076000</v>
      </c>
      <c r="BD19" s="230">
        <f t="shared" si="5"/>
        <v>7192000</v>
      </c>
      <c r="BE19" s="230">
        <f t="shared" si="5"/>
        <v>7308000</v>
      </c>
      <c r="BF19" s="230">
        <f t="shared" si="5"/>
        <v>7424000</v>
      </c>
      <c r="BG19" s="230">
        <f t="shared" si="5"/>
        <v>7540000</v>
      </c>
      <c r="BH19" s="230">
        <f t="shared" si="5"/>
        <v>7656000</v>
      </c>
      <c r="BI19" s="230">
        <f t="shared" si="5"/>
        <v>7772000</v>
      </c>
      <c r="BJ19" s="230">
        <f t="shared" si="5"/>
        <v>7888000</v>
      </c>
      <c r="BK19" s="230">
        <f t="shared" si="5"/>
        <v>8004000</v>
      </c>
      <c r="BL19" s="230">
        <f t="shared" si="5"/>
        <v>8120000</v>
      </c>
      <c r="BM19" s="230">
        <f t="shared" si="5"/>
        <v>8236000</v>
      </c>
      <c r="BN19" s="230">
        <f t="shared" si="5"/>
        <v>8352000</v>
      </c>
      <c r="BO19" s="230">
        <f t="shared" si="5"/>
        <v>8468000</v>
      </c>
      <c r="BP19" s="230">
        <f t="shared" si="5"/>
        <v>8584000</v>
      </c>
      <c r="BQ19" s="230">
        <f t="shared" si="5"/>
        <v>8700000</v>
      </c>
      <c r="BR19" s="230">
        <f t="shared" si="5"/>
        <v>8816000</v>
      </c>
      <c r="BS19" s="230">
        <f t="shared" si="5"/>
        <v>8932000</v>
      </c>
      <c r="BT19" s="230">
        <f t="shared" si="5"/>
        <v>9048000</v>
      </c>
      <c r="BU19" s="230">
        <f t="shared" si="5"/>
        <v>9164000</v>
      </c>
      <c r="BV19" s="230">
        <f t="shared" si="5"/>
        <v>9280000</v>
      </c>
      <c r="BW19" s="230">
        <f t="shared" si="5"/>
        <v>9396000</v>
      </c>
      <c r="BX19" s="230">
        <f t="shared" si="5"/>
        <v>9512000</v>
      </c>
      <c r="BY19" s="230">
        <f t="shared" si="5"/>
        <v>9628000</v>
      </c>
      <c r="BZ19" s="230">
        <f t="shared" si="5"/>
        <v>9744000</v>
      </c>
      <c r="CA19" s="230">
        <f t="shared" si="5"/>
        <v>9860000</v>
      </c>
      <c r="CB19" s="46"/>
      <c r="CC19" s="111"/>
    </row>
    <row r="20" spans="1:81" s="85" customFormat="1" ht="15" customHeight="1" x14ac:dyDescent="0.3">
      <c r="A20" s="84"/>
      <c r="D20" s="161" t="s">
        <v>92</v>
      </c>
      <c r="E20" s="86"/>
      <c r="F20" s="86"/>
      <c r="G20" s="86"/>
      <c r="H20" s="86"/>
      <c r="I20" s="83" t="s">
        <v>36</v>
      </c>
      <c r="J20" s="83"/>
      <c r="K20" s="78"/>
      <c r="L20" s="78">
        <f>IFERROR(L19/L11,0)</f>
        <v>0.57999999999999996</v>
      </c>
      <c r="M20" s="78"/>
      <c r="N20" s="78">
        <f>IFERROR(N19/N11,0)</f>
        <v>0.57999999999999996</v>
      </c>
      <c r="O20" s="78">
        <f>IFERROR(O19/O11,0)</f>
        <v>0.57999999999999996</v>
      </c>
      <c r="P20" s="78">
        <f>IFERROR(P19/P11,0)</f>
        <v>0.57999999999999996</v>
      </c>
      <c r="Q20" s="78">
        <f>IFERROR(Q19/Q11,0)</f>
        <v>0.57999999999999996</v>
      </c>
      <c r="R20" s="78">
        <f>IFERROR(R19/R11,0)</f>
        <v>0.57999999999999996</v>
      </c>
      <c r="S20" s="78"/>
      <c r="T20" s="78">
        <f t="shared" ref="T20:AY20" si="6">IFERROR(T19/T11,0)</f>
        <v>0</v>
      </c>
      <c r="U20" s="78">
        <f t="shared" si="6"/>
        <v>0</v>
      </c>
      <c r="V20" s="78">
        <f t="shared" si="6"/>
        <v>0</v>
      </c>
      <c r="W20" s="78">
        <f t="shared" si="6"/>
        <v>0</v>
      </c>
      <c r="X20" s="78">
        <f t="shared" si="6"/>
        <v>0</v>
      </c>
      <c r="Y20" s="78">
        <f t="shared" si="6"/>
        <v>0.57999999999999996</v>
      </c>
      <c r="Z20" s="78">
        <f t="shared" si="6"/>
        <v>0.57999999999999996</v>
      </c>
      <c r="AA20" s="78">
        <f t="shared" si="6"/>
        <v>0.57999999999999996</v>
      </c>
      <c r="AB20" s="78">
        <f t="shared" si="6"/>
        <v>0.57999999999999996</v>
      </c>
      <c r="AC20" s="78">
        <f t="shared" si="6"/>
        <v>0.57999999999999996</v>
      </c>
      <c r="AD20" s="78">
        <f t="shared" si="6"/>
        <v>0.57999999999999996</v>
      </c>
      <c r="AE20" s="78">
        <f t="shared" si="6"/>
        <v>0.57999999999999996</v>
      </c>
      <c r="AF20" s="78">
        <f t="shared" si="6"/>
        <v>0.57999999999999996</v>
      </c>
      <c r="AG20" s="78">
        <f t="shared" si="6"/>
        <v>0.57999999999999996</v>
      </c>
      <c r="AH20" s="78">
        <f t="shared" si="6"/>
        <v>0.57999999999999996</v>
      </c>
      <c r="AI20" s="78">
        <f t="shared" si="6"/>
        <v>0.57999999999999996</v>
      </c>
      <c r="AJ20" s="78">
        <f t="shared" si="6"/>
        <v>0.57999999999999996</v>
      </c>
      <c r="AK20" s="78">
        <f t="shared" si="6"/>
        <v>0.57999999999999996</v>
      </c>
      <c r="AL20" s="78">
        <f t="shared" si="6"/>
        <v>0.57999999999999996</v>
      </c>
      <c r="AM20" s="78">
        <f t="shared" si="6"/>
        <v>0.57999999999999996</v>
      </c>
      <c r="AN20" s="78">
        <f t="shared" si="6"/>
        <v>0.57999999999999996</v>
      </c>
      <c r="AO20" s="78">
        <f t="shared" si="6"/>
        <v>0.57999999999999996</v>
      </c>
      <c r="AP20" s="78">
        <f t="shared" si="6"/>
        <v>0.57999999999999996</v>
      </c>
      <c r="AQ20" s="78">
        <f t="shared" si="6"/>
        <v>0.57999999999999996</v>
      </c>
      <c r="AR20" s="78">
        <f t="shared" si="6"/>
        <v>0.57999999999999996</v>
      </c>
      <c r="AS20" s="78">
        <f t="shared" si="6"/>
        <v>0.57999999999999996</v>
      </c>
      <c r="AT20" s="78">
        <f t="shared" si="6"/>
        <v>0.57999999999999996</v>
      </c>
      <c r="AU20" s="78">
        <f t="shared" si="6"/>
        <v>0.57999999999999996</v>
      </c>
      <c r="AV20" s="78">
        <f t="shared" si="6"/>
        <v>0.57999999999999996</v>
      </c>
      <c r="AW20" s="78">
        <f t="shared" si="6"/>
        <v>0.57999999999999996</v>
      </c>
      <c r="AX20" s="78">
        <f t="shared" si="6"/>
        <v>0.57999999999999996</v>
      </c>
      <c r="AY20" s="78">
        <f t="shared" si="6"/>
        <v>0.57999999999999996</v>
      </c>
      <c r="AZ20" s="78">
        <f t="shared" ref="AZ20:CA20" si="7">IFERROR(AZ19/AZ11,0)</f>
        <v>0.57999999999999996</v>
      </c>
      <c r="BA20" s="78">
        <f t="shared" si="7"/>
        <v>0.57999999999999996</v>
      </c>
      <c r="BB20" s="78">
        <f t="shared" si="7"/>
        <v>0.57999999999999996</v>
      </c>
      <c r="BC20" s="78">
        <f t="shared" si="7"/>
        <v>0.57999999999999996</v>
      </c>
      <c r="BD20" s="78">
        <f t="shared" si="7"/>
        <v>0.57999999999999996</v>
      </c>
      <c r="BE20" s="78">
        <f t="shared" si="7"/>
        <v>0.57999999999999996</v>
      </c>
      <c r="BF20" s="78">
        <f t="shared" si="7"/>
        <v>0.57999999999999996</v>
      </c>
      <c r="BG20" s="78">
        <f t="shared" si="7"/>
        <v>0.57999999999999996</v>
      </c>
      <c r="BH20" s="78">
        <f t="shared" si="7"/>
        <v>0.57999999999999996</v>
      </c>
      <c r="BI20" s="78">
        <f t="shared" si="7"/>
        <v>0.57999999999999996</v>
      </c>
      <c r="BJ20" s="78">
        <f t="shared" si="7"/>
        <v>0.57999999999999996</v>
      </c>
      <c r="BK20" s="78">
        <f t="shared" si="7"/>
        <v>0.57999999999999996</v>
      </c>
      <c r="BL20" s="78">
        <f t="shared" si="7"/>
        <v>0.57999999999999996</v>
      </c>
      <c r="BM20" s="78">
        <f t="shared" si="7"/>
        <v>0.57999999999999996</v>
      </c>
      <c r="BN20" s="78">
        <f t="shared" si="7"/>
        <v>0.57999999999999996</v>
      </c>
      <c r="BO20" s="78">
        <f t="shared" si="7"/>
        <v>0.57999999999999996</v>
      </c>
      <c r="BP20" s="78">
        <f t="shared" si="7"/>
        <v>0.57999999999999996</v>
      </c>
      <c r="BQ20" s="78">
        <f t="shared" si="7"/>
        <v>0.57999999999999996</v>
      </c>
      <c r="BR20" s="78">
        <f t="shared" si="7"/>
        <v>0.57999999999999996</v>
      </c>
      <c r="BS20" s="78">
        <f t="shared" si="7"/>
        <v>0.57999999999999996</v>
      </c>
      <c r="BT20" s="78">
        <f t="shared" si="7"/>
        <v>0.57999999999999996</v>
      </c>
      <c r="BU20" s="78">
        <f t="shared" si="7"/>
        <v>0.57999999999999996</v>
      </c>
      <c r="BV20" s="78">
        <f t="shared" si="7"/>
        <v>0.57999999999999996</v>
      </c>
      <c r="BW20" s="78">
        <f t="shared" si="7"/>
        <v>0.57999999999999996</v>
      </c>
      <c r="BX20" s="78">
        <f t="shared" si="7"/>
        <v>0.57999999999999996</v>
      </c>
      <c r="BY20" s="78">
        <f t="shared" si="7"/>
        <v>0.57999999999999996</v>
      </c>
      <c r="BZ20" s="78">
        <f t="shared" si="7"/>
        <v>0.57999999999999996</v>
      </c>
      <c r="CA20" s="78">
        <f t="shared" si="7"/>
        <v>0.57999999999999996</v>
      </c>
      <c r="CB20" s="77"/>
      <c r="CC20" s="111"/>
    </row>
    <row r="21" spans="1:81" ht="15" customHeight="1" x14ac:dyDescent="0.3">
      <c r="A21" s="51"/>
      <c r="D21" s="132"/>
      <c r="I21" s="31"/>
      <c r="J21" s="31"/>
      <c r="K21" s="2"/>
      <c r="L21" s="29"/>
      <c r="M21" s="97"/>
      <c r="N21" s="29"/>
      <c r="O21" s="29"/>
      <c r="P21" s="29"/>
      <c r="Q21" s="29"/>
      <c r="R21" s="29"/>
      <c r="S21" s="97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111"/>
    </row>
    <row r="22" spans="1:81" s="65" customFormat="1" ht="15" customHeight="1" x14ac:dyDescent="0.3">
      <c r="A22" s="66"/>
      <c r="D22" s="134" t="s">
        <v>47</v>
      </c>
      <c r="E22" s="28"/>
      <c r="F22" s="28"/>
      <c r="G22" s="28"/>
      <c r="H22" s="28"/>
      <c r="I22" s="6" t="str">
        <f>Ввод!$M$12</f>
        <v>руб</v>
      </c>
      <c r="J22" s="6"/>
      <c r="K22" s="49"/>
      <c r="L22" s="225">
        <f t="shared" ref="L22" si="8">SUM(N22:R22)</f>
        <v>-20955000</v>
      </c>
      <c r="M22" s="227"/>
      <c r="N22" s="225">
        <f t="shared" ref="N22:R26" si="9">SUMIF($T$4:$EI$4,N$4,$T22:$EI22)</f>
        <v>-1471800</v>
      </c>
      <c r="O22" s="225">
        <f t="shared" si="9"/>
        <v>-3445200</v>
      </c>
      <c r="P22" s="225">
        <f t="shared" si="9"/>
        <v>-4395600</v>
      </c>
      <c r="Q22" s="225">
        <f t="shared" si="9"/>
        <v>-5346000</v>
      </c>
      <c r="R22" s="225">
        <f t="shared" si="9"/>
        <v>-6296400</v>
      </c>
      <c r="S22" s="227"/>
      <c r="T22" s="226">
        <f>Расчет!V55</f>
        <v>0</v>
      </c>
      <c r="U22" s="226">
        <f>Расчет!W55</f>
        <v>0</v>
      </c>
      <c r="V22" s="226">
        <f>Расчет!X55</f>
        <v>0</v>
      </c>
      <c r="W22" s="226">
        <f>Расчет!Y55</f>
        <v>0</v>
      </c>
      <c r="X22" s="226">
        <f>Расчет!Z55</f>
        <v>0</v>
      </c>
      <c r="Y22" s="226">
        <f>Расчет!AA55</f>
        <v>-165000</v>
      </c>
      <c r="Z22" s="226">
        <f>Расчет!AB55</f>
        <v>-181500</v>
      </c>
      <c r="AA22" s="226">
        <f>Расчет!AC55</f>
        <v>-198000</v>
      </c>
      <c r="AB22" s="226">
        <f>Расчет!AD55</f>
        <v>-214500</v>
      </c>
      <c r="AC22" s="226">
        <f>Расчет!AE55</f>
        <v>-231000</v>
      </c>
      <c r="AD22" s="226">
        <f>Расчет!AF55</f>
        <v>-237600</v>
      </c>
      <c r="AE22" s="226">
        <f>Расчет!AG55</f>
        <v>-244200</v>
      </c>
      <c r="AF22" s="226">
        <f>Расчет!AH55</f>
        <v>-250800</v>
      </c>
      <c r="AG22" s="226">
        <f>Расчет!AI55</f>
        <v>-257400</v>
      </c>
      <c r="AH22" s="226">
        <f>Расчет!AJ55</f>
        <v>-264000</v>
      </c>
      <c r="AI22" s="226">
        <f>Расчет!AK55</f>
        <v>-270600</v>
      </c>
      <c r="AJ22" s="226">
        <f>Расчет!AL55</f>
        <v>-277200</v>
      </c>
      <c r="AK22" s="226">
        <f>Расчет!AM55</f>
        <v>-283800</v>
      </c>
      <c r="AL22" s="226">
        <f>Расчет!AN55</f>
        <v>-290400</v>
      </c>
      <c r="AM22" s="226">
        <f>Расчет!AO55</f>
        <v>-297000</v>
      </c>
      <c r="AN22" s="226">
        <f>Расчет!AP55</f>
        <v>-303600</v>
      </c>
      <c r="AO22" s="226">
        <f>Расчет!AQ55</f>
        <v>-310200</v>
      </c>
      <c r="AP22" s="226">
        <f>Расчет!AR55</f>
        <v>-316800</v>
      </c>
      <c r="AQ22" s="226">
        <f>Расчет!AS55</f>
        <v>-323400</v>
      </c>
      <c r="AR22" s="226">
        <f>Расчет!AT55</f>
        <v>-330000</v>
      </c>
      <c r="AS22" s="226">
        <f>Расчет!AU55</f>
        <v>-336600</v>
      </c>
      <c r="AT22" s="226">
        <f>Расчет!AV55</f>
        <v>-343200</v>
      </c>
      <c r="AU22" s="226">
        <f>Расчет!AW55</f>
        <v>-349800</v>
      </c>
      <c r="AV22" s="226">
        <f>Расчет!AX55</f>
        <v>-356400</v>
      </c>
      <c r="AW22" s="226">
        <f>Расчет!AY55</f>
        <v>-363000</v>
      </c>
      <c r="AX22" s="226">
        <f>Расчет!AZ55</f>
        <v>-369600</v>
      </c>
      <c r="AY22" s="226">
        <f>Расчет!BA55</f>
        <v>-376200</v>
      </c>
      <c r="AZ22" s="226">
        <f>Расчет!BB55</f>
        <v>-382800</v>
      </c>
      <c r="BA22" s="226">
        <f>Расчет!BC55</f>
        <v>-389400</v>
      </c>
      <c r="BB22" s="226">
        <f>Расчет!BD55</f>
        <v>-396000</v>
      </c>
      <c r="BC22" s="226">
        <f>Расчет!BE55</f>
        <v>-402600</v>
      </c>
      <c r="BD22" s="226">
        <f>Расчет!BF55</f>
        <v>-409200</v>
      </c>
      <c r="BE22" s="226">
        <f>Расчет!BG55</f>
        <v>-415800</v>
      </c>
      <c r="BF22" s="226">
        <f>Расчет!BH55</f>
        <v>-422400</v>
      </c>
      <c r="BG22" s="226">
        <f>Расчет!BI55</f>
        <v>-429000</v>
      </c>
      <c r="BH22" s="226">
        <f>Расчет!BJ55</f>
        <v>-435600</v>
      </c>
      <c r="BI22" s="226">
        <f>Расчет!BK55</f>
        <v>-442200</v>
      </c>
      <c r="BJ22" s="226">
        <f>Расчет!BL55</f>
        <v>-448800</v>
      </c>
      <c r="BK22" s="226">
        <f>Расчет!BM55</f>
        <v>-455400</v>
      </c>
      <c r="BL22" s="226">
        <f>Расчет!BN55</f>
        <v>-462000</v>
      </c>
      <c r="BM22" s="226">
        <f>Расчет!BO55</f>
        <v>-468600</v>
      </c>
      <c r="BN22" s="226">
        <f>Расчет!BP55</f>
        <v>-475200</v>
      </c>
      <c r="BO22" s="226">
        <f>Расчет!BQ55</f>
        <v>-481800</v>
      </c>
      <c r="BP22" s="226">
        <f>Расчет!BR55</f>
        <v>-488400</v>
      </c>
      <c r="BQ22" s="226">
        <f>Расчет!BS55</f>
        <v>-495000</v>
      </c>
      <c r="BR22" s="226">
        <f>Расчет!BT55</f>
        <v>-501600</v>
      </c>
      <c r="BS22" s="226">
        <f>Расчет!BU55</f>
        <v>-508200</v>
      </c>
      <c r="BT22" s="226">
        <f>Расчет!BV55</f>
        <v>-514800</v>
      </c>
      <c r="BU22" s="226">
        <f>Расчет!BW55</f>
        <v>-521400</v>
      </c>
      <c r="BV22" s="226">
        <f>Расчет!BX55</f>
        <v>-528000</v>
      </c>
      <c r="BW22" s="226">
        <f>Расчет!BY55</f>
        <v>-534600</v>
      </c>
      <c r="BX22" s="226">
        <f>Расчет!BZ55</f>
        <v>-541200</v>
      </c>
      <c r="BY22" s="226">
        <f>Расчет!CA55</f>
        <v>-547800</v>
      </c>
      <c r="BZ22" s="226">
        <f>Расчет!CB55</f>
        <v>-554400</v>
      </c>
      <c r="CA22" s="226">
        <f>Расчет!CC55</f>
        <v>-561000</v>
      </c>
      <c r="CB22" s="61"/>
      <c r="CC22" s="111"/>
    </row>
    <row r="23" spans="1:81" ht="15" customHeight="1" x14ac:dyDescent="0.3">
      <c r="A23" s="51"/>
      <c r="D23" s="166" t="str">
        <f>Расчет!D51</f>
        <v>Реклама</v>
      </c>
      <c r="E23" s="62"/>
      <c r="F23" s="62"/>
      <c r="G23" s="62"/>
      <c r="H23" s="62"/>
      <c r="I23" s="31" t="str">
        <f>Ввод!$M$12</f>
        <v>руб</v>
      </c>
      <c r="J23" s="31"/>
      <c r="K23" s="2"/>
      <c r="L23" s="191">
        <f t="shared" ref="L23" si="10">SUM(N23:R23)</f>
        <v>-6350000</v>
      </c>
      <c r="M23" s="139"/>
      <c r="N23" s="191">
        <f t="shared" si="9"/>
        <v>-446000</v>
      </c>
      <c r="O23" s="191">
        <f t="shared" si="9"/>
        <v>-1044000</v>
      </c>
      <c r="P23" s="191">
        <f t="shared" si="9"/>
        <v>-1332000</v>
      </c>
      <c r="Q23" s="191">
        <f t="shared" si="9"/>
        <v>-1620000</v>
      </c>
      <c r="R23" s="191">
        <f t="shared" si="9"/>
        <v>-1908000</v>
      </c>
      <c r="S23" s="139"/>
      <c r="T23" s="224">
        <f>Расчет!V51</f>
        <v>0</v>
      </c>
      <c r="U23" s="224">
        <f>Расчет!W51</f>
        <v>0</v>
      </c>
      <c r="V23" s="224">
        <f>Расчет!X51</f>
        <v>0</v>
      </c>
      <c r="W23" s="224">
        <f>Расчет!Y51</f>
        <v>0</v>
      </c>
      <c r="X23" s="224">
        <f>Расчет!Z51</f>
        <v>0</v>
      </c>
      <c r="Y23" s="224">
        <f>Расчет!AA51</f>
        <v>-50000</v>
      </c>
      <c r="Z23" s="224">
        <f>Расчет!AB51</f>
        <v>-55000</v>
      </c>
      <c r="AA23" s="224">
        <f>Расчет!AC51</f>
        <v>-60000</v>
      </c>
      <c r="AB23" s="224">
        <f>Расчет!AD51</f>
        <v>-65000</v>
      </c>
      <c r="AC23" s="224">
        <f>Расчет!AE51</f>
        <v>-70000</v>
      </c>
      <c r="AD23" s="224">
        <f>Расчет!AF51</f>
        <v>-72000</v>
      </c>
      <c r="AE23" s="224">
        <f>Расчет!AG51</f>
        <v>-74000</v>
      </c>
      <c r="AF23" s="224">
        <f>Расчет!AH51</f>
        <v>-76000</v>
      </c>
      <c r="AG23" s="224">
        <f>Расчет!AI51</f>
        <v>-78000</v>
      </c>
      <c r="AH23" s="224">
        <f>Расчет!AJ51</f>
        <v>-80000</v>
      </c>
      <c r="AI23" s="224">
        <f>Расчет!AK51</f>
        <v>-82000</v>
      </c>
      <c r="AJ23" s="224">
        <f>Расчет!AL51</f>
        <v>-84000</v>
      </c>
      <c r="AK23" s="224">
        <f>Расчет!AM51</f>
        <v>-86000</v>
      </c>
      <c r="AL23" s="224">
        <f>Расчет!AN51</f>
        <v>-88000</v>
      </c>
      <c r="AM23" s="224">
        <f>Расчет!AO51</f>
        <v>-90000</v>
      </c>
      <c r="AN23" s="224">
        <f>Расчет!AP51</f>
        <v>-92000</v>
      </c>
      <c r="AO23" s="224">
        <f>Расчет!AQ51</f>
        <v>-94000</v>
      </c>
      <c r="AP23" s="224">
        <f>Расчет!AR51</f>
        <v>-96000</v>
      </c>
      <c r="AQ23" s="224">
        <f>Расчет!AS51</f>
        <v>-98000</v>
      </c>
      <c r="AR23" s="224">
        <f>Расчет!AT51</f>
        <v>-100000</v>
      </c>
      <c r="AS23" s="224">
        <f>Расчет!AU51</f>
        <v>-102000</v>
      </c>
      <c r="AT23" s="224">
        <f>Расчет!AV51</f>
        <v>-104000</v>
      </c>
      <c r="AU23" s="224">
        <f>Расчет!AW51</f>
        <v>-106000</v>
      </c>
      <c r="AV23" s="224">
        <f>Расчет!AX51</f>
        <v>-108000</v>
      </c>
      <c r="AW23" s="224">
        <f>Расчет!AY51</f>
        <v>-110000</v>
      </c>
      <c r="AX23" s="224">
        <f>Расчет!AZ51</f>
        <v>-112000</v>
      </c>
      <c r="AY23" s="224">
        <f>Расчет!BA51</f>
        <v>-114000</v>
      </c>
      <c r="AZ23" s="224">
        <f>Расчет!BB51</f>
        <v>-116000</v>
      </c>
      <c r="BA23" s="224">
        <f>Расчет!BC51</f>
        <v>-118000</v>
      </c>
      <c r="BB23" s="224">
        <f>Расчет!BD51</f>
        <v>-120000</v>
      </c>
      <c r="BC23" s="224">
        <f>Расчет!BE51</f>
        <v>-122000</v>
      </c>
      <c r="BD23" s="224">
        <f>Расчет!BF51</f>
        <v>-124000</v>
      </c>
      <c r="BE23" s="224">
        <f>Расчет!BG51</f>
        <v>-126000</v>
      </c>
      <c r="BF23" s="224">
        <f>Расчет!BH51</f>
        <v>-128000</v>
      </c>
      <c r="BG23" s="224">
        <f>Расчет!BI51</f>
        <v>-130000</v>
      </c>
      <c r="BH23" s="224">
        <f>Расчет!BJ51</f>
        <v>-132000</v>
      </c>
      <c r="BI23" s="224">
        <f>Расчет!BK51</f>
        <v>-134000</v>
      </c>
      <c r="BJ23" s="224">
        <f>Расчет!BL51</f>
        <v>-136000</v>
      </c>
      <c r="BK23" s="224">
        <f>Расчет!BM51</f>
        <v>-138000</v>
      </c>
      <c r="BL23" s="224">
        <f>Расчет!BN51</f>
        <v>-140000</v>
      </c>
      <c r="BM23" s="224">
        <f>Расчет!BO51</f>
        <v>-142000</v>
      </c>
      <c r="BN23" s="224">
        <f>Расчет!BP51</f>
        <v>-144000</v>
      </c>
      <c r="BO23" s="224">
        <f>Расчет!BQ51</f>
        <v>-146000</v>
      </c>
      <c r="BP23" s="224">
        <f>Расчет!BR51</f>
        <v>-148000</v>
      </c>
      <c r="BQ23" s="224">
        <f>Расчет!BS51</f>
        <v>-150000</v>
      </c>
      <c r="BR23" s="224">
        <f>Расчет!BT51</f>
        <v>-152000</v>
      </c>
      <c r="BS23" s="224">
        <f>Расчет!BU51</f>
        <v>-154000</v>
      </c>
      <c r="BT23" s="224">
        <f>Расчет!BV51</f>
        <v>-156000</v>
      </c>
      <c r="BU23" s="224">
        <f>Расчет!BW51</f>
        <v>-158000</v>
      </c>
      <c r="BV23" s="224">
        <f>Расчет!BX51</f>
        <v>-160000</v>
      </c>
      <c r="BW23" s="224">
        <f>Расчет!BY51</f>
        <v>-162000</v>
      </c>
      <c r="BX23" s="224">
        <f>Расчет!BZ51</f>
        <v>-164000</v>
      </c>
      <c r="BY23" s="224">
        <f>Расчет!CA51</f>
        <v>-166000</v>
      </c>
      <c r="BZ23" s="224">
        <f>Расчет!CB51</f>
        <v>-168000</v>
      </c>
      <c r="CA23" s="224">
        <f>Расчет!CC51</f>
        <v>-170000</v>
      </c>
      <c r="CB23" s="46"/>
      <c r="CC23" s="111"/>
    </row>
    <row r="24" spans="1:81" ht="15" customHeight="1" x14ac:dyDescent="0.3">
      <c r="A24" s="51"/>
      <c r="D24" s="166" t="str">
        <f>Расчет!D52</f>
        <v>Упаковка и маркировка</v>
      </c>
      <c r="E24" s="62"/>
      <c r="F24" s="62"/>
      <c r="G24" s="62"/>
      <c r="H24" s="62"/>
      <c r="I24" s="31" t="str">
        <f>Ввод!$M$12</f>
        <v>руб</v>
      </c>
      <c r="J24" s="31"/>
      <c r="K24" s="2"/>
      <c r="L24" s="191">
        <f t="shared" ref="L24" si="11">SUM(N24:R24)</f>
        <v>-6350000</v>
      </c>
      <c r="M24" s="139"/>
      <c r="N24" s="191">
        <f t="shared" si="9"/>
        <v>-446000</v>
      </c>
      <c r="O24" s="191">
        <f t="shared" si="9"/>
        <v>-1044000</v>
      </c>
      <c r="P24" s="191">
        <f t="shared" si="9"/>
        <v>-1332000</v>
      </c>
      <c r="Q24" s="191">
        <f t="shared" si="9"/>
        <v>-1620000</v>
      </c>
      <c r="R24" s="191">
        <f t="shared" si="9"/>
        <v>-1908000</v>
      </c>
      <c r="S24" s="139"/>
      <c r="T24" s="224">
        <f>Расчет!V52</f>
        <v>0</v>
      </c>
      <c r="U24" s="224">
        <f>Расчет!W52</f>
        <v>0</v>
      </c>
      <c r="V24" s="224">
        <f>Расчет!X52</f>
        <v>0</v>
      </c>
      <c r="W24" s="224">
        <f>Расчет!Y52</f>
        <v>0</v>
      </c>
      <c r="X24" s="224">
        <f>Расчет!Z52</f>
        <v>0</v>
      </c>
      <c r="Y24" s="224">
        <f>Расчет!AA52</f>
        <v>-50000</v>
      </c>
      <c r="Z24" s="224">
        <f>Расчет!AB52</f>
        <v>-55000</v>
      </c>
      <c r="AA24" s="224">
        <f>Расчет!AC52</f>
        <v>-60000</v>
      </c>
      <c r="AB24" s="224">
        <f>Расчет!AD52</f>
        <v>-65000</v>
      </c>
      <c r="AC24" s="224">
        <f>Расчет!AE52</f>
        <v>-70000</v>
      </c>
      <c r="AD24" s="224">
        <f>Расчет!AF52</f>
        <v>-72000</v>
      </c>
      <c r="AE24" s="224">
        <f>Расчет!AG52</f>
        <v>-74000</v>
      </c>
      <c r="AF24" s="224">
        <f>Расчет!AH52</f>
        <v>-76000</v>
      </c>
      <c r="AG24" s="224">
        <f>Расчет!AI52</f>
        <v>-78000</v>
      </c>
      <c r="AH24" s="224">
        <f>Расчет!AJ52</f>
        <v>-80000</v>
      </c>
      <c r="AI24" s="224">
        <f>Расчет!AK52</f>
        <v>-82000</v>
      </c>
      <c r="AJ24" s="224">
        <f>Расчет!AL52</f>
        <v>-84000</v>
      </c>
      <c r="AK24" s="224">
        <f>Расчет!AM52</f>
        <v>-86000</v>
      </c>
      <c r="AL24" s="224">
        <f>Расчет!AN52</f>
        <v>-88000</v>
      </c>
      <c r="AM24" s="224">
        <f>Расчет!AO52</f>
        <v>-90000</v>
      </c>
      <c r="AN24" s="224">
        <f>Расчет!AP52</f>
        <v>-92000</v>
      </c>
      <c r="AO24" s="224">
        <f>Расчет!AQ52</f>
        <v>-94000</v>
      </c>
      <c r="AP24" s="224">
        <f>Расчет!AR52</f>
        <v>-96000</v>
      </c>
      <c r="AQ24" s="224">
        <f>Расчет!AS52</f>
        <v>-98000</v>
      </c>
      <c r="AR24" s="224">
        <f>Расчет!AT52</f>
        <v>-100000</v>
      </c>
      <c r="AS24" s="224">
        <f>Расчет!AU52</f>
        <v>-102000</v>
      </c>
      <c r="AT24" s="224">
        <f>Расчет!AV52</f>
        <v>-104000</v>
      </c>
      <c r="AU24" s="224">
        <f>Расчет!AW52</f>
        <v>-106000</v>
      </c>
      <c r="AV24" s="224">
        <f>Расчет!AX52</f>
        <v>-108000</v>
      </c>
      <c r="AW24" s="224">
        <f>Расчет!AY52</f>
        <v>-110000</v>
      </c>
      <c r="AX24" s="224">
        <f>Расчет!AZ52</f>
        <v>-112000</v>
      </c>
      <c r="AY24" s="224">
        <f>Расчет!BA52</f>
        <v>-114000</v>
      </c>
      <c r="AZ24" s="224">
        <f>Расчет!BB52</f>
        <v>-116000</v>
      </c>
      <c r="BA24" s="224">
        <f>Расчет!BC52</f>
        <v>-118000</v>
      </c>
      <c r="BB24" s="224">
        <f>Расчет!BD52</f>
        <v>-120000</v>
      </c>
      <c r="BC24" s="224">
        <f>Расчет!BE52</f>
        <v>-122000</v>
      </c>
      <c r="BD24" s="224">
        <f>Расчет!BF52</f>
        <v>-124000</v>
      </c>
      <c r="BE24" s="224">
        <f>Расчет!BG52</f>
        <v>-126000</v>
      </c>
      <c r="BF24" s="224">
        <f>Расчет!BH52</f>
        <v>-128000</v>
      </c>
      <c r="BG24" s="224">
        <f>Расчет!BI52</f>
        <v>-130000</v>
      </c>
      <c r="BH24" s="224">
        <f>Расчет!BJ52</f>
        <v>-132000</v>
      </c>
      <c r="BI24" s="224">
        <f>Расчет!BK52</f>
        <v>-134000</v>
      </c>
      <c r="BJ24" s="224">
        <f>Расчет!BL52</f>
        <v>-136000</v>
      </c>
      <c r="BK24" s="224">
        <f>Расчет!BM52</f>
        <v>-138000</v>
      </c>
      <c r="BL24" s="224">
        <f>Расчет!BN52</f>
        <v>-140000</v>
      </c>
      <c r="BM24" s="224">
        <f>Расчет!BO52</f>
        <v>-142000</v>
      </c>
      <c r="BN24" s="224">
        <f>Расчет!BP52</f>
        <v>-144000</v>
      </c>
      <c r="BO24" s="224">
        <f>Расчет!BQ52</f>
        <v>-146000</v>
      </c>
      <c r="BP24" s="224">
        <f>Расчет!BR52</f>
        <v>-148000</v>
      </c>
      <c r="BQ24" s="224">
        <f>Расчет!BS52</f>
        <v>-150000</v>
      </c>
      <c r="BR24" s="224">
        <f>Расчет!BT52</f>
        <v>-152000</v>
      </c>
      <c r="BS24" s="224">
        <f>Расчет!BU52</f>
        <v>-154000</v>
      </c>
      <c r="BT24" s="224">
        <f>Расчет!BV52</f>
        <v>-156000</v>
      </c>
      <c r="BU24" s="224">
        <f>Расчет!BW52</f>
        <v>-158000</v>
      </c>
      <c r="BV24" s="224">
        <f>Расчет!BX52</f>
        <v>-160000</v>
      </c>
      <c r="BW24" s="224">
        <f>Расчет!BY52</f>
        <v>-162000</v>
      </c>
      <c r="BX24" s="224">
        <f>Расчет!BZ52</f>
        <v>-164000</v>
      </c>
      <c r="BY24" s="224">
        <f>Расчет!CA52</f>
        <v>-166000</v>
      </c>
      <c r="BZ24" s="224">
        <f>Расчет!CB52</f>
        <v>-168000</v>
      </c>
      <c r="CA24" s="224">
        <f>Расчет!CC52</f>
        <v>-170000</v>
      </c>
      <c r="CB24" s="46"/>
      <c r="CC24" s="111"/>
    </row>
    <row r="25" spans="1:81" ht="15" customHeight="1" x14ac:dyDescent="0.3">
      <c r="A25" s="51"/>
      <c r="D25" s="166" t="str">
        <f>Расчет!D53</f>
        <v>ГСМ</v>
      </c>
      <c r="E25" s="62"/>
      <c r="F25" s="62"/>
      <c r="G25" s="62"/>
      <c r="H25" s="62"/>
      <c r="I25" s="31" t="str">
        <f>Ввод!$M$12</f>
        <v>руб</v>
      </c>
      <c r="J25" s="31"/>
      <c r="K25" s="2"/>
      <c r="L25" s="191">
        <f t="shared" ref="L25:L26" si="12">SUM(N25:R25)</f>
        <v>-6350000</v>
      </c>
      <c r="M25" s="139"/>
      <c r="N25" s="191">
        <f t="shared" si="9"/>
        <v>-446000</v>
      </c>
      <c r="O25" s="191">
        <f t="shared" si="9"/>
        <v>-1044000</v>
      </c>
      <c r="P25" s="191">
        <f t="shared" si="9"/>
        <v>-1332000</v>
      </c>
      <c r="Q25" s="191">
        <f t="shared" si="9"/>
        <v>-1620000</v>
      </c>
      <c r="R25" s="191">
        <f t="shared" si="9"/>
        <v>-1908000</v>
      </c>
      <c r="S25" s="139"/>
      <c r="T25" s="224">
        <f>Расчет!V53</f>
        <v>0</v>
      </c>
      <c r="U25" s="224">
        <f>Расчет!W53</f>
        <v>0</v>
      </c>
      <c r="V25" s="224">
        <f>Расчет!X53</f>
        <v>0</v>
      </c>
      <c r="W25" s="224">
        <f>Расчет!Y53</f>
        <v>0</v>
      </c>
      <c r="X25" s="224">
        <f>Расчет!Z53</f>
        <v>0</v>
      </c>
      <c r="Y25" s="224">
        <f>Расчет!AA53</f>
        <v>-50000</v>
      </c>
      <c r="Z25" s="224">
        <f>Расчет!AB53</f>
        <v>-55000</v>
      </c>
      <c r="AA25" s="224">
        <f>Расчет!AC53</f>
        <v>-60000</v>
      </c>
      <c r="AB25" s="224">
        <f>Расчет!AD53</f>
        <v>-65000</v>
      </c>
      <c r="AC25" s="224">
        <f>Расчет!AE53</f>
        <v>-70000</v>
      </c>
      <c r="AD25" s="224">
        <f>Расчет!AF53</f>
        <v>-72000</v>
      </c>
      <c r="AE25" s="224">
        <f>Расчет!AG53</f>
        <v>-74000</v>
      </c>
      <c r="AF25" s="224">
        <f>Расчет!AH53</f>
        <v>-76000</v>
      </c>
      <c r="AG25" s="224">
        <f>Расчет!AI53</f>
        <v>-78000</v>
      </c>
      <c r="AH25" s="224">
        <f>Расчет!AJ53</f>
        <v>-80000</v>
      </c>
      <c r="AI25" s="224">
        <f>Расчет!AK53</f>
        <v>-82000</v>
      </c>
      <c r="AJ25" s="224">
        <f>Расчет!AL53</f>
        <v>-84000</v>
      </c>
      <c r="AK25" s="224">
        <f>Расчет!AM53</f>
        <v>-86000</v>
      </c>
      <c r="AL25" s="224">
        <f>Расчет!AN53</f>
        <v>-88000</v>
      </c>
      <c r="AM25" s="224">
        <f>Расчет!AO53</f>
        <v>-90000</v>
      </c>
      <c r="AN25" s="224">
        <f>Расчет!AP53</f>
        <v>-92000</v>
      </c>
      <c r="AO25" s="224">
        <f>Расчет!AQ53</f>
        <v>-94000</v>
      </c>
      <c r="AP25" s="224">
        <f>Расчет!AR53</f>
        <v>-96000</v>
      </c>
      <c r="AQ25" s="224">
        <f>Расчет!AS53</f>
        <v>-98000</v>
      </c>
      <c r="AR25" s="224">
        <f>Расчет!AT53</f>
        <v>-100000</v>
      </c>
      <c r="AS25" s="224">
        <f>Расчет!AU53</f>
        <v>-102000</v>
      </c>
      <c r="AT25" s="224">
        <f>Расчет!AV53</f>
        <v>-104000</v>
      </c>
      <c r="AU25" s="224">
        <f>Расчет!AW53</f>
        <v>-106000</v>
      </c>
      <c r="AV25" s="224">
        <f>Расчет!AX53</f>
        <v>-108000</v>
      </c>
      <c r="AW25" s="224">
        <f>Расчет!AY53</f>
        <v>-110000</v>
      </c>
      <c r="AX25" s="224">
        <f>Расчет!AZ53</f>
        <v>-112000</v>
      </c>
      <c r="AY25" s="224">
        <f>Расчет!BA53</f>
        <v>-114000</v>
      </c>
      <c r="AZ25" s="224">
        <f>Расчет!BB53</f>
        <v>-116000</v>
      </c>
      <c r="BA25" s="224">
        <f>Расчет!BC53</f>
        <v>-118000</v>
      </c>
      <c r="BB25" s="224">
        <f>Расчет!BD53</f>
        <v>-120000</v>
      </c>
      <c r="BC25" s="224">
        <f>Расчет!BE53</f>
        <v>-122000</v>
      </c>
      <c r="BD25" s="224">
        <f>Расчет!BF53</f>
        <v>-124000</v>
      </c>
      <c r="BE25" s="224">
        <f>Расчет!BG53</f>
        <v>-126000</v>
      </c>
      <c r="BF25" s="224">
        <f>Расчет!BH53</f>
        <v>-128000</v>
      </c>
      <c r="BG25" s="224">
        <f>Расчет!BI53</f>
        <v>-130000</v>
      </c>
      <c r="BH25" s="224">
        <f>Расчет!BJ53</f>
        <v>-132000</v>
      </c>
      <c r="BI25" s="224">
        <f>Расчет!BK53</f>
        <v>-134000</v>
      </c>
      <c r="BJ25" s="224">
        <f>Расчет!BL53</f>
        <v>-136000</v>
      </c>
      <c r="BK25" s="224">
        <f>Расчет!BM53</f>
        <v>-138000</v>
      </c>
      <c r="BL25" s="224">
        <f>Расчет!BN53</f>
        <v>-140000</v>
      </c>
      <c r="BM25" s="224">
        <f>Расчет!BO53</f>
        <v>-142000</v>
      </c>
      <c r="BN25" s="224">
        <f>Расчет!BP53</f>
        <v>-144000</v>
      </c>
      <c r="BO25" s="224">
        <f>Расчет!BQ53</f>
        <v>-146000</v>
      </c>
      <c r="BP25" s="224">
        <f>Расчет!BR53</f>
        <v>-148000</v>
      </c>
      <c r="BQ25" s="224">
        <f>Расчет!BS53</f>
        <v>-150000</v>
      </c>
      <c r="BR25" s="224">
        <f>Расчет!BT53</f>
        <v>-152000</v>
      </c>
      <c r="BS25" s="224">
        <f>Расчет!BU53</f>
        <v>-154000</v>
      </c>
      <c r="BT25" s="224">
        <f>Расчет!BV53</f>
        <v>-156000</v>
      </c>
      <c r="BU25" s="224">
        <f>Расчет!BW53</f>
        <v>-158000</v>
      </c>
      <c r="BV25" s="224">
        <f>Расчет!BX53</f>
        <v>-160000</v>
      </c>
      <c r="BW25" s="224">
        <f>Расчет!BY53</f>
        <v>-162000</v>
      </c>
      <c r="BX25" s="224">
        <f>Расчет!BZ53</f>
        <v>-164000</v>
      </c>
      <c r="BY25" s="224">
        <f>Расчет!CA53</f>
        <v>-166000</v>
      </c>
      <c r="BZ25" s="224">
        <f>Расчет!CB53</f>
        <v>-168000</v>
      </c>
      <c r="CA25" s="224">
        <f>Расчет!CC53</f>
        <v>-170000</v>
      </c>
      <c r="CB25" s="46"/>
      <c r="CC25" s="111"/>
    </row>
    <row r="26" spans="1:81" ht="15" customHeight="1" x14ac:dyDescent="0.3">
      <c r="A26" s="51"/>
      <c r="D26" s="166" t="str">
        <f>Расчет!D54</f>
        <v>Расходы на транспортировку</v>
      </c>
      <c r="E26" s="62"/>
      <c r="F26" s="62"/>
      <c r="G26" s="62"/>
      <c r="H26" s="62"/>
      <c r="I26" s="31" t="str">
        <f>Ввод!$M$12</f>
        <v>руб</v>
      </c>
      <c r="J26" s="31"/>
      <c r="K26" s="2"/>
      <c r="L26" s="191">
        <f t="shared" si="12"/>
        <v>-1905000</v>
      </c>
      <c r="M26" s="139"/>
      <c r="N26" s="191">
        <f t="shared" si="9"/>
        <v>-133800</v>
      </c>
      <c r="O26" s="191">
        <f t="shared" si="9"/>
        <v>-313200</v>
      </c>
      <c r="P26" s="191">
        <f t="shared" si="9"/>
        <v>-399600</v>
      </c>
      <c r="Q26" s="191">
        <f t="shared" si="9"/>
        <v>-486000</v>
      </c>
      <c r="R26" s="191">
        <f t="shared" si="9"/>
        <v>-572400</v>
      </c>
      <c r="S26" s="139"/>
      <c r="T26" s="224">
        <f>Расчет!V54</f>
        <v>0</v>
      </c>
      <c r="U26" s="224">
        <f>Расчет!W54</f>
        <v>0</v>
      </c>
      <c r="V26" s="224">
        <f>Расчет!X54</f>
        <v>0</v>
      </c>
      <c r="W26" s="224">
        <f>Расчет!Y54</f>
        <v>0</v>
      </c>
      <c r="X26" s="224">
        <f>Расчет!Z54</f>
        <v>0</v>
      </c>
      <c r="Y26" s="224">
        <f>Расчет!AA54</f>
        <v>-15000</v>
      </c>
      <c r="Z26" s="224">
        <f>Расчет!AB54</f>
        <v>-16500</v>
      </c>
      <c r="AA26" s="224">
        <f>Расчет!AC54</f>
        <v>-18000</v>
      </c>
      <c r="AB26" s="224">
        <f>Расчет!AD54</f>
        <v>-19500</v>
      </c>
      <c r="AC26" s="224">
        <f>Расчет!AE54</f>
        <v>-21000</v>
      </c>
      <c r="AD26" s="224">
        <f>Расчет!AF54</f>
        <v>-21600</v>
      </c>
      <c r="AE26" s="224">
        <f>Расчет!AG54</f>
        <v>-22200</v>
      </c>
      <c r="AF26" s="224">
        <f>Расчет!AH54</f>
        <v>-22800</v>
      </c>
      <c r="AG26" s="224">
        <f>Расчет!AI54</f>
        <v>-23400</v>
      </c>
      <c r="AH26" s="224">
        <f>Расчет!AJ54</f>
        <v>-24000</v>
      </c>
      <c r="AI26" s="224">
        <f>Расчет!AK54</f>
        <v>-24600</v>
      </c>
      <c r="AJ26" s="224">
        <f>Расчет!AL54</f>
        <v>-25200</v>
      </c>
      <c r="AK26" s="224">
        <f>Расчет!AM54</f>
        <v>-25800</v>
      </c>
      <c r="AL26" s="224">
        <f>Расчет!AN54</f>
        <v>-26400</v>
      </c>
      <c r="AM26" s="224">
        <f>Расчет!AO54</f>
        <v>-27000</v>
      </c>
      <c r="AN26" s="224">
        <f>Расчет!AP54</f>
        <v>-27600</v>
      </c>
      <c r="AO26" s="224">
        <f>Расчет!AQ54</f>
        <v>-28200</v>
      </c>
      <c r="AP26" s="224">
        <f>Расчет!AR54</f>
        <v>-28800</v>
      </c>
      <c r="AQ26" s="224">
        <f>Расчет!AS54</f>
        <v>-29400</v>
      </c>
      <c r="AR26" s="224">
        <f>Расчет!AT54</f>
        <v>-30000</v>
      </c>
      <c r="AS26" s="224">
        <f>Расчет!AU54</f>
        <v>-30600</v>
      </c>
      <c r="AT26" s="224">
        <f>Расчет!AV54</f>
        <v>-31200</v>
      </c>
      <c r="AU26" s="224">
        <f>Расчет!AW54</f>
        <v>-31800</v>
      </c>
      <c r="AV26" s="224">
        <f>Расчет!AX54</f>
        <v>-32400</v>
      </c>
      <c r="AW26" s="224">
        <f>Расчет!AY54</f>
        <v>-33000</v>
      </c>
      <c r="AX26" s="224">
        <f>Расчет!AZ54</f>
        <v>-33600</v>
      </c>
      <c r="AY26" s="224">
        <f>Расчет!BA54</f>
        <v>-34200</v>
      </c>
      <c r="AZ26" s="224">
        <f>Расчет!BB54</f>
        <v>-34800</v>
      </c>
      <c r="BA26" s="224">
        <f>Расчет!BC54</f>
        <v>-35400</v>
      </c>
      <c r="BB26" s="224">
        <f>Расчет!BD54</f>
        <v>-36000</v>
      </c>
      <c r="BC26" s="224">
        <f>Расчет!BE54</f>
        <v>-36600</v>
      </c>
      <c r="BD26" s="224">
        <f>Расчет!BF54</f>
        <v>-37200</v>
      </c>
      <c r="BE26" s="224">
        <f>Расчет!BG54</f>
        <v>-37800</v>
      </c>
      <c r="BF26" s="224">
        <f>Расчет!BH54</f>
        <v>-38400</v>
      </c>
      <c r="BG26" s="224">
        <f>Расчет!BI54</f>
        <v>-39000</v>
      </c>
      <c r="BH26" s="224">
        <f>Расчет!BJ54</f>
        <v>-39600</v>
      </c>
      <c r="BI26" s="224">
        <f>Расчет!BK54</f>
        <v>-40200</v>
      </c>
      <c r="BJ26" s="224">
        <f>Расчет!BL54</f>
        <v>-40800</v>
      </c>
      <c r="BK26" s="224">
        <f>Расчет!BM54</f>
        <v>-41400</v>
      </c>
      <c r="BL26" s="224">
        <f>Расчет!BN54</f>
        <v>-42000</v>
      </c>
      <c r="BM26" s="224">
        <f>Расчет!BO54</f>
        <v>-42600</v>
      </c>
      <c r="BN26" s="224">
        <f>Расчет!BP54</f>
        <v>-43200</v>
      </c>
      <c r="BO26" s="224">
        <f>Расчет!BQ54</f>
        <v>-43800</v>
      </c>
      <c r="BP26" s="224">
        <f>Расчет!BR54</f>
        <v>-44400</v>
      </c>
      <c r="BQ26" s="224">
        <f>Расчет!BS54</f>
        <v>-45000</v>
      </c>
      <c r="BR26" s="224">
        <f>Расчет!BT54</f>
        <v>-45600</v>
      </c>
      <c r="BS26" s="224">
        <f>Расчет!BU54</f>
        <v>-46200</v>
      </c>
      <c r="BT26" s="224">
        <f>Расчет!BV54</f>
        <v>-46800</v>
      </c>
      <c r="BU26" s="224">
        <f>Расчет!BW54</f>
        <v>-47400</v>
      </c>
      <c r="BV26" s="224">
        <f>Расчет!BX54</f>
        <v>-48000</v>
      </c>
      <c r="BW26" s="224">
        <f>Расчет!BY54</f>
        <v>-48600</v>
      </c>
      <c r="BX26" s="224">
        <f>Расчет!BZ54</f>
        <v>-49200</v>
      </c>
      <c r="BY26" s="224">
        <f>Расчет!CA54</f>
        <v>-49800</v>
      </c>
      <c r="BZ26" s="224">
        <f>Расчет!CB54</f>
        <v>-50400</v>
      </c>
      <c r="CA26" s="224">
        <f>Расчет!CC54</f>
        <v>-51000</v>
      </c>
      <c r="CB26" s="46"/>
      <c r="CC26" s="111"/>
    </row>
    <row r="27" spans="1:81" ht="15" customHeight="1" x14ac:dyDescent="0.3">
      <c r="A27" s="51"/>
      <c r="D27" s="166"/>
      <c r="E27" s="62"/>
      <c r="F27" s="62"/>
      <c r="G27" s="62"/>
      <c r="H27" s="62"/>
      <c r="I27" s="31"/>
      <c r="J27" s="31"/>
      <c r="K27" s="2"/>
      <c r="L27" s="191"/>
      <c r="M27" s="139"/>
      <c r="N27" s="191"/>
      <c r="O27" s="191"/>
      <c r="P27" s="191"/>
      <c r="Q27" s="191"/>
      <c r="R27" s="191"/>
      <c r="S27" s="139"/>
      <c r="T27" s="228"/>
      <c r="U27" s="228"/>
      <c r="V27" s="228"/>
      <c r="W27" s="228"/>
      <c r="X27" s="228"/>
      <c r="Y27" s="228"/>
      <c r="Z27" s="228"/>
      <c r="AA27" s="228"/>
      <c r="AB27" s="228"/>
      <c r="AC27" s="228"/>
      <c r="AD27" s="228"/>
      <c r="AE27" s="228"/>
      <c r="AF27" s="228"/>
      <c r="AG27" s="228"/>
      <c r="AH27" s="228"/>
      <c r="AI27" s="228"/>
      <c r="AJ27" s="228"/>
      <c r="AK27" s="228"/>
      <c r="AL27" s="228"/>
      <c r="AM27" s="228"/>
      <c r="AN27" s="228"/>
      <c r="AO27" s="228"/>
      <c r="AP27" s="228"/>
      <c r="AQ27" s="228"/>
      <c r="AR27" s="228"/>
      <c r="AS27" s="228"/>
      <c r="AT27" s="228"/>
      <c r="AU27" s="228"/>
      <c r="AV27" s="228"/>
      <c r="AW27" s="228"/>
      <c r="AX27" s="228"/>
      <c r="AY27" s="228"/>
      <c r="AZ27" s="228"/>
      <c r="BA27" s="228"/>
      <c r="BB27" s="228"/>
      <c r="BC27" s="228"/>
      <c r="BD27" s="228"/>
      <c r="BE27" s="228"/>
      <c r="BF27" s="228"/>
      <c r="BG27" s="228"/>
      <c r="BH27" s="228"/>
      <c r="BI27" s="228"/>
      <c r="BJ27" s="228"/>
      <c r="BK27" s="228"/>
      <c r="BL27" s="228"/>
      <c r="BM27" s="228"/>
      <c r="BN27" s="228"/>
      <c r="BO27" s="228"/>
      <c r="BP27" s="228"/>
      <c r="BQ27" s="228"/>
      <c r="BR27" s="228"/>
      <c r="BS27" s="228"/>
      <c r="BT27" s="228"/>
      <c r="BU27" s="228"/>
      <c r="BV27" s="228"/>
      <c r="BW27" s="228"/>
      <c r="BX27" s="228"/>
      <c r="BY27" s="228"/>
      <c r="BZ27" s="228"/>
      <c r="CA27" s="228"/>
      <c r="CB27" s="46"/>
      <c r="CC27" s="111"/>
    </row>
    <row r="28" spans="1:81" s="65" customFormat="1" ht="15" customHeight="1" x14ac:dyDescent="0.3">
      <c r="A28" s="66"/>
      <c r="D28" s="134" t="s">
        <v>48</v>
      </c>
      <c r="E28" s="28"/>
      <c r="F28" s="28"/>
      <c r="G28" s="28"/>
      <c r="H28" s="28"/>
      <c r="I28" s="6" t="str">
        <f>Ввод!$M$12</f>
        <v>руб</v>
      </c>
      <c r="J28" s="6"/>
      <c r="K28" s="49"/>
      <c r="L28" s="225">
        <f t="shared" ref="L28:L32" si="13">SUM(N28:R28)</f>
        <v>-28800000</v>
      </c>
      <c r="M28" s="227"/>
      <c r="N28" s="225">
        <f t="shared" ref="N28:R32" si="14">SUMIF($T$4:$EI$4,N$4,$T28:$EI28)</f>
        <v>-4800000</v>
      </c>
      <c r="O28" s="225">
        <f t="shared" si="14"/>
        <v>-6000000</v>
      </c>
      <c r="P28" s="225">
        <f t="shared" si="14"/>
        <v>-6000000</v>
      </c>
      <c r="Q28" s="225">
        <f t="shared" si="14"/>
        <v>-6000000</v>
      </c>
      <c r="R28" s="225">
        <f t="shared" si="14"/>
        <v>-6000000</v>
      </c>
      <c r="S28" s="227"/>
      <c r="T28" s="226">
        <f>Расчет!V69</f>
        <v>-260000</v>
      </c>
      <c r="U28" s="226">
        <f>Расчет!W69</f>
        <v>-260000</v>
      </c>
      <c r="V28" s="226">
        <f>Расчет!X69</f>
        <v>-260000</v>
      </c>
      <c r="W28" s="226">
        <f>Расчет!Y69</f>
        <v>-260000</v>
      </c>
      <c r="X28" s="226">
        <f>Расчет!Z69</f>
        <v>-260000</v>
      </c>
      <c r="Y28" s="226">
        <f>Расчет!AA69</f>
        <v>-500000</v>
      </c>
      <c r="Z28" s="226">
        <f>Расчет!AB69</f>
        <v>-500000</v>
      </c>
      <c r="AA28" s="226">
        <f>Расчет!AC69</f>
        <v>-500000</v>
      </c>
      <c r="AB28" s="226">
        <f>Расчет!AD69</f>
        <v>-500000</v>
      </c>
      <c r="AC28" s="226">
        <f>Расчет!AE69</f>
        <v>-500000</v>
      </c>
      <c r="AD28" s="226">
        <f>Расчет!AF69</f>
        <v>-500000</v>
      </c>
      <c r="AE28" s="226">
        <f>Расчет!AG69</f>
        <v>-500000</v>
      </c>
      <c r="AF28" s="226">
        <f>Расчет!AH69</f>
        <v>-500000</v>
      </c>
      <c r="AG28" s="226">
        <f>Расчет!AI69</f>
        <v>-500000</v>
      </c>
      <c r="AH28" s="226">
        <f>Расчет!AJ69</f>
        <v>-500000</v>
      </c>
      <c r="AI28" s="226">
        <f>Расчет!AK69</f>
        <v>-500000</v>
      </c>
      <c r="AJ28" s="226">
        <f>Расчет!AL69</f>
        <v>-500000</v>
      </c>
      <c r="AK28" s="226">
        <f>Расчет!AM69</f>
        <v>-500000</v>
      </c>
      <c r="AL28" s="226">
        <f>Расчет!AN69</f>
        <v>-500000</v>
      </c>
      <c r="AM28" s="226">
        <f>Расчет!AO69</f>
        <v>-500000</v>
      </c>
      <c r="AN28" s="226">
        <f>Расчет!AP69</f>
        <v>-500000</v>
      </c>
      <c r="AO28" s="226">
        <f>Расчет!AQ69</f>
        <v>-500000</v>
      </c>
      <c r="AP28" s="226">
        <f>Расчет!AR69</f>
        <v>-500000</v>
      </c>
      <c r="AQ28" s="226">
        <f>Расчет!AS69</f>
        <v>-500000</v>
      </c>
      <c r="AR28" s="226">
        <f>Расчет!AT69</f>
        <v>-500000</v>
      </c>
      <c r="AS28" s="226">
        <f>Расчет!AU69</f>
        <v>-500000</v>
      </c>
      <c r="AT28" s="226">
        <f>Расчет!AV69</f>
        <v>-500000</v>
      </c>
      <c r="AU28" s="226">
        <f>Расчет!AW69</f>
        <v>-500000</v>
      </c>
      <c r="AV28" s="226">
        <f>Расчет!AX69</f>
        <v>-500000</v>
      </c>
      <c r="AW28" s="226">
        <f>Расчет!AY69</f>
        <v>-500000</v>
      </c>
      <c r="AX28" s="226">
        <f>Расчет!AZ69</f>
        <v>-500000</v>
      </c>
      <c r="AY28" s="226">
        <f>Расчет!BA69</f>
        <v>-500000</v>
      </c>
      <c r="AZ28" s="226">
        <f>Расчет!BB69</f>
        <v>-500000</v>
      </c>
      <c r="BA28" s="226">
        <f>Расчет!BC69</f>
        <v>-500000</v>
      </c>
      <c r="BB28" s="226">
        <f>Расчет!BD69</f>
        <v>-500000</v>
      </c>
      <c r="BC28" s="226">
        <f>Расчет!BE69</f>
        <v>-500000</v>
      </c>
      <c r="BD28" s="226">
        <f>Расчет!BF69</f>
        <v>-500000</v>
      </c>
      <c r="BE28" s="226">
        <f>Расчет!BG69</f>
        <v>-500000</v>
      </c>
      <c r="BF28" s="226">
        <f>Расчет!BH69</f>
        <v>-500000</v>
      </c>
      <c r="BG28" s="226">
        <f>Расчет!BI69</f>
        <v>-500000</v>
      </c>
      <c r="BH28" s="226">
        <f>Расчет!BJ69</f>
        <v>-500000</v>
      </c>
      <c r="BI28" s="226">
        <f>Расчет!BK69</f>
        <v>-500000</v>
      </c>
      <c r="BJ28" s="226">
        <f>Расчет!BL69</f>
        <v>-500000</v>
      </c>
      <c r="BK28" s="226">
        <f>Расчет!BM69</f>
        <v>-500000</v>
      </c>
      <c r="BL28" s="226">
        <f>Расчет!BN69</f>
        <v>-500000</v>
      </c>
      <c r="BM28" s="226">
        <f>Расчет!BO69</f>
        <v>-500000</v>
      </c>
      <c r="BN28" s="226">
        <f>Расчет!BP69</f>
        <v>-500000</v>
      </c>
      <c r="BO28" s="226">
        <f>Расчет!BQ69</f>
        <v>-500000</v>
      </c>
      <c r="BP28" s="226">
        <f>Расчет!BR69</f>
        <v>-500000</v>
      </c>
      <c r="BQ28" s="226">
        <f>Расчет!BS69</f>
        <v>-500000</v>
      </c>
      <c r="BR28" s="226">
        <f>Расчет!BT69</f>
        <v>-500000</v>
      </c>
      <c r="BS28" s="226">
        <f>Расчет!BU69</f>
        <v>-500000</v>
      </c>
      <c r="BT28" s="226">
        <f>Расчет!BV69</f>
        <v>-500000</v>
      </c>
      <c r="BU28" s="226">
        <f>Расчет!BW69</f>
        <v>-500000</v>
      </c>
      <c r="BV28" s="226">
        <f>Расчет!BX69</f>
        <v>-500000</v>
      </c>
      <c r="BW28" s="226">
        <f>Расчет!BY69</f>
        <v>-500000</v>
      </c>
      <c r="BX28" s="226">
        <f>Расчет!BZ69</f>
        <v>-500000</v>
      </c>
      <c r="BY28" s="226">
        <f>Расчет!CA69</f>
        <v>-500000</v>
      </c>
      <c r="BZ28" s="226">
        <f>Расчет!CB69</f>
        <v>-500000</v>
      </c>
      <c r="CA28" s="226">
        <f>Расчет!CC69</f>
        <v>-500000</v>
      </c>
      <c r="CB28" s="61"/>
      <c r="CC28" s="111"/>
    </row>
    <row r="29" spans="1:81" s="65" customFormat="1" ht="15" customHeight="1" x14ac:dyDescent="0.3">
      <c r="A29" s="66"/>
      <c r="D29" s="166" t="str">
        <f>Расчет!D65</f>
        <v>Расходы на управление</v>
      </c>
      <c r="E29" s="28"/>
      <c r="F29" s="28"/>
      <c r="G29" s="28"/>
      <c r="H29" s="28"/>
      <c r="I29" s="31" t="str">
        <f>Ввод!$M$12</f>
        <v>руб</v>
      </c>
      <c r="J29" s="6"/>
      <c r="K29" s="49"/>
      <c r="L29" s="191">
        <f t="shared" si="13"/>
        <v>-6000000</v>
      </c>
      <c r="M29" s="139"/>
      <c r="N29" s="191">
        <f t="shared" si="14"/>
        <v>-1200000</v>
      </c>
      <c r="O29" s="191">
        <f t="shared" si="14"/>
        <v>-1200000</v>
      </c>
      <c r="P29" s="191">
        <f t="shared" si="14"/>
        <v>-1200000</v>
      </c>
      <c r="Q29" s="191">
        <f t="shared" si="14"/>
        <v>-1200000</v>
      </c>
      <c r="R29" s="191">
        <f t="shared" si="14"/>
        <v>-1200000</v>
      </c>
      <c r="S29" s="227"/>
      <c r="T29" s="229">
        <f>Расчет!V65</f>
        <v>-100000</v>
      </c>
      <c r="U29" s="229">
        <f>Расчет!W65</f>
        <v>-100000</v>
      </c>
      <c r="V29" s="229">
        <f>Расчет!X65</f>
        <v>-100000</v>
      </c>
      <c r="W29" s="229">
        <f>Расчет!Y65</f>
        <v>-100000</v>
      </c>
      <c r="X29" s="229">
        <f>Расчет!Z65</f>
        <v>-100000</v>
      </c>
      <c r="Y29" s="229">
        <f>Расчет!AA65</f>
        <v>-100000</v>
      </c>
      <c r="Z29" s="229">
        <f>Расчет!AB65</f>
        <v>-100000</v>
      </c>
      <c r="AA29" s="229">
        <f>Расчет!AC65</f>
        <v>-100000</v>
      </c>
      <c r="AB29" s="229">
        <f>Расчет!AD65</f>
        <v>-100000</v>
      </c>
      <c r="AC29" s="229">
        <f>Расчет!AE65</f>
        <v>-100000</v>
      </c>
      <c r="AD29" s="229">
        <f>Расчет!AF65</f>
        <v>-100000</v>
      </c>
      <c r="AE29" s="229">
        <f>Расчет!AG65</f>
        <v>-100000</v>
      </c>
      <c r="AF29" s="229">
        <f>Расчет!AH65</f>
        <v>-100000</v>
      </c>
      <c r="AG29" s="229">
        <f>Расчет!AI65</f>
        <v>-100000</v>
      </c>
      <c r="AH29" s="229">
        <f>Расчет!AJ65</f>
        <v>-100000</v>
      </c>
      <c r="AI29" s="229">
        <f>Расчет!AK65</f>
        <v>-100000</v>
      </c>
      <c r="AJ29" s="229">
        <f>Расчет!AL65</f>
        <v>-100000</v>
      </c>
      <c r="AK29" s="229">
        <f>Расчет!AM65</f>
        <v>-100000</v>
      </c>
      <c r="AL29" s="229">
        <f>Расчет!AN65</f>
        <v>-100000</v>
      </c>
      <c r="AM29" s="229">
        <f>Расчет!AO65</f>
        <v>-100000</v>
      </c>
      <c r="AN29" s="229">
        <f>Расчет!AP65</f>
        <v>-100000</v>
      </c>
      <c r="AO29" s="229">
        <f>Расчет!AQ65</f>
        <v>-100000</v>
      </c>
      <c r="AP29" s="229">
        <f>Расчет!AR65</f>
        <v>-100000</v>
      </c>
      <c r="AQ29" s="229">
        <f>Расчет!AS65</f>
        <v>-100000</v>
      </c>
      <c r="AR29" s="229">
        <f>Расчет!AT65</f>
        <v>-100000</v>
      </c>
      <c r="AS29" s="229">
        <f>Расчет!AU65</f>
        <v>-100000</v>
      </c>
      <c r="AT29" s="229">
        <f>Расчет!AV65</f>
        <v>-100000</v>
      </c>
      <c r="AU29" s="229">
        <f>Расчет!AW65</f>
        <v>-100000</v>
      </c>
      <c r="AV29" s="229">
        <f>Расчет!AX65</f>
        <v>-100000</v>
      </c>
      <c r="AW29" s="229">
        <f>Расчет!AY65</f>
        <v>-100000</v>
      </c>
      <c r="AX29" s="229">
        <f>Расчет!AZ65</f>
        <v>-100000</v>
      </c>
      <c r="AY29" s="229">
        <f>Расчет!BA65</f>
        <v>-100000</v>
      </c>
      <c r="AZ29" s="229">
        <f>Расчет!BB65</f>
        <v>-100000</v>
      </c>
      <c r="BA29" s="229">
        <f>Расчет!BC65</f>
        <v>-100000</v>
      </c>
      <c r="BB29" s="229">
        <f>Расчет!BD65</f>
        <v>-100000</v>
      </c>
      <c r="BC29" s="229">
        <f>Расчет!BE65</f>
        <v>-100000</v>
      </c>
      <c r="BD29" s="229">
        <f>Расчет!BF65</f>
        <v>-100000</v>
      </c>
      <c r="BE29" s="229">
        <f>Расчет!BG65</f>
        <v>-100000</v>
      </c>
      <c r="BF29" s="229">
        <f>Расчет!BH65</f>
        <v>-100000</v>
      </c>
      <c r="BG29" s="229">
        <f>Расчет!BI65</f>
        <v>-100000</v>
      </c>
      <c r="BH29" s="229">
        <f>Расчет!BJ65</f>
        <v>-100000</v>
      </c>
      <c r="BI29" s="229">
        <f>Расчет!BK65</f>
        <v>-100000</v>
      </c>
      <c r="BJ29" s="229">
        <f>Расчет!BL65</f>
        <v>-100000</v>
      </c>
      <c r="BK29" s="229">
        <f>Расчет!BM65</f>
        <v>-100000</v>
      </c>
      <c r="BL29" s="229">
        <f>Расчет!BN65</f>
        <v>-100000</v>
      </c>
      <c r="BM29" s="229">
        <f>Расчет!BO65</f>
        <v>-100000</v>
      </c>
      <c r="BN29" s="229">
        <f>Расчет!BP65</f>
        <v>-100000</v>
      </c>
      <c r="BO29" s="229">
        <f>Расчет!BQ65</f>
        <v>-100000</v>
      </c>
      <c r="BP29" s="229">
        <f>Расчет!BR65</f>
        <v>-100000</v>
      </c>
      <c r="BQ29" s="229">
        <f>Расчет!BS65</f>
        <v>-100000</v>
      </c>
      <c r="BR29" s="229">
        <f>Расчет!BT65</f>
        <v>-100000</v>
      </c>
      <c r="BS29" s="229">
        <f>Расчет!BU65</f>
        <v>-100000</v>
      </c>
      <c r="BT29" s="229">
        <f>Расчет!BV65</f>
        <v>-100000</v>
      </c>
      <c r="BU29" s="229">
        <f>Расчет!BW65</f>
        <v>-100000</v>
      </c>
      <c r="BV29" s="229">
        <f>Расчет!BX65</f>
        <v>-100000</v>
      </c>
      <c r="BW29" s="229">
        <f>Расчет!BY65</f>
        <v>-100000</v>
      </c>
      <c r="BX29" s="229">
        <f>Расчет!BZ65</f>
        <v>-100000</v>
      </c>
      <c r="BY29" s="229">
        <f>Расчет!CA65</f>
        <v>-100000</v>
      </c>
      <c r="BZ29" s="229">
        <f>Расчет!CB65</f>
        <v>-100000</v>
      </c>
      <c r="CA29" s="229">
        <f>Расчет!CC65</f>
        <v>-100000</v>
      </c>
      <c r="CB29" s="61"/>
      <c r="CC29" s="111"/>
    </row>
    <row r="30" spans="1:81" s="65" customFormat="1" ht="15" customHeight="1" x14ac:dyDescent="0.3">
      <c r="A30" s="66"/>
      <c r="D30" s="166" t="str">
        <f>Расчет!D66</f>
        <v>Содержание имущества</v>
      </c>
      <c r="E30" s="28"/>
      <c r="F30" s="28"/>
      <c r="G30" s="28"/>
      <c r="H30" s="28"/>
      <c r="I30" s="31" t="str">
        <f>Ввод!$M$12</f>
        <v>руб</v>
      </c>
      <c r="J30" s="6"/>
      <c r="K30" s="49"/>
      <c r="L30" s="191">
        <f t="shared" si="13"/>
        <v>-5550000</v>
      </c>
      <c r="M30" s="139"/>
      <c r="N30" s="191">
        <f t="shared" si="14"/>
        <v>-750000</v>
      </c>
      <c r="O30" s="191">
        <f t="shared" si="14"/>
        <v>-1200000</v>
      </c>
      <c r="P30" s="191">
        <f t="shared" si="14"/>
        <v>-1200000</v>
      </c>
      <c r="Q30" s="191">
        <f t="shared" si="14"/>
        <v>-1200000</v>
      </c>
      <c r="R30" s="191">
        <f t="shared" si="14"/>
        <v>-1200000</v>
      </c>
      <c r="S30" s="227"/>
      <c r="T30" s="229">
        <f>Расчет!V66</f>
        <v>-10000</v>
      </c>
      <c r="U30" s="229">
        <f>Расчет!W66</f>
        <v>-10000</v>
      </c>
      <c r="V30" s="229">
        <f>Расчет!X66</f>
        <v>-10000</v>
      </c>
      <c r="W30" s="229">
        <f>Расчет!Y66</f>
        <v>-10000</v>
      </c>
      <c r="X30" s="229">
        <f>Расчет!Z66</f>
        <v>-10000</v>
      </c>
      <c r="Y30" s="229">
        <f>Расчет!AA66</f>
        <v>-100000</v>
      </c>
      <c r="Z30" s="229">
        <f>Расчет!AB66</f>
        <v>-100000</v>
      </c>
      <c r="AA30" s="229">
        <f>Расчет!AC66</f>
        <v>-100000</v>
      </c>
      <c r="AB30" s="229">
        <f>Расчет!AD66</f>
        <v>-100000</v>
      </c>
      <c r="AC30" s="229">
        <f>Расчет!AE66</f>
        <v>-100000</v>
      </c>
      <c r="AD30" s="229">
        <f>Расчет!AF66</f>
        <v>-100000</v>
      </c>
      <c r="AE30" s="229">
        <f>Расчет!AG66</f>
        <v>-100000</v>
      </c>
      <c r="AF30" s="229">
        <f>Расчет!AH66</f>
        <v>-100000</v>
      </c>
      <c r="AG30" s="229">
        <f>Расчет!AI66</f>
        <v>-100000</v>
      </c>
      <c r="AH30" s="229">
        <f>Расчет!AJ66</f>
        <v>-100000</v>
      </c>
      <c r="AI30" s="229">
        <f>Расчет!AK66</f>
        <v>-100000</v>
      </c>
      <c r="AJ30" s="229">
        <f>Расчет!AL66</f>
        <v>-100000</v>
      </c>
      <c r="AK30" s="229">
        <f>Расчет!AM66</f>
        <v>-100000</v>
      </c>
      <c r="AL30" s="229">
        <f>Расчет!AN66</f>
        <v>-100000</v>
      </c>
      <c r="AM30" s="229">
        <f>Расчет!AO66</f>
        <v>-100000</v>
      </c>
      <c r="AN30" s="229">
        <f>Расчет!AP66</f>
        <v>-100000</v>
      </c>
      <c r="AO30" s="229">
        <f>Расчет!AQ66</f>
        <v>-100000</v>
      </c>
      <c r="AP30" s="229">
        <f>Расчет!AR66</f>
        <v>-100000</v>
      </c>
      <c r="AQ30" s="229">
        <f>Расчет!AS66</f>
        <v>-100000</v>
      </c>
      <c r="AR30" s="229">
        <f>Расчет!AT66</f>
        <v>-100000</v>
      </c>
      <c r="AS30" s="229">
        <f>Расчет!AU66</f>
        <v>-100000</v>
      </c>
      <c r="AT30" s="229">
        <f>Расчет!AV66</f>
        <v>-100000</v>
      </c>
      <c r="AU30" s="229">
        <f>Расчет!AW66</f>
        <v>-100000</v>
      </c>
      <c r="AV30" s="229">
        <f>Расчет!AX66</f>
        <v>-100000</v>
      </c>
      <c r="AW30" s="229">
        <f>Расчет!AY66</f>
        <v>-100000</v>
      </c>
      <c r="AX30" s="229">
        <f>Расчет!AZ66</f>
        <v>-100000</v>
      </c>
      <c r="AY30" s="229">
        <f>Расчет!BA66</f>
        <v>-100000</v>
      </c>
      <c r="AZ30" s="229">
        <f>Расчет!BB66</f>
        <v>-100000</v>
      </c>
      <c r="BA30" s="229">
        <f>Расчет!BC66</f>
        <v>-100000</v>
      </c>
      <c r="BB30" s="229">
        <f>Расчет!BD66</f>
        <v>-100000</v>
      </c>
      <c r="BC30" s="229">
        <f>Расчет!BE66</f>
        <v>-100000</v>
      </c>
      <c r="BD30" s="229">
        <f>Расчет!BF66</f>
        <v>-100000</v>
      </c>
      <c r="BE30" s="229">
        <f>Расчет!BG66</f>
        <v>-100000</v>
      </c>
      <c r="BF30" s="229">
        <f>Расчет!BH66</f>
        <v>-100000</v>
      </c>
      <c r="BG30" s="229">
        <f>Расчет!BI66</f>
        <v>-100000</v>
      </c>
      <c r="BH30" s="229">
        <f>Расчет!BJ66</f>
        <v>-100000</v>
      </c>
      <c r="BI30" s="229">
        <f>Расчет!BK66</f>
        <v>-100000</v>
      </c>
      <c r="BJ30" s="229">
        <f>Расчет!BL66</f>
        <v>-100000</v>
      </c>
      <c r="BK30" s="229">
        <f>Расчет!BM66</f>
        <v>-100000</v>
      </c>
      <c r="BL30" s="229">
        <f>Расчет!BN66</f>
        <v>-100000</v>
      </c>
      <c r="BM30" s="229">
        <f>Расчет!BO66</f>
        <v>-100000</v>
      </c>
      <c r="BN30" s="229">
        <f>Расчет!BP66</f>
        <v>-100000</v>
      </c>
      <c r="BO30" s="229">
        <f>Расчет!BQ66</f>
        <v>-100000</v>
      </c>
      <c r="BP30" s="229">
        <f>Расчет!BR66</f>
        <v>-100000</v>
      </c>
      <c r="BQ30" s="229">
        <f>Расчет!BS66</f>
        <v>-100000</v>
      </c>
      <c r="BR30" s="229">
        <f>Расчет!BT66</f>
        <v>-100000</v>
      </c>
      <c r="BS30" s="229">
        <f>Расчет!BU66</f>
        <v>-100000</v>
      </c>
      <c r="BT30" s="229">
        <f>Расчет!BV66</f>
        <v>-100000</v>
      </c>
      <c r="BU30" s="229">
        <f>Расчет!BW66</f>
        <v>-100000</v>
      </c>
      <c r="BV30" s="229">
        <f>Расчет!BX66</f>
        <v>-100000</v>
      </c>
      <c r="BW30" s="229">
        <f>Расчет!BY66</f>
        <v>-100000</v>
      </c>
      <c r="BX30" s="229">
        <f>Расчет!BZ66</f>
        <v>-100000</v>
      </c>
      <c r="BY30" s="229">
        <f>Расчет!CA66</f>
        <v>-100000</v>
      </c>
      <c r="BZ30" s="229">
        <f>Расчет!CB66</f>
        <v>-100000</v>
      </c>
      <c r="CA30" s="229">
        <f>Расчет!CC66</f>
        <v>-100000</v>
      </c>
      <c r="CB30" s="61"/>
      <c r="CC30" s="111"/>
    </row>
    <row r="31" spans="1:81" s="65" customFormat="1" ht="15" customHeight="1" x14ac:dyDescent="0.3">
      <c r="A31" s="66"/>
      <c r="D31" s="166" t="str">
        <f>Расчет!D67</f>
        <v>Связь, IT и офисные расходы</v>
      </c>
      <c r="E31" s="28"/>
      <c r="F31" s="28"/>
      <c r="G31" s="28"/>
      <c r="H31" s="28"/>
      <c r="I31" s="31" t="str">
        <f>Ввод!$M$12</f>
        <v>руб</v>
      </c>
      <c r="J31" s="6"/>
      <c r="K31" s="49"/>
      <c r="L31" s="191">
        <f t="shared" si="13"/>
        <v>-5750000</v>
      </c>
      <c r="M31" s="139"/>
      <c r="N31" s="191">
        <f t="shared" si="14"/>
        <v>-950000</v>
      </c>
      <c r="O31" s="191">
        <f t="shared" si="14"/>
        <v>-1200000</v>
      </c>
      <c r="P31" s="191">
        <f t="shared" si="14"/>
        <v>-1200000</v>
      </c>
      <c r="Q31" s="191">
        <f t="shared" si="14"/>
        <v>-1200000</v>
      </c>
      <c r="R31" s="191">
        <f t="shared" si="14"/>
        <v>-1200000</v>
      </c>
      <c r="S31" s="227"/>
      <c r="T31" s="229">
        <f>Расчет!V67</f>
        <v>-50000</v>
      </c>
      <c r="U31" s="229">
        <f>Расчет!W67</f>
        <v>-50000</v>
      </c>
      <c r="V31" s="229">
        <f>Расчет!X67</f>
        <v>-50000</v>
      </c>
      <c r="W31" s="229">
        <f>Расчет!Y67</f>
        <v>-50000</v>
      </c>
      <c r="X31" s="229">
        <f>Расчет!Z67</f>
        <v>-50000</v>
      </c>
      <c r="Y31" s="229">
        <f>Расчет!AA67</f>
        <v>-100000</v>
      </c>
      <c r="Z31" s="229">
        <f>Расчет!AB67</f>
        <v>-100000</v>
      </c>
      <c r="AA31" s="229">
        <f>Расчет!AC67</f>
        <v>-100000</v>
      </c>
      <c r="AB31" s="229">
        <f>Расчет!AD67</f>
        <v>-100000</v>
      </c>
      <c r="AC31" s="229">
        <f>Расчет!AE67</f>
        <v>-100000</v>
      </c>
      <c r="AD31" s="229">
        <f>Расчет!AF67</f>
        <v>-100000</v>
      </c>
      <c r="AE31" s="229">
        <f>Расчет!AG67</f>
        <v>-100000</v>
      </c>
      <c r="AF31" s="229">
        <f>Расчет!AH67</f>
        <v>-100000</v>
      </c>
      <c r="AG31" s="229">
        <f>Расчет!AI67</f>
        <v>-100000</v>
      </c>
      <c r="AH31" s="229">
        <f>Расчет!AJ67</f>
        <v>-100000</v>
      </c>
      <c r="AI31" s="229">
        <f>Расчет!AK67</f>
        <v>-100000</v>
      </c>
      <c r="AJ31" s="229">
        <f>Расчет!AL67</f>
        <v>-100000</v>
      </c>
      <c r="AK31" s="229">
        <f>Расчет!AM67</f>
        <v>-100000</v>
      </c>
      <c r="AL31" s="229">
        <f>Расчет!AN67</f>
        <v>-100000</v>
      </c>
      <c r="AM31" s="229">
        <f>Расчет!AO67</f>
        <v>-100000</v>
      </c>
      <c r="AN31" s="229">
        <f>Расчет!AP67</f>
        <v>-100000</v>
      </c>
      <c r="AO31" s="229">
        <f>Расчет!AQ67</f>
        <v>-100000</v>
      </c>
      <c r="AP31" s="229">
        <f>Расчет!AR67</f>
        <v>-100000</v>
      </c>
      <c r="AQ31" s="229">
        <f>Расчет!AS67</f>
        <v>-100000</v>
      </c>
      <c r="AR31" s="229">
        <f>Расчет!AT67</f>
        <v>-100000</v>
      </c>
      <c r="AS31" s="229">
        <f>Расчет!AU67</f>
        <v>-100000</v>
      </c>
      <c r="AT31" s="229">
        <f>Расчет!AV67</f>
        <v>-100000</v>
      </c>
      <c r="AU31" s="229">
        <f>Расчет!AW67</f>
        <v>-100000</v>
      </c>
      <c r="AV31" s="229">
        <f>Расчет!AX67</f>
        <v>-100000</v>
      </c>
      <c r="AW31" s="229">
        <f>Расчет!AY67</f>
        <v>-100000</v>
      </c>
      <c r="AX31" s="229">
        <f>Расчет!AZ67</f>
        <v>-100000</v>
      </c>
      <c r="AY31" s="229">
        <f>Расчет!BA67</f>
        <v>-100000</v>
      </c>
      <c r="AZ31" s="229">
        <f>Расчет!BB67</f>
        <v>-100000</v>
      </c>
      <c r="BA31" s="229">
        <f>Расчет!BC67</f>
        <v>-100000</v>
      </c>
      <c r="BB31" s="229">
        <f>Расчет!BD67</f>
        <v>-100000</v>
      </c>
      <c r="BC31" s="229">
        <f>Расчет!BE67</f>
        <v>-100000</v>
      </c>
      <c r="BD31" s="229">
        <f>Расчет!BF67</f>
        <v>-100000</v>
      </c>
      <c r="BE31" s="229">
        <f>Расчет!BG67</f>
        <v>-100000</v>
      </c>
      <c r="BF31" s="229">
        <f>Расчет!BH67</f>
        <v>-100000</v>
      </c>
      <c r="BG31" s="229">
        <f>Расчет!BI67</f>
        <v>-100000</v>
      </c>
      <c r="BH31" s="229">
        <f>Расчет!BJ67</f>
        <v>-100000</v>
      </c>
      <c r="BI31" s="229">
        <f>Расчет!BK67</f>
        <v>-100000</v>
      </c>
      <c r="BJ31" s="229">
        <f>Расчет!BL67</f>
        <v>-100000</v>
      </c>
      <c r="BK31" s="229">
        <f>Расчет!BM67</f>
        <v>-100000</v>
      </c>
      <c r="BL31" s="229">
        <f>Расчет!BN67</f>
        <v>-100000</v>
      </c>
      <c r="BM31" s="229">
        <f>Расчет!BO67</f>
        <v>-100000</v>
      </c>
      <c r="BN31" s="229">
        <f>Расчет!BP67</f>
        <v>-100000</v>
      </c>
      <c r="BO31" s="229">
        <f>Расчет!BQ67</f>
        <v>-100000</v>
      </c>
      <c r="BP31" s="229">
        <f>Расчет!BR67</f>
        <v>-100000</v>
      </c>
      <c r="BQ31" s="229">
        <f>Расчет!BS67</f>
        <v>-100000</v>
      </c>
      <c r="BR31" s="229">
        <f>Расчет!BT67</f>
        <v>-100000</v>
      </c>
      <c r="BS31" s="229">
        <f>Расчет!BU67</f>
        <v>-100000</v>
      </c>
      <c r="BT31" s="229">
        <f>Расчет!BV67</f>
        <v>-100000</v>
      </c>
      <c r="BU31" s="229">
        <f>Расчет!BW67</f>
        <v>-100000</v>
      </c>
      <c r="BV31" s="229">
        <f>Расчет!BX67</f>
        <v>-100000</v>
      </c>
      <c r="BW31" s="229">
        <f>Расчет!BY67</f>
        <v>-100000</v>
      </c>
      <c r="BX31" s="229">
        <f>Расчет!BZ67</f>
        <v>-100000</v>
      </c>
      <c r="BY31" s="229">
        <f>Расчет!CA67</f>
        <v>-100000</v>
      </c>
      <c r="BZ31" s="229">
        <f>Расчет!CB67</f>
        <v>-100000</v>
      </c>
      <c r="CA31" s="229">
        <f>Расчет!CC67</f>
        <v>-100000</v>
      </c>
      <c r="CB31" s="61"/>
      <c r="CC31" s="111"/>
    </row>
    <row r="32" spans="1:81" s="65" customFormat="1" ht="15" customHeight="1" x14ac:dyDescent="0.3">
      <c r="A32" s="66"/>
      <c r="D32" s="166" t="str">
        <f>Расчет!D68</f>
        <v>Налоги, сборы, прочие расходы</v>
      </c>
      <c r="E32" s="28"/>
      <c r="F32" s="28"/>
      <c r="G32" s="28"/>
      <c r="H32" s="28"/>
      <c r="I32" s="31" t="str">
        <f>Ввод!$M$12</f>
        <v>руб</v>
      </c>
      <c r="J32" s="6"/>
      <c r="K32" s="49"/>
      <c r="L32" s="191">
        <f t="shared" si="13"/>
        <v>-11500000</v>
      </c>
      <c r="M32" s="139"/>
      <c r="N32" s="191">
        <f t="shared" si="14"/>
        <v>-1900000</v>
      </c>
      <c r="O32" s="191">
        <f t="shared" si="14"/>
        <v>-2400000</v>
      </c>
      <c r="P32" s="191">
        <f t="shared" si="14"/>
        <v>-2400000</v>
      </c>
      <c r="Q32" s="191">
        <f t="shared" si="14"/>
        <v>-2400000</v>
      </c>
      <c r="R32" s="191">
        <f t="shared" si="14"/>
        <v>-2400000</v>
      </c>
      <c r="S32" s="227"/>
      <c r="T32" s="229">
        <f>Расчет!V68</f>
        <v>-100000</v>
      </c>
      <c r="U32" s="229">
        <f>Расчет!W68</f>
        <v>-100000</v>
      </c>
      <c r="V32" s="229">
        <f>Расчет!X68</f>
        <v>-100000</v>
      </c>
      <c r="W32" s="229">
        <f>Расчет!Y68</f>
        <v>-100000</v>
      </c>
      <c r="X32" s="229">
        <f>Расчет!Z68</f>
        <v>-100000</v>
      </c>
      <c r="Y32" s="229">
        <f>Расчет!AA68</f>
        <v>-200000</v>
      </c>
      <c r="Z32" s="229">
        <f>Расчет!AB68</f>
        <v>-200000</v>
      </c>
      <c r="AA32" s="229">
        <f>Расчет!AC68</f>
        <v>-200000</v>
      </c>
      <c r="AB32" s="229">
        <f>Расчет!AD68</f>
        <v>-200000</v>
      </c>
      <c r="AC32" s="229">
        <f>Расчет!AE68</f>
        <v>-200000</v>
      </c>
      <c r="AD32" s="229">
        <f>Расчет!AF68</f>
        <v>-200000</v>
      </c>
      <c r="AE32" s="229">
        <f>Расчет!AG68</f>
        <v>-200000</v>
      </c>
      <c r="AF32" s="229">
        <f>Расчет!AH68</f>
        <v>-200000</v>
      </c>
      <c r="AG32" s="229">
        <f>Расчет!AI68</f>
        <v>-200000</v>
      </c>
      <c r="AH32" s="229">
        <f>Расчет!AJ68</f>
        <v>-200000</v>
      </c>
      <c r="AI32" s="229">
        <f>Расчет!AK68</f>
        <v>-200000</v>
      </c>
      <c r="AJ32" s="229">
        <f>Расчет!AL68</f>
        <v>-200000</v>
      </c>
      <c r="AK32" s="229">
        <f>Расчет!AM68</f>
        <v>-200000</v>
      </c>
      <c r="AL32" s="229">
        <f>Расчет!AN68</f>
        <v>-200000</v>
      </c>
      <c r="AM32" s="229">
        <f>Расчет!AO68</f>
        <v>-200000</v>
      </c>
      <c r="AN32" s="229">
        <f>Расчет!AP68</f>
        <v>-200000</v>
      </c>
      <c r="AO32" s="229">
        <f>Расчет!AQ68</f>
        <v>-200000</v>
      </c>
      <c r="AP32" s="229">
        <f>Расчет!AR68</f>
        <v>-200000</v>
      </c>
      <c r="AQ32" s="229">
        <f>Расчет!AS68</f>
        <v>-200000</v>
      </c>
      <c r="AR32" s="229">
        <f>Расчет!AT68</f>
        <v>-200000</v>
      </c>
      <c r="AS32" s="229">
        <f>Расчет!AU68</f>
        <v>-200000</v>
      </c>
      <c r="AT32" s="229">
        <f>Расчет!AV68</f>
        <v>-200000</v>
      </c>
      <c r="AU32" s="229">
        <f>Расчет!AW68</f>
        <v>-200000</v>
      </c>
      <c r="AV32" s="229">
        <f>Расчет!AX68</f>
        <v>-200000</v>
      </c>
      <c r="AW32" s="229">
        <f>Расчет!AY68</f>
        <v>-200000</v>
      </c>
      <c r="AX32" s="229">
        <f>Расчет!AZ68</f>
        <v>-200000</v>
      </c>
      <c r="AY32" s="229">
        <f>Расчет!BA68</f>
        <v>-200000</v>
      </c>
      <c r="AZ32" s="229">
        <f>Расчет!BB68</f>
        <v>-200000</v>
      </c>
      <c r="BA32" s="229">
        <f>Расчет!BC68</f>
        <v>-200000</v>
      </c>
      <c r="BB32" s="229">
        <f>Расчет!BD68</f>
        <v>-200000</v>
      </c>
      <c r="BC32" s="229">
        <f>Расчет!BE68</f>
        <v>-200000</v>
      </c>
      <c r="BD32" s="229">
        <f>Расчет!BF68</f>
        <v>-200000</v>
      </c>
      <c r="BE32" s="229">
        <f>Расчет!BG68</f>
        <v>-200000</v>
      </c>
      <c r="BF32" s="229">
        <f>Расчет!BH68</f>
        <v>-200000</v>
      </c>
      <c r="BG32" s="229">
        <f>Расчет!BI68</f>
        <v>-200000</v>
      </c>
      <c r="BH32" s="229">
        <f>Расчет!BJ68</f>
        <v>-200000</v>
      </c>
      <c r="BI32" s="229">
        <f>Расчет!BK68</f>
        <v>-200000</v>
      </c>
      <c r="BJ32" s="229">
        <f>Расчет!BL68</f>
        <v>-200000</v>
      </c>
      <c r="BK32" s="229">
        <f>Расчет!BM68</f>
        <v>-200000</v>
      </c>
      <c r="BL32" s="229">
        <f>Расчет!BN68</f>
        <v>-200000</v>
      </c>
      <c r="BM32" s="229">
        <f>Расчет!BO68</f>
        <v>-200000</v>
      </c>
      <c r="BN32" s="229">
        <f>Расчет!BP68</f>
        <v>-200000</v>
      </c>
      <c r="BO32" s="229">
        <f>Расчет!BQ68</f>
        <v>-200000</v>
      </c>
      <c r="BP32" s="229">
        <f>Расчет!BR68</f>
        <v>-200000</v>
      </c>
      <c r="BQ32" s="229">
        <f>Расчет!BS68</f>
        <v>-200000</v>
      </c>
      <c r="BR32" s="229">
        <f>Расчет!BT68</f>
        <v>-200000</v>
      </c>
      <c r="BS32" s="229">
        <f>Расчет!BU68</f>
        <v>-200000</v>
      </c>
      <c r="BT32" s="229">
        <f>Расчет!BV68</f>
        <v>-200000</v>
      </c>
      <c r="BU32" s="229">
        <f>Расчет!BW68</f>
        <v>-200000</v>
      </c>
      <c r="BV32" s="229">
        <f>Расчет!BX68</f>
        <v>-200000</v>
      </c>
      <c r="BW32" s="229">
        <f>Расчет!BY68</f>
        <v>-200000</v>
      </c>
      <c r="BX32" s="229">
        <f>Расчет!BZ68</f>
        <v>-200000</v>
      </c>
      <c r="BY32" s="229">
        <f>Расчет!CA68</f>
        <v>-200000</v>
      </c>
      <c r="BZ32" s="229">
        <f>Расчет!CB68</f>
        <v>-200000</v>
      </c>
      <c r="CA32" s="229">
        <f>Расчет!CC68</f>
        <v>-200000</v>
      </c>
      <c r="CB32" s="61"/>
      <c r="CC32" s="111"/>
    </row>
    <row r="33" spans="1:81" s="65" customFormat="1" ht="15" customHeight="1" x14ac:dyDescent="0.3">
      <c r="A33" s="66"/>
      <c r="D33" s="134"/>
      <c r="E33" s="28"/>
      <c r="F33" s="28"/>
      <c r="G33" s="28"/>
      <c r="H33" s="28"/>
      <c r="I33" s="6"/>
      <c r="J33" s="6"/>
      <c r="K33" s="49"/>
      <c r="L33" s="225"/>
      <c r="M33" s="227"/>
      <c r="N33" s="225"/>
      <c r="O33" s="225"/>
      <c r="P33" s="225"/>
      <c r="Q33" s="225"/>
      <c r="R33" s="225"/>
      <c r="S33" s="227"/>
      <c r="T33" s="226"/>
      <c r="U33" s="226"/>
      <c r="V33" s="226"/>
      <c r="W33" s="226"/>
      <c r="X33" s="226"/>
      <c r="Y33" s="226"/>
      <c r="Z33" s="226"/>
      <c r="AA33" s="226"/>
      <c r="AB33" s="226"/>
      <c r="AC33" s="226"/>
      <c r="AD33" s="226"/>
      <c r="AE33" s="226"/>
      <c r="AF33" s="226"/>
      <c r="AG33" s="226"/>
      <c r="AH33" s="226"/>
      <c r="AI33" s="226"/>
      <c r="AJ33" s="226"/>
      <c r="AK33" s="226"/>
      <c r="AL33" s="226"/>
      <c r="AM33" s="226"/>
      <c r="AN33" s="226"/>
      <c r="AO33" s="226"/>
      <c r="AP33" s="226"/>
      <c r="AQ33" s="226"/>
      <c r="AR33" s="226"/>
      <c r="AS33" s="226"/>
      <c r="AT33" s="226"/>
      <c r="AU33" s="226"/>
      <c r="AV33" s="226"/>
      <c r="AW33" s="226"/>
      <c r="AX33" s="226"/>
      <c r="AY33" s="226"/>
      <c r="AZ33" s="226"/>
      <c r="BA33" s="226"/>
      <c r="BB33" s="226"/>
      <c r="BC33" s="226"/>
      <c r="BD33" s="226"/>
      <c r="BE33" s="226"/>
      <c r="BF33" s="226"/>
      <c r="BG33" s="226"/>
      <c r="BH33" s="226"/>
      <c r="BI33" s="226"/>
      <c r="BJ33" s="226"/>
      <c r="BK33" s="226"/>
      <c r="BL33" s="226"/>
      <c r="BM33" s="226"/>
      <c r="BN33" s="226"/>
      <c r="BO33" s="226"/>
      <c r="BP33" s="226"/>
      <c r="BQ33" s="226"/>
      <c r="BR33" s="226"/>
      <c r="BS33" s="226"/>
      <c r="BT33" s="226"/>
      <c r="BU33" s="226"/>
      <c r="BV33" s="226"/>
      <c r="BW33" s="226"/>
      <c r="BX33" s="226"/>
      <c r="BY33" s="226"/>
      <c r="BZ33" s="226"/>
      <c r="CA33" s="226"/>
      <c r="CB33" s="61"/>
      <c r="CC33" s="111"/>
    </row>
    <row r="34" spans="1:81" s="65" customFormat="1" ht="15" customHeight="1" x14ac:dyDescent="0.3">
      <c r="A34" s="66"/>
      <c r="D34" s="134" t="s">
        <v>49</v>
      </c>
      <c r="E34" s="28"/>
      <c r="F34" s="28"/>
      <c r="G34" s="28"/>
      <c r="H34" s="28"/>
      <c r="I34" s="6" t="str">
        <f>Ввод!$M$12</f>
        <v>руб</v>
      </c>
      <c r="J34" s="6"/>
      <c r="K34" s="49"/>
      <c r="L34" s="225">
        <f t="shared" ref="L34" si="15">SUM(N34:R34)</f>
        <v>-145740000</v>
      </c>
      <c r="M34" s="227"/>
      <c r="N34" s="225">
        <f t="shared" ref="N34:R37" si="16">SUMIF($T$4:$EI$4,N$4,$T34:$EI34)</f>
        <v>-20940000</v>
      </c>
      <c r="O34" s="225">
        <f t="shared" si="16"/>
        <v>-31200000</v>
      </c>
      <c r="P34" s="225">
        <f t="shared" si="16"/>
        <v>-31200000</v>
      </c>
      <c r="Q34" s="225">
        <f t="shared" si="16"/>
        <v>-31200000</v>
      </c>
      <c r="R34" s="225">
        <f t="shared" si="16"/>
        <v>-31200000</v>
      </c>
      <c r="S34" s="227"/>
      <c r="T34" s="226">
        <f>Расчет!V141</f>
        <v>-700000</v>
      </c>
      <c r="U34" s="226">
        <f>Расчет!W141</f>
        <v>-700000</v>
      </c>
      <c r="V34" s="226">
        <f>Расчет!X141</f>
        <v>-700000</v>
      </c>
      <c r="W34" s="226">
        <f>Расчет!Y141</f>
        <v>-700000</v>
      </c>
      <c r="X34" s="226">
        <f>Расчет!Z141</f>
        <v>-1830000</v>
      </c>
      <c r="Y34" s="226">
        <f>Расчет!AA141</f>
        <v>-1830000</v>
      </c>
      <c r="Z34" s="226">
        <f>Расчет!AB141</f>
        <v>-1830000</v>
      </c>
      <c r="AA34" s="226">
        <f>Расчет!AC141</f>
        <v>-2250000</v>
      </c>
      <c r="AB34" s="226">
        <f>Расчет!AD141</f>
        <v>-2600000</v>
      </c>
      <c r="AC34" s="226">
        <f>Расчет!AE141</f>
        <v>-2600000</v>
      </c>
      <c r="AD34" s="226">
        <f>Расчет!AF141</f>
        <v>-2600000</v>
      </c>
      <c r="AE34" s="226">
        <f>Расчет!AG141</f>
        <v>-2600000</v>
      </c>
      <c r="AF34" s="226">
        <f>Расчет!AH141</f>
        <v>-2600000</v>
      </c>
      <c r="AG34" s="226">
        <f>Расчет!AI141</f>
        <v>-2600000</v>
      </c>
      <c r="AH34" s="226">
        <f>Расчет!AJ141</f>
        <v>-2600000</v>
      </c>
      <c r="AI34" s="226">
        <f>Расчет!AK141</f>
        <v>-2600000</v>
      </c>
      <c r="AJ34" s="226">
        <f>Расчет!AL141</f>
        <v>-2600000</v>
      </c>
      <c r="AK34" s="226">
        <f>Расчет!AM141</f>
        <v>-2600000</v>
      </c>
      <c r="AL34" s="226">
        <f>Расчет!AN141</f>
        <v>-2600000</v>
      </c>
      <c r="AM34" s="226">
        <f>Расчет!AO141</f>
        <v>-2600000</v>
      </c>
      <c r="AN34" s="226">
        <f>Расчет!AP141</f>
        <v>-2600000</v>
      </c>
      <c r="AO34" s="226">
        <f>Расчет!AQ141</f>
        <v>-2600000</v>
      </c>
      <c r="AP34" s="226">
        <f>Расчет!AR141</f>
        <v>-2600000</v>
      </c>
      <c r="AQ34" s="226">
        <f>Расчет!AS141</f>
        <v>-2600000</v>
      </c>
      <c r="AR34" s="226">
        <f>Расчет!AT141</f>
        <v>-2600000</v>
      </c>
      <c r="AS34" s="226">
        <f>Расчет!AU141</f>
        <v>-2600000</v>
      </c>
      <c r="AT34" s="226">
        <f>Расчет!AV141</f>
        <v>-2600000</v>
      </c>
      <c r="AU34" s="226">
        <f>Расчет!AW141</f>
        <v>-2600000</v>
      </c>
      <c r="AV34" s="226">
        <f>Расчет!AX141</f>
        <v>-2600000</v>
      </c>
      <c r="AW34" s="226">
        <f>Расчет!AY141</f>
        <v>-2600000</v>
      </c>
      <c r="AX34" s="226">
        <f>Расчет!AZ141</f>
        <v>-2600000</v>
      </c>
      <c r="AY34" s="226">
        <f>Расчет!BA141</f>
        <v>-2600000</v>
      </c>
      <c r="AZ34" s="226">
        <f>Расчет!BB141</f>
        <v>-2600000</v>
      </c>
      <c r="BA34" s="226">
        <f>Расчет!BC141</f>
        <v>-2600000</v>
      </c>
      <c r="BB34" s="226">
        <f>Расчет!BD141</f>
        <v>-2600000</v>
      </c>
      <c r="BC34" s="226">
        <f>Расчет!BE141</f>
        <v>-2600000</v>
      </c>
      <c r="BD34" s="226">
        <f>Расчет!BF141</f>
        <v>-2600000</v>
      </c>
      <c r="BE34" s="226">
        <f>Расчет!BG141</f>
        <v>-2600000</v>
      </c>
      <c r="BF34" s="226">
        <f>Расчет!BH141</f>
        <v>-2600000</v>
      </c>
      <c r="BG34" s="226">
        <f>Расчет!BI141</f>
        <v>-2600000</v>
      </c>
      <c r="BH34" s="226">
        <f>Расчет!BJ141</f>
        <v>-2600000</v>
      </c>
      <c r="BI34" s="226">
        <f>Расчет!BK141</f>
        <v>-2600000</v>
      </c>
      <c r="BJ34" s="226">
        <f>Расчет!BL141</f>
        <v>-2600000</v>
      </c>
      <c r="BK34" s="226">
        <f>Расчет!BM141</f>
        <v>-2600000</v>
      </c>
      <c r="BL34" s="226">
        <f>Расчет!BN141</f>
        <v>-2600000</v>
      </c>
      <c r="BM34" s="226">
        <f>Расчет!BO141</f>
        <v>-2600000</v>
      </c>
      <c r="BN34" s="226">
        <f>Расчет!BP141</f>
        <v>-2600000</v>
      </c>
      <c r="BO34" s="226">
        <f>Расчет!BQ141</f>
        <v>-2600000</v>
      </c>
      <c r="BP34" s="226">
        <f>Расчет!BR141</f>
        <v>-2600000</v>
      </c>
      <c r="BQ34" s="226">
        <f>Расчет!BS141</f>
        <v>-2600000</v>
      </c>
      <c r="BR34" s="226">
        <f>Расчет!BT141</f>
        <v>-2600000</v>
      </c>
      <c r="BS34" s="226">
        <f>Расчет!BU141</f>
        <v>-2600000</v>
      </c>
      <c r="BT34" s="226">
        <f>Расчет!BV141</f>
        <v>-2600000</v>
      </c>
      <c r="BU34" s="226">
        <f>Расчет!BW141</f>
        <v>-2600000</v>
      </c>
      <c r="BV34" s="226">
        <f>Расчет!BX141</f>
        <v>-2600000</v>
      </c>
      <c r="BW34" s="226">
        <f>Расчет!BY141</f>
        <v>-2600000</v>
      </c>
      <c r="BX34" s="226">
        <f>Расчет!BZ141</f>
        <v>-2600000</v>
      </c>
      <c r="BY34" s="226">
        <f>Расчет!CA141</f>
        <v>-2600000</v>
      </c>
      <c r="BZ34" s="226">
        <f>Расчет!CB141</f>
        <v>-2600000</v>
      </c>
      <c r="CA34" s="226">
        <f>Расчет!CC141</f>
        <v>-2600000</v>
      </c>
      <c r="CB34" s="61"/>
      <c r="CC34" s="111"/>
    </row>
    <row r="35" spans="1:81" s="65" customFormat="1" ht="15" customHeight="1" x14ac:dyDescent="0.3">
      <c r="A35" s="66"/>
      <c r="D35" s="14" t="str">
        <f>Расчет!D115</f>
        <v>Производство</v>
      </c>
      <c r="E35" s="24"/>
      <c r="F35" s="24"/>
      <c r="G35" s="24"/>
      <c r="H35" s="24"/>
      <c r="I35" s="31" t="str">
        <f>Ввод!$M$12</f>
        <v>руб</v>
      </c>
      <c r="J35" s="31"/>
      <c r="K35" s="49"/>
      <c r="L35" s="191">
        <f t="shared" ref="L35:L37" si="17">SUM(N35:R35)</f>
        <v>-54180000</v>
      </c>
      <c r="M35" s="139"/>
      <c r="N35" s="191">
        <f t="shared" si="16"/>
        <v>-6660000</v>
      </c>
      <c r="O35" s="191">
        <f t="shared" si="16"/>
        <v>-11880000</v>
      </c>
      <c r="P35" s="191">
        <f t="shared" si="16"/>
        <v>-11880000</v>
      </c>
      <c r="Q35" s="191">
        <f t="shared" si="16"/>
        <v>-11880000</v>
      </c>
      <c r="R35" s="191">
        <f t="shared" si="16"/>
        <v>-11880000</v>
      </c>
      <c r="S35" s="227"/>
      <c r="T35" s="224">
        <f>Расчет!V122</f>
        <v>0</v>
      </c>
      <c r="U35" s="224">
        <f>Расчет!W122</f>
        <v>0</v>
      </c>
      <c r="V35" s="224">
        <f>Расчет!X122</f>
        <v>0</v>
      </c>
      <c r="W35" s="224">
        <f>Расчет!Y122</f>
        <v>0</v>
      </c>
      <c r="X35" s="224">
        <f>Расчет!Z122</f>
        <v>-570000</v>
      </c>
      <c r="Y35" s="224">
        <f>Расчет!AA122</f>
        <v>-570000</v>
      </c>
      <c r="Z35" s="224">
        <f>Расчет!AB122</f>
        <v>-570000</v>
      </c>
      <c r="AA35" s="224">
        <f>Расчет!AC122</f>
        <v>-990000</v>
      </c>
      <c r="AB35" s="224">
        <f>Расчет!AD122</f>
        <v>-990000</v>
      </c>
      <c r="AC35" s="224">
        <f>Расчет!AE122</f>
        <v>-990000</v>
      </c>
      <c r="AD35" s="224">
        <f>Расчет!AF122</f>
        <v>-990000</v>
      </c>
      <c r="AE35" s="224">
        <f>Расчет!AG122</f>
        <v>-990000</v>
      </c>
      <c r="AF35" s="224">
        <f>Расчет!AH122</f>
        <v>-990000</v>
      </c>
      <c r="AG35" s="224">
        <f>Расчет!AI122</f>
        <v>-990000</v>
      </c>
      <c r="AH35" s="224">
        <f>Расчет!AJ122</f>
        <v>-990000</v>
      </c>
      <c r="AI35" s="224">
        <f>Расчет!AK122</f>
        <v>-990000</v>
      </c>
      <c r="AJ35" s="224">
        <f>Расчет!AL122</f>
        <v>-990000</v>
      </c>
      <c r="AK35" s="224">
        <f>Расчет!AM122</f>
        <v>-990000</v>
      </c>
      <c r="AL35" s="224">
        <f>Расчет!AN122</f>
        <v>-990000</v>
      </c>
      <c r="AM35" s="224">
        <f>Расчет!AO122</f>
        <v>-990000</v>
      </c>
      <c r="AN35" s="224">
        <f>Расчет!AP122</f>
        <v>-990000</v>
      </c>
      <c r="AO35" s="224">
        <f>Расчет!AQ122</f>
        <v>-990000</v>
      </c>
      <c r="AP35" s="224">
        <f>Расчет!AR122</f>
        <v>-990000</v>
      </c>
      <c r="AQ35" s="224">
        <f>Расчет!AS122</f>
        <v>-990000</v>
      </c>
      <c r="AR35" s="224">
        <f>Расчет!AT122</f>
        <v>-990000</v>
      </c>
      <c r="AS35" s="224">
        <f>Расчет!AU122</f>
        <v>-990000</v>
      </c>
      <c r="AT35" s="224">
        <f>Расчет!AV122</f>
        <v>-990000</v>
      </c>
      <c r="AU35" s="224">
        <f>Расчет!AW122</f>
        <v>-990000</v>
      </c>
      <c r="AV35" s="224">
        <f>Расчет!AX122</f>
        <v>-990000</v>
      </c>
      <c r="AW35" s="224">
        <f>Расчет!AY122</f>
        <v>-990000</v>
      </c>
      <c r="AX35" s="224">
        <f>Расчет!AZ122</f>
        <v>-990000</v>
      </c>
      <c r="AY35" s="224">
        <f>Расчет!BA122</f>
        <v>-990000</v>
      </c>
      <c r="AZ35" s="224">
        <f>Расчет!BB122</f>
        <v>-990000</v>
      </c>
      <c r="BA35" s="224">
        <f>Расчет!BC122</f>
        <v>-990000</v>
      </c>
      <c r="BB35" s="224">
        <f>Расчет!BD122</f>
        <v>-990000</v>
      </c>
      <c r="BC35" s="224">
        <f>Расчет!BE122</f>
        <v>-990000</v>
      </c>
      <c r="BD35" s="224">
        <f>Расчет!BF122</f>
        <v>-990000</v>
      </c>
      <c r="BE35" s="224">
        <f>Расчет!BG122</f>
        <v>-990000</v>
      </c>
      <c r="BF35" s="224">
        <f>Расчет!BH122</f>
        <v>-990000</v>
      </c>
      <c r="BG35" s="224">
        <f>Расчет!BI122</f>
        <v>-990000</v>
      </c>
      <c r="BH35" s="224">
        <f>Расчет!BJ122</f>
        <v>-990000</v>
      </c>
      <c r="BI35" s="224">
        <f>Расчет!BK122</f>
        <v>-990000</v>
      </c>
      <c r="BJ35" s="224">
        <f>Расчет!BL122</f>
        <v>-990000</v>
      </c>
      <c r="BK35" s="224">
        <f>Расчет!BM122</f>
        <v>-990000</v>
      </c>
      <c r="BL35" s="224">
        <f>Расчет!BN122</f>
        <v>-990000</v>
      </c>
      <c r="BM35" s="224">
        <f>Расчет!BO122</f>
        <v>-990000</v>
      </c>
      <c r="BN35" s="224">
        <f>Расчет!BP122</f>
        <v>-990000</v>
      </c>
      <c r="BO35" s="224">
        <f>Расчет!BQ122</f>
        <v>-990000</v>
      </c>
      <c r="BP35" s="224">
        <f>Расчет!BR122</f>
        <v>-990000</v>
      </c>
      <c r="BQ35" s="224">
        <f>Расчет!BS122</f>
        <v>-990000</v>
      </c>
      <c r="BR35" s="224">
        <f>Расчет!BT122</f>
        <v>-990000</v>
      </c>
      <c r="BS35" s="224">
        <f>Расчет!BU122</f>
        <v>-990000</v>
      </c>
      <c r="BT35" s="224">
        <f>Расчет!BV122</f>
        <v>-990000</v>
      </c>
      <c r="BU35" s="224">
        <f>Расчет!BW122</f>
        <v>-990000</v>
      </c>
      <c r="BV35" s="224">
        <f>Расчет!BX122</f>
        <v>-990000</v>
      </c>
      <c r="BW35" s="224">
        <f>Расчет!BY122</f>
        <v>-990000</v>
      </c>
      <c r="BX35" s="224">
        <f>Расчет!BZ122</f>
        <v>-990000</v>
      </c>
      <c r="BY35" s="224">
        <f>Расчет!CA122</f>
        <v>-990000</v>
      </c>
      <c r="BZ35" s="224">
        <f>Расчет!CB122</f>
        <v>-990000</v>
      </c>
      <c r="CA35" s="224">
        <f>Расчет!CC122</f>
        <v>-990000</v>
      </c>
      <c r="CB35" s="61"/>
      <c r="CC35" s="111"/>
    </row>
    <row r="36" spans="1:81" s="65" customFormat="1" ht="15" customHeight="1" x14ac:dyDescent="0.3">
      <c r="A36" s="66"/>
      <c r="D36" s="14" t="str">
        <f>Расчет!D124</f>
        <v>Логистика</v>
      </c>
      <c r="E36" s="24"/>
      <c r="F36" s="24"/>
      <c r="G36" s="24"/>
      <c r="H36" s="24"/>
      <c r="I36" s="31" t="str">
        <f>Ввод!$M$12</f>
        <v>руб</v>
      </c>
      <c r="J36" s="31"/>
      <c r="K36" s="49"/>
      <c r="L36" s="191">
        <f t="shared" si="17"/>
        <v>-49560000</v>
      </c>
      <c r="M36" s="139"/>
      <c r="N36" s="191">
        <f t="shared" si="16"/>
        <v>-5880000</v>
      </c>
      <c r="O36" s="191">
        <f t="shared" si="16"/>
        <v>-10920000</v>
      </c>
      <c r="P36" s="191">
        <f t="shared" si="16"/>
        <v>-10920000</v>
      </c>
      <c r="Q36" s="191">
        <f t="shared" si="16"/>
        <v>-10920000</v>
      </c>
      <c r="R36" s="191">
        <f t="shared" si="16"/>
        <v>-10920000</v>
      </c>
      <c r="S36" s="227"/>
      <c r="T36" s="224">
        <f>Расчет!V129</f>
        <v>0</v>
      </c>
      <c r="U36" s="224">
        <f>Расчет!W129</f>
        <v>0</v>
      </c>
      <c r="V36" s="224">
        <f>Расчет!X129</f>
        <v>0</v>
      </c>
      <c r="W36" s="224">
        <f>Расчет!Y129</f>
        <v>0</v>
      </c>
      <c r="X36" s="224">
        <f>Расчет!Z129</f>
        <v>-560000</v>
      </c>
      <c r="Y36" s="224">
        <f>Расчет!AA129</f>
        <v>-560000</v>
      </c>
      <c r="Z36" s="224">
        <f>Расчет!AB129</f>
        <v>-560000</v>
      </c>
      <c r="AA36" s="224">
        <f>Расчет!AC129</f>
        <v>-560000</v>
      </c>
      <c r="AB36" s="224">
        <f>Расчет!AD129</f>
        <v>-910000</v>
      </c>
      <c r="AC36" s="224">
        <f>Расчет!AE129</f>
        <v>-910000</v>
      </c>
      <c r="AD36" s="224">
        <f>Расчет!AF129</f>
        <v>-910000</v>
      </c>
      <c r="AE36" s="224">
        <f>Расчет!AG129</f>
        <v>-910000</v>
      </c>
      <c r="AF36" s="224">
        <f>Расчет!AH129</f>
        <v>-910000</v>
      </c>
      <c r="AG36" s="224">
        <f>Расчет!AI129</f>
        <v>-910000</v>
      </c>
      <c r="AH36" s="224">
        <f>Расчет!AJ129</f>
        <v>-910000</v>
      </c>
      <c r="AI36" s="224">
        <f>Расчет!AK129</f>
        <v>-910000</v>
      </c>
      <c r="AJ36" s="224">
        <f>Расчет!AL129</f>
        <v>-910000</v>
      </c>
      <c r="AK36" s="224">
        <f>Расчет!AM129</f>
        <v>-910000</v>
      </c>
      <c r="AL36" s="224">
        <f>Расчет!AN129</f>
        <v>-910000</v>
      </c>
      <c r="AM36" s="224">
        <f>Расчет!AO129</f>
        <v>-910000</v>
      </c>
      <c r="AN36" s="224">
        <f>Расчет!AP129</f>
        <v>-910000</v>
      </c>
      <c r="AO36" s="224">
        <f>Расчет!AQ129</f>
        <v>-910000</v>
      </c>
      <c r="AP36" s="224">
        <f>Расчет!AR129</f>
        <v>-910000</v>
      </c>
      <c r="AQ36" s="224">
        <f>Расчет!AS129</f>
        <v>-910000</v>
      </c>
      <c r="AR36" s="224">
        <f>Расчет!AT129</f>
        <v>-910000</v>
      </c>
      <c r="AS36" s="224">
        <f>Расчет!AU129</f>
        <v>-910000</v>
      </c>
      <c r="AT36" s="224">
        <f>Расчет!AV129</f>
        <v>-910000</v>
      </c>
      <c r="AU36" s="224">
        <f>Расчет!AW129</f>
        <v>-910000</v>
      </c>
      <c r="AV36" s="224">
        <f>Расчет!AX129</f>
        <v>-910000</v>
      </c>
      <c r="AW36" s="224">
        <f>Расчет!AY129</f>
        <v>-910000</v>
      </c>
      <c r="AX36" s="224">
        <f>Расчет!AZ129</f>
        <v>-910000</v>
      </c>
      <c r="AY36" s="224">
        <f>Расчет!BA129</f>
        <v>-910000</v>
      </c>
      <c r="AZ36" s="224">
        <f>Расчет!BB129</f>
        <v>-910000</v>
      </c>
      <c r="BA36" s="224">
        <f>Расчет!BC129</f>
        <v>-910000</v>
      </c>
      <c r="BB36" s="224">
        <f>Расчет!BD129</f>
        <v>-910000</v>
      </c>
      <c r="BC36" s="224">
        <f>Расчет!BE129</f>
        <v>-910000</v>
      </c>
      <c r="BD36" s="224">
        <f>Расчет!BF129</f>
        <v>-910000</v>
      </c>
      <c r="BE36" s="224">
        <f>Расчет!BG129</f>
        <v>-910000</v>
      </c>
      <c r="BF36" s="224">
        <f>Расчет!BH129</f>
        <v>-910000</v>
      </c>
      <c r="BG36" s="224">
        <f>Расчет!BI129</f>
        <v>-910000</v>
      </c>
      <c r="BH36" s="224">
        <f>Расчет!BJ129</f>
        <v>-910000</v>
      </c>
      <c r="BI36" s="224">
        <f>Расчет!BK129</f>
        <v>-910000</v>
      </c>
      <c r="BJ36" s="224">
        <f>Расчет!BL129</f>
        <v>-910000</v>
      </c>
      <c r="BK36" s="224">
        <f>Расчет!BM129</f>
        <v>-910000</v>
      </c>
      <c r="BL36" s="224">
        <f>Расчет!BN129</f>
        <v>-910000</v>
      </c>
      <c r="BM36" s="224">
        <f>Расчет!BO129</f>
        <v>-910000</v>
      </c>
      <c r="BN36" s="224">
        <f>Расчет!BP129</f>
        <v>-910000</v>
      </c>
      <c r="BO36" s="224">
        <f>Расчет!BQ129</f>
        <v>-910000</v>
      </c>
      <c r="BP36" s="224">
        <f>Расчет!BR129</f>
        <v>-910000</v>
      </c>
      <c r="BQ36" s="224">
        <f>Расчет!BS129</f>
        <v>-910000</v>
      </c>
      <c r="BR36" s="224">
        <f>Расчет!BT129</f>
        <v>-910000</v>
      </c>
      <c r="BS36" s="224">
        <f>Расчет!BU129</f>
        <v>-910000</v>
      </c>
      <c r="BT36" s="224">
        <f>Расчет!BV129</f>
        <v>-910000</v>
      </c>
      <c r="BU36" s="224">
        <f>Расчет!BW129</f>
        <v>-910000</v>
      </c>
      <c r="BV36" s="224">
        <f>Расчет!BX129</f>
        <v>-910000</v>
      </c>
      <c r="BW36" s="224">
        <f>Расчет!BY129</f>
        <v>-910000</v>
      </c>
      <c r="BX36" s="224">
        <f>Расчет!BZ129</f>
        <v>-910000</v>
      </c>
      <c r="BY36" s="224">
        <f>Расчет!CA129</f>
        <v>-910000</v>
      </c>
      <c r="BZ36" s="224">
        <f>Расчет!CB129</f>
        <v>-910000</v>
      </c>
      <c r="CA36" s="224">
        <f>Расчет!CC129</f>
        <v>-910000</v>
      </c>
      <c r="CB36" s="61"/>
      <c r="CC36" s="111"/>
    </row>
    <row r="37" spans="1:81" s="65" customFormat="1" ht="15" customHeight="1" x14ac:dyDescent="0.3">
      <c r="A37" s="66"/>
      <c r="D37" s="14" t="str">
        <f>Расчет!D131</f>
        <v>Администрация</v>
      </c>
      <c r="E37" s="24"/>
      <c r="F37" s="24"/>
      <c r="G37" s="24"/>
      <c r="H37" s="24"/>
      <c r="I37" s="31" t="str">
        <f>Ввод!$M$12</f>
        <v>руб</v>
      </c>
      <c r="J37" s="31"/>
      <c r="K37" s="49"/>
      <c r="L37" s="191">
        <f t="shared" si="17"/>
        <v>-42000000</v>
      </c>
      <c r="M37" s="139"/>
      <c r="N37" s="191">
        <f t="shared" si="16"/>
        <v>-8400000</v>
      </c>
      <c r="O37" s="191">
        <f t="shared" si="16"/>
        <v>-8400000</v>
      </c>
      <c r="P37" s="191">
        <f t="shared" si="16"/>
        <v>-8400000</v>
      </c>
      <c r="Q37" s="191">
        <f t="shared" si="16"/>
        <v>-8400000</v>
      </c>
      <c r="R37" s="191">
        <f t="shared" si="16"/>
        <v>-8400000</v>
      </c>
      <c r="S37" s="227"/>
      <c r="T37" s="224">
        <f>Расчет!V139</f>
        <v>-700000</v>
      </c>
      <c r="U37" s="224">
        <f>Расчет!W139</f>
        <v>-700000</v>
      </c>
      <c r="V37" s="224">
        <f>Расчет!X139</f>
        <v>-700000</v>
      </c>
      <c r="W37" s="224">
        <f>Расчет!Y139</f>
        <v>-700000</v>
      </c>
      <c r="X37" s="224">
        <f>Расчет!Z139</f>
        <v>-700000</v>
      </c>
      <c r="Y37" s="224">
        <f>Расчет!AA139</f>
        <v>-700000</v>
      </c>
      <c r="Z37" s="224">
        <f>Расчет!AB139</f>
        <v>-700000</v>
      </c>
      <c r="AA37" s="224">
        <f>Расчет!AC139</f>
        <v>-700000</v>
      </c>
      <c r="AB37" s="224">
        <f>Расчет!AD139</f>
        <v>-700000</v>
      </c>
      <c r="AC37" s="224">
        <f>Расчет!AE139</f>
        <v>-700000</v>
      </c>
      <c r="AD37" s="224">
        <f>Расчет!AF139</f>
        <v>-700000</v>
      </c>
      <c r="AE37" s="224">
        <f>Расчет!AG139</f>
        <v>-700000</v>
      </c>
      <c r="AF37" s="224">
        <f>Расчет!AH139</f>
        <v>-700000</v>
      </c>
      <c r="AG37" s="224">
        <f>Расчет!AI139</f>
        <v>-700000</v>
      </c>
      <c r="AH37" s="224">
        <f>Расчет!AJ139</f>
        <v>-700000</v>
      </c>
      <c r="AI37" s="224">
        <f>Расчет!AK139</f>
        <v>-700000</v>
      </c>
      <c r="AJ37" s="224">
        <f>Расчет!AL139</f>
        <v>-700000</v>
      </c>
      <c r="AK37" s="224">
        <f>Расчет!AM139</f>
        <v>-700000</v>
      </c>
      <c r="AL37" s="224">
        <f>Расчет!AN139</f>
        <v>-700000</v>
      </c>
      <c r="AM37" s="224">
        <f>Расчет!AO139</f>
        <v>-700000</v>
      </c>
      <c r="AN37" s="224">
        <f>Расчет!AP139</f>
        <v>-700000</v>
      </c>
      <c r="AO37" s="224">
        <f>Расчет!AQ139</f>
        <v>-700000</v>
      </c>
      <c r="AP37" s="224">
        <f>Расчет!AR139</f>
        <v>-700000</v>
      </c>
      <c r="AQ37" s="224">
        <f>Расчет!AS139</f>
        <v>-700000</v>
      </c>
      <c r="AR37" s="224">
        <f>Расчет!AT139</f>
        <v>-700000</v>
      </c>
      <c r="AS37" s="224">
        <f>Расчет!AU139</f>
        <v>-700000</v>
      </c>
      <c r="AT37" s="224">
        <f>Расчет!AV139</f>
        <v>-700000</v>
      </c>
      <c r="AU37" s="224">
        <f>Расчет!AW139</f>
        <v>-700000</v>
      </c>
      <c r="AV37" s="224">
        <f>Расчет!AX139</f>
        <v>-700000</v>
      </c>
      <c r="AW37" s="224">
        <f>Расчет!AY139</f>
        <v>-700000</v>
      </c>
      <c r="AX37" s="224">
        <f>Расчет!AZ139</f>
        <v>-700000</v>
      </c>
      <c r="AY37" s="224">
        <f>Расчет!BA139</f>
        <v>-700000</v>
      </c>
      <c r="AZ37" s="224">
        <f>Расчет!BB139</f>
        <v>-700000</v>
      </c>
      <c r="BA37" s="224">
        <f>Расчет!BC139</f>
        <v>-700000</v>
      </c>
      <c r="BB37" s="224">
        <f>Расчет!BD139</f>
        <v>-700000</v>
      </c>
      <c r="BC37" s="224">
        <f>Расчет!BE139</f>
        <v>-700000</v>
      </c>
      <c r="BD37" s="224">
        <f>Расчет!BF139</f>
        <v>-700000</v>
      </c>
      <c r="BE37" s="224">
        <f>Расчет!BG139</f>
        <v>-700000</v>
      </c>
      <c r="BF37" s="224">
        <f>Расчет!BH139</f>
        <v>-700000</v>
      </c>
      <c r="BG37" s="224">
        <f>Расчет!BI139</f>
        <v>-700000</v>
      </c>
      <c r="BH37" s="224">
        <f>Расчет!BJ139</f>
        <v>-700000</v>
      </c>
      <c r="BI37" s="224">
        <f>Расчет!BK139</f>
        <v>-700000</v>
      </c>
      <c r="BJ37" s="224">
        <f>Расчет!BL139</f>
        <v>-700000</v>
      </c>
      <c r="BK37" s="224">
        <f>Расчет!BM139</f>
        <v>-700000</v>
      </c>
      <c r="BL37" s="224">
        <f>Расчет!BN139</f>
        <v>-700000</v>
      </c>
      <c r="BM37" s="224">
        <f>Расчет!BO139</f>
        <v>-700000</v>
      </c>
      <c r="BN37" s="224">
        <f>Расчет!BP139</f>
        <v>-700000</v>
      </c>
      <c r="BO37" s="224">
        <f>Расчет!BQ139</f>
        <v>-700000</v>
      </c>
      <c r="BP37" s="224">
        <f>Расчет!BR139</f>
        <v>-700000</v>
      </c>
      <c r="BQ37" s="224">
        <f>Расчет!BS139</f>
        <v>-700000</v>
      </c>
      <c r="BR37" s="224">
        <f>Расчет!BT139</f>
        <v>-700000</v>
      </c>
      <c r="BS37" s="224">
        <f>Расчет!BU139</f>
        <v>-700000</v>
      </c>
      <c r="BT37" s="224">
        <f>Расчет!BV139</f>
        <v>-700000</v>
      </c>
      <c r="BU37" s="224">
        <f>Расчет!BW139</f>
        <v>-700000</v>
      </c>
      <c r="BV37" s="224">
        <f>Расчет!BX139</f>
        <v>-700000</v>
      </c>
      <c r="BW37" s="224">
        <f>Расчет!BY139</f>
        <v>-700000</v>
      </c>
      <c r="BX37" s="224">
        <f>Расчет!BZ139</f>
        <v>-700000</v>
      </c>
      <c r="BY37" s="224">
        <f>Расчет!CA139</f>
        <v>-700000</v>
      </c>
      <c r="BZ37" s="224">
        <f>Расчет!CB139</f>
        <v>-700000</v>
      </c>
      <c r="CA37" s="224">
        <f>Расчет!CC139</f>
        <v>-700000</v>
      </c>
      <c r="CB37" s="61"/>
      <c r="CC37" s="111"/>
    </row>
    <row r="38" spans="1:81" s="65" customFormat="1" ht="15" customHeight="1" x14ac:dyDescent="0.3">
      <c r="A38" s="66"/>
      <c r="D38" s="134"/>
      <c r="E38" s="148"/>
      <c r="F38" s="148"/>
      <c r="G38" s="148"/>
      <c r="H38" s="148"/>
      <c r="I38" s="153"/>
      <c r="J38" s="6"/>
      <c r="K38" s="49"/>
      <c r="L38" s="225"/>
      <c r="M38" s="227"/>
      <c r="N38" s="225"/>
      <c r="O38" s="225"/>
      <c r="P38" s="225"/>
      <c r="Q38" s="225"/>
      <c r="R38" s="225"/>
      <c r="S38" s="227"/>
      <c r="T38" s="226"/>
      <c r="U38" s="226"/>
      <c r="V38" s="226"/>
      <c r="W38" s="226"/>
      <c r="X38" s="226"/>
      <c r="Y38" s="226"/>
      <c r="Z38" s="226"/>
      <c r="AA38" s="226"/>
      <c r="AB38" s="226"/>
      <c r="AC38" s="226"/>
      <c r="AD38" s="226"/>
      <c r="AE38" s="226"/>
      <c r="AF38" s="226"/>
      <c r="AG38" s="226"/>
      <c r="AH38" s="226"/>
      <c r="AI38" s="226"/>
      <c r="AJ38" s="226"/>
      <c r="AK38" s="226"/>
      <c r="AL38" s="226"/>
      <c r="AM38" s="226"/>
      <c r="AN38" s="226"/>
      <c r="AO38" s="226"/>
      <c r="AP38" s="226"/>
      <c r="AQ38" s="226"/>
      <c r="AR38" s="226"/>
      <c r="AS38" s="226"/>
      <c r="AT38" s="226"/>
      <c r="AU38" s="226"/>
      <c r="AV38" s="226"/>
      <c r="AW38" s="226"/>
      <c r="AX38" s="226"/>
      <c r="AY38" s="226"/>
      <c r="AZ38" s="226"/>
      <c r="BA38" s="226"/>
      <c r="BB38" s="226"/>
      <c r="BC38" s="226"/>
      <c r="BD38" s="226"/>
      <c r="BE38" s="226"/>
      <c r="BF38" s="226"/>
      <c r="BG38" s="226"/>
      <c r="BH38" s="226"/>
      <c r="BI38" s="226"/>
      <c r="BJ38" s="226"/>
      <c r="BK38" s="226"/>
      <c r="BL38" s="226"/>
      <c r="BM38" s="226"/>
      <c r="BN38" s="226"/>
      <c r="BO38" s="226"/>
      <c r="BP38" s="226"/>
      <c r="BQ38" s="226"/>
      <c r="BR38" s="226"/>
      <c r="BS38" s="226"/>
      <c r="BT38" s="226"/>
      <c r="BU38" s="226"/>
      <c r="BV38" s="226"/>
      <c r="BW38" s="226"/>
      <c r="BX38" s="226"/>
      <c r="BY38" s="226"/>
      <c r="BZ38" s="226"/>
      <c r="CA38" s="226"/>
      <c r="CB38" s="61"/>
      <c r="CC38" s="111"/>
    </row>
    <row r="39" spans="1:81" ht="15" customHeight="1" x14ac:dyDescent="0.3">
      <c r="A39" s="51"/>
      <c r="D39" s="213" t="s">
        <v>93</v>
      </c>
      <c r="E39" s="208"/>
      <c r="F39" s="208"/>
      <c r="G39" s="208"/>
      <c r="H39" s="208"/>
      <c r="I39" s="212" t="str">
        <f>Ввод!$M$12</f>
        <v>руб</v>
      </c>
      <c r="J39" s="209"/>
      <c r="K39" s="214"/>
      <c r="L39" s="230">
        <f>SUM(N39:R39)</f>
        <v>172805000</v>
      </c>
      <c r="M39" s="232"/>
      <c r="N39" s="230">
        <f>SUMIF($T$4:$EI$4,N$4,$T39:$EI39)</f>
        <v>-1343800</v>
      </c>
      <c r="O39" s="230">
        <f>SUMIF($T$4:$EI$4,O$4,$T39:$EI39)</f>
        <v>19906800</v>
      </c>
      <c r="P39" s="230">
        <f>SUMIF($T$4:$EI$4,P$4,$T39:$EI39)</f>
        <v>35660400</v>
      </c>
      <c r="Q39" s="230">
        <f>SUMIF($T$4:$EI$4,Q$4,$T39:$EI39)</f>
        <v>51414000</v>
      </c>
      <c r="R39" s="230">
        <f>SUMIF($T$4:$EI$4,R$4,$T39:$EI39)</f>
        <v>67167600</v>
      </c>
      <c r="S39" s="139"/>
      <c r="T39" s="230">
        <f>T19+T22+T28+T34</f>
        <v>-960000</v>
      </c>
      <c r="U39" s="230">
        <f t="shared" ref="U39:CA39" si="18">U19+U22+U28+U34</f>
        <v>-960000</v>
      </c>
      <c r="V39" s="230">
        <f t="shared" si="18"/>
        <v>-960000</v>
      </c>
      <c r="W39" s="230">
        <f t="shared" si="18"/>
        <v>-960000</v>
      </c>
      <c r="X39" s="230">
        <f t="shared" si="18"/>
        <v>-2090000</v>
      </c>
      <c r="Y39" s="230">
        <f t="shared" si="18"/>
        <v>405000</v>
      </c>
      <c r="Z39" s="230">
        <f t="shared" si="18"/>
        <v>678500</v>
      </c>
      <c r="AA39" s="230">
        <f t="shared" si="18"/>
        <v>532000</v>
      </c>
      <c r="AB39" s="230">
        <f t="shared" si="18"/>
        <v>455500</v>
      </c>
      <c r="AC39" s="230">
        <f t="shared" si="18"/>
        <v>729000</v>
      </c>
      <c r="AD39" s="230">
        <f t="shared" si="18"/>
        <v>838400</v>
      </c>
      <c r="AE39" s="230">
        <f t="shared" si="18"/>
        <v>947800</v>
      </c>
      <c r="AF39" s="230">
        <f t="shared" si="18"/>
        <v>1057200</v>
      </c>
      <c r="AG39" s="230">
        <f t="shared" si="18"/>
        <v>1166600</v>
      </c>
      <c r="AH39" s="230">
        <f t="shared" si="18"/>
        <v>1276000</v>
      </c>
      <c r="AI39" s="230">
        <f t="shared" si="18"/>
        <v>1385400</v>
      </c>
      <c r="AJ39" s="230">
        <f t="shared" si="18"/>
        <v>1494800</v>
      </c>
      <c r="AK39" s="230">
        <f t="shared" si="18"/>
        <v>1604200</v>
      </c>
      <c r="AL39" s="230">
        <f t="shared" si="18"/>
        <v>1713600</v>
      </c>
      <c r="AM39" s="230">
        <f t="shared" si="18"/>
        <v>1823000</v>
      </c>
      <c r="AN39" s="230">
        <f t="shared" si="18"/>
        <v>1932400</v>
      </c>
      <c r="AO39" s="230">
        <f t="shared" si="18"/>
        <v>2041800</v>
      </c>
      <c r="AP39" s="230">
        <f t="shared" si="18"/>
        <v>2151200</v>
      </c>
      <c r="AQ39" s="230">
        <f t="shared" si="18"/>
        <v>2260600</v>
      </c>
      <c r="AR39" s="230">
        <f t="shared" si="18"/>
        <v>2370000</v>
      </c>
      <c r="AS39" s="230">
        <f t="shared" si="18"/>
        <v>2479400</v>
      </c>
      <c r="AT39" s="230">
        <f t="shared" si="18"/>
        <v>2588800</v>
      </c>
      <c r="AU39" s="230">
        <f t="shared" si="18"/>
        <v>2698200</v>
      </c>
      <c r="AV39" s="230">
        <f t="shared" si="18"/>
        <v>2807600</v>
      </c>
      <c r="AW39" s="230">
        <f t="shared" si="18"/>
        <v>2917000</v>
      </c>
      <c r="AX39" s="230">
        <f t="shared" si="18"/>
        <v>3026400</v>
      </c>
      <c r="AY39" s="230">
        <f t="shared" si="18"/>
        <v>3135800</v>
      </c>
      <c r="AZ39" s="230">
        <f t="shared" si="18"/>
        <v>3245200</v>
      </c>
      <c r="BA39" s="230">
        <f t="shared" si="18"/>
        <v>3354600</v>
      </c>
      <c r="BB39" s="230">
        <f t="shared" si="18"/>
        <v>3464000</v>
      </c>
      <c r="BC39" s="230">
        <f t="shared" si="18"/>
        <v>3573400</v>
      </c>
      <c r="BD39" s="230">
        <f t="shared" si="18"/>
        <v>3682800</v>
      </c>
      <c r="BE39" s="230">
        <f t="shared" si="18"/>
        <v>3792200</v>
      </c>
      <c r="BF39" s="230">
        <f t="shared" si="18"/>
        <v>3901600</v>
      </c>
      <c r="BG39" s="230">
        <f t="shared" si="18"/>
        <v>4011000</v>
      </c>
      <c r="BH39" s="230">
        <f t="shared" si="18"/>
        <v>4120400</v>
      </c>
      <c r="BI39" s="230">
        <f t="shared" si="18"/>
        <v>4229800</v>
      </c>
      <c r="BJ39" s="230">
        <f t="shared" si="18"/>
        <v>4339200</v>
      </c>
      <c r="BK39" s="230">
        <f t="shared" si="18"/>
        <v>4448600</v>
      </c>
      <c r="BL39" s="230">
        <f t="shared" si="18"/>
        <v>4558000</v>
      </c>
      <c r="BM39" s="230">
        <f t="shared" si="18"/>
        <v>4667400</v>
      </c>
      <c r="BN39" s="230">
        <f t="shared" si="18"/>
        <v>4776800</v>
      </c>
      <c r="BO39" s="230">
        <f t="shared" si="18"/>
        <v>4886200</v>
      </c>
      <c r="BP39" s="230">
        <f t="shared" si="18"/>
        <v>4995600</v>
      </c>
      <c r="BQ39" s="230">
        <f t="shared" si="18"/>
        <v>5105000</v>
      </c>
      <c r="BR39" s="230">
        <f t="shared" si="18"/>
        <v>5214400</v>
      </c>
      <c r="BS39" s="230">
        <f t="shared" si="18"/>
        <v>5323800</v>
      </c>
      <c r="BT39" s="230">
        <f t="shared" si="18"/>
        <v>5433200</v>
      </c>
      <c r="BU39" s="230">
        <f t="shared" si="18"/>
        <v>5542600</v>
      </c>
      <c r="BV39" s="230">
        <f t="shared" si="18"/>
        <v>5652000</v>
      </c>
      <c r="BW39" s="230">
        <f t="shared" si="18"/>
        <v>5761400</v>
      </c>
      <c r="BX39" s="230">
        <f t="shared" si="18"/>
        <v>5870800</v>
      </c>
      <c r="BY39" s="230">
        <f t="shared" si="18"/>
        <v>5980200</v>
      </c>
      <c r="BZ39" s="230">
        <f t="shared" si="18"/>
        <v>6089600</v>
      </c>
      <c r="CA39" s="230">
        <f t="shared" si="18"/>
        <v>6199000</v>
      </c>
      <c r="CB39" s="46"/>
      <c r="CC39" s="111"/>
    </row>
    <row r="40" spans="1:81" s="85" customFormat="1" ht="15" customHeight="1" x14ac:dyDescent="0.3">
      <c r="A40" s="84"/>
      <c r="D40" s="161" t="s">
        <v>94</v>
      </c>
      <c r="E40" s="86"/>
      <c r="F40" s="86"/>
      <c r="G40" s="86"/>
      <c r="H40" s="86"/>
      <c r="I40" s="83" t="s">
        <v>36</v>
      </c>
      <c r="J40" s="83"/>
      <c r="K40" s="78"/>
      <c r="L40" s="78">
        <f>IFERROR(L39/L11,0)</f>
        <v>0.27213385826771652</v>
      </c>
      <c r="M40" s="78"/>
      <c r="N40" s="78">
        <f>IFERROR(N39/N11,0)</f>
        <v>-3.0130044843049326E-2</v>
      </c>
      <c r="O40" s="78">
        <f>IFERROR(O39/O11,0)</f>
        <v>0.19067816091954023</v>
      </c>
      <c r="P40" s="78">
        <f>IFERROR(P39/P11,0)</f>
        <v>0.26772072072072073</v>
      </c>
      <c r="Q40" s="78">
        <f>IFERROR(Q39/Q11,0)</f>
        <v>0.31737037037037036</v>
      </c>
      <c r="R40" s="78">
        <f>IFERROR(R39/R11,0)</f>
        <v>0.35203144654088048</v>
      </c>
      <c r="S40" s="78"/>
      <c r="T40" s="78">
        <f t="shared" ref="T40:AY40" si="19">IFERROR(T39/T11,0)</f>
        <v>0</v>
      </c>
      <c r="U40" s="78">
        <f t="shared" si="19"/>
        <v>0</v>
      </c>
      <c r="V40" s="78">
        <f t="shared" si="19"/>
        <v>0</v>
      </c>
      <c r="W40" s="78">
        <f t="shared" si="19"/>
        <v>0</v>
      </c>
      <c r="X40" s="78">
        <f t="shared" si="19"/>
        <v>0</v>
      </c>
      <c r="Y40" s="78">
        <f t="shared" si="19"/>
        <v>8.1000000000000003E-2</v>
      </c>
      <c r="Z40" s="78">
        <f t="shared" si="19"/>
        <v>0.12336363636363637</v>
      </c>
      <c r="AA40" s="78">
        <f t="shared" si="19"/>
        <v>8.8666666666666671E-2</v>
      </c>
      <c r="AB40" s="78">
        <f t="shared" si="19"/>
        <v>7.0076923076923078E-2</v>
      </c>
      <c r="AC40" s="78">
        <f t="shared" si="19"/>
        <v>0.10414285714285715</v>
      </c>
      <c r="AD40" s="78">
        <f t="shared" si="19"/>
        <v>0.11644444444444445</v>
      </c>
      <c r="AE40" s="78">
        <f t="shared" si="19"/>
        <v>0.12808108108108107</v>
      </c>
      <c r="AF40" s="78">
        <f t="shared" si="19"/>
        <v>0.13910526315789473</v>
      </c>
      <c r="AG40" s="78">
        <f t="shared" si="19"/>
        <v>0.14956410256410257</v>
      </c>
      <c r="AH40" s="78">
        <f t="shared" si="19"/>
        <v>0.1595</v>
      </c>
      <c r="AI40" s="78">
        <f t="shared" si="19"/>
        <v>0.16895121951219513</v>
      </c>
      <c r="AJ40" s="78">
        <f t="shared" si="19"/>
        <v>0.17795238095238095</v>
      </c>
      <c r="AK40" s="78">
        <f t="shared" si="19"/>
        <v>0.18653488372093024</v>
      </c>
      <c r="AL40" s="78">
        <f t="shared" si="19"/>
        <v>0.19472727272727272</v>
      </c>
      <c r="AM40" s="78">
        <f t="shared" si="19"/>
        <v>0.20255555555555554</v>
      </c>
      <c r="AN40" s="78">
        <f t="shared" si="19"/>
        <v>0.21004347826086955</v>
      </c>
      <c r="AO40" s="78">
        <f t="shared" si="19"/>
        <v>0.21721276595744682</v>
      </c>
      <c r="AP40" s="78">
        <f t="shared" si="19"/>
        <v>0.22408333333333333</v>
      </c>
      <c r="AQ40" s="78">
        <f t="shared" si="19"/>
        <v>0.2306734693877551</v>
      </c>
      <c r="AR40" s="78">
        <f t="shared" si="19"/>
        <v>0.23699999999999999</v>
      </c>
      <c r="AS40" s="78">
        <f t="shared" si="19"/>
        <v>0.24307843137254903</v>
      </c>
      <c r="AT40" s="78">
        <f t="shared" si="19"/>
        <v>0.24892307692307691</v>
      </c>
      <c r="AU40" s="78">
        <f t="shared" si="19"/>
        <v>0.25454716981132075</v>
      </c>
      <c r="AV40" s="78">
        <f t="shared" si="19"/>
        <v>0.25996296296296295</v>
      </c>
      <c r="AW40" s="78">
        <f t="shared" si="19"/>
        <v>0.26518181818181819</v>
      </c>
      <c r="AX40" s="78">
        <f t="shared" si="19"/>
        <v>0.27021428571428574</v>
      </c>
      <c r="AY40" s="78">
        <f t="shared" si="19"/>
        <v>0.27507017543859646</v>
      </c>
      <c r="AZ40" s="78">
        <f t="shared" ref="AZ40:CA40" si="20">IFERROR(AZ39/AZ11,0)</f>
        <v>0.27975862068965518</v>
      </c>
      <c r="BA40" s="78">
        <f t="shared" si="20"/>
        <v>0.28428813559322036</v>
      </c>
      <c r="BB40" s="78">
        <f t="shared" si="20"/>
        <v>0.28866666666666668</v>
      </c>
      <c r="BC40" s="78">
        <f t="shared" si="20"/>
        <v>0.29290163934426228</v>
      </c>
      <c r="BD40" s="78">
        <f t="shared" si="20"/>
        <v>0.29699999999999999</v>
      </c>
      <c r="BE40" s="78">
        <f t="shared" si="20"/>
        <v>0.300968253968254</v>
      </c>
      <c r="BF40" s="78">
        <f t="shared" si="20"/>
        <v>0.30481249999999999</v>
      </c>
      <c r="BG40" s="78">
        <f t="shared" si="20"/>
        <v>0.30853846153846154</v>
      </c>
      <c r="BH40" s="78">
        <f t="shared" si="20"/>
        <v>0.31215151515151512</v>
      </c>
      <c r="BI40" s="78">
        <f t="shared" si="20"/>
        <v>0.31565671641791043</v>
      </c>
      <c r="BJ40" s="78">
        <f t="shared" si="20"/>
        <v>0.31905882352941178</v>
      </c>
      <c r="BK40" s="78">
        <f t="shared" si="20"/>
        <v>0.3223623188405797</v>
      </c>
      <c r="BL40" s="78">
        <f t="shared" si="20"/>
        <v>0.32557142857142857</v>
      </c>
      <c r="BM40" s="78">
        <f t="shared" si="20"/>
        <v>0.32869014084507042</v>
      </c>
      <c r="BN40" s="78">
        <f t="shared" si="20"/>
        <v>0.3317222222222222</v>
      </c>
      <c r="BO40" s="78">
        <f t="shared" si="20"/>
        <v>0.33467123287671235</v>
      </c>
      <c r="BP40" s="78">
        <f t="shared" si="20"/>
        <v>0.33754054054054056</v>
      </c>
      <c r="BQ40" s="78">
        <f t="shared" si="20"/>
        <v>0.34033333333333332</v>
      </c>
      <c r="BR40" s="78">
        <f t="shared" si="20"/>
        <v>0.34305263157894739</v>
      </c>
      <c r="BS40" s="78">
        <f t="shared" si="20"/>
        <v>0.34570129870129868</v>
      </c>
      <c r="BT40" s="78">
        <f t="shared" si="20"/>
        <v>0.34828205128205131</v>
      </c>
      <c r="BU40" s="78">
        <f t="shared" si="20"/>
        <v>0.35079746835443038</v>
      </c>
      <c r="BV40" s="78">
        <f t="shared" si="20"/>
        <v>0.35325000000000001</v>
      </c>
      <c r="BW40" s="78">
        <f t="shared" si="20"/>
        <v>0.355641975308642</v>
      </c>
      <c r="BX40" s="78">
        <f t="shared" si="20"/>
        <v>0.35797560975609755</v>
      </c>
      <c r="BY40" s="78">
        <f t="shared" si="20"/>
        <v>0.36025301204819277</v>
      </c>
      <c r="BZ40" s="78">
        <f t="shared" si="20"/>
        <v>0.36247619047619045</v>
      </c>
      <c r="CA40" s="78">
        <f t="shared" si="20"/>
        <v>0.36464705882352944</v>
      </c>
      <c r="CB40" s="77"/>
      <c r="CC40" s="111"/>
    </row>
    <row r="41" spans="1:81" ht="15" customHeight="1" x14ac:dyDescent="0.3">
      <c r="A41" s="51"/>
      <c r="E41" s="60"/>
      <c r="F41" s="60"/>
      <c r="G41" s="60"/>
      <c r="H41" s="60"/>
      <c r="I41" s="31"/>
      <c r="J41" s="6"/>
      <c r="K41" s="49"/>
      <c r="L41" s="5"/>
      <c r="M41" s="97"/>
      <c r="N41" s="5"/>
      <c r="O41" s="5"/>
      <c r="P41" s="5"/>
      <c r="Q41" s="5"/>
      <c r="R41" s="5"/>
      <c r="S41" s="97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6"/>
      <c r="BQ41" s="46"/>
      <c r="BR41" s="46"/>
      <c r="BS41" s="46"/>
      <c r="BT41" s="46"/>
      <c r="BU41" s="46"/>
      <c r="BV41" s="46"/>
      <c r="BW41" s="46"/>
      <c r="BX41" s="46"/>
      <c r="BY41" s="46"/>
      <c r="BZ41" s="46"/>
      <c r="CA41" s="46"/>
      <c r="CB41" s="46"/>
      <c r="CC41" s="111"/>
    </row>
    <row r="42" spans="1:81" ht="15" customHeight="1" x14ac:dyDescent="0.3">
      <c r="A42" s="51"/>
      <c r="D42" s="132" t="s">
        <v>74</v>
      </c>
      <c r="I42" s="31" t="str">
        <f>Ввод!$M$12</f>
        <v>руб</v>
      </c>
      <c r="J42" s="31"/>
      <c r="K42" s="2"/>
      <c r="L42" s="191">
        <f ca="1">SUM(N42:R42)</f>
        <v>-26195355.191256821</v>
      </c>
      <c r="M42" s="139"/>
      <c r="N42" s="191">
        <f t="shared" ref="N42:R46" ca="1" si="21">SUMIF($T$4:$EI$4,N$4,$T42:$EI42)</f>
        <v>-3244535.5191256823</v>
      </c>
      <c r="O42" s="191">
        <f t="shared" ca="1" si="21"/>
        <v>-5737704.9180327849</v>
      </c>
      <c r="P42" s="191">
        <f t="shared" ca="1" si="21"/>
        <v>-5737704.9180327849</v>
      </c>
      <c r="Q42" s="191">
        <f t="shared" ca="1" si="21"/>
        <v>-5737704.9180327849</v>
      </c>
      <c r="R42" s="191">
        <f t="shared" ca="1" si="21"/>
        <v>-5737704.9180327849</v>
      </c>
      <c r="S42" s="139"/>
      <c r="T42" s="228">
        <f ca="1">Расчет!V193</f>
        <v>0</v>
      </c>
      <c r="U42" s="228">
        <f ca="1">Расчет!W193</f>
        <v>0</v>
      </c>
      <c r="V42" s="228">
        <f ca="1">Расчет!X193</f>
        <v>0</v>
      </c>
      <c r="W42" s="228">
        <f ca="1">Расчет!Y193</f>
        <v>-68306.010928961754</v>
      </c>
      <c r="X42" s="228">
        <f ca="1">Расчет!Z193</f>
        <v>-239071.03825136612</v>
      </c>
      <c r="Y42" s="228">
        <f ca="1">Расчет!AA193</f>
        <v>-239071.03825136612</v>
      </c>
      <c r="Z42" s="228">
        <f ca="1">Расчет!AB193</f>
        <v>-307377.04918032791</v>
      </c>
      <c r="AA42" s="228">
        <f ca="1">Расчет!AC193</f>
        <v>-478142.07650273223</v>
      </c>
      <c r="AB42" s="228">
        <f ca="1">Расчет!AD193</f>
        <v>-478142.07650273223</v>
      </c>
      <c r="AC42" s="228">
        <f ca="1">Расчет!AE193</f>
        <v>-478142.07650273223</v>
      </c>
      <c r="AD42" s="228">
        <f ca="1">Расчет!AF193</f>
        <v>-478142.07650273223</v>
      </c>
      <c r="AE42" s="228">
        <f ca="1">Расчет!AG193</f>
        <v>-478142.07650273223</v>
      </c>
      <c r="AF42" s="228">
        <f ca="1">Расчет!AH193</f>
        <v>-478142.07650273223</v>
      </c>
      <c r="AG42" s="228">
        <f ca="1">Расчет!AI193</f>
        <v>-478142.07650273223</v>
      </c>
      <c r="AH42" s="228">
        <f ca="1">Расчет!AJ193</f>
        <v>-478142.07650273223</v>
      </c>
      <c r="AI42" s="228">
        <f ca="1">Расчет!AK193</f>
        <v>-478142.07650273223</v>
      </c>
      <c r="AJ42" s="228">
        <f ca="1">Расчет!AL193</f>
        <v>-478142.07650273223</v>
      </c>
      <c r="AK42" s="228">
        <f ca="1">Расчет!AM193</f>
        <v>-478142.07650273223</v>
      </c>
      <c r="AL42" s="228">
        <f ca="1">Расчет!AN193</f>
        <v>-478142.07650273223</v>
      </c>
      <c r="AM42" s="228">
        <f ca="1">Расчет!AO193</f>
        <v>-478142.07650273223</v>
      </c>
      <c r="AN42" s="228">
        <f ca="1">Расчет!AP193</f>
        <v>-478142.07650273223</v>
      </c>
      <c r="AO42" s="228">
        <f ca="1">Расчет!AQ193</f>
        <v>-478142.07650273223</v>
      </c>
      <c r="AP42" s="228">
        <f ca="1">Расчет!AR193</f>
        <v>-478142.07650273223</v>
      </c>
      <c r="AQ42" s="228">
        <f ca="1">Расчет!AS193</f>
        <v>-478142.07650273223</v>
      </c>
      <c r="AR42" s="228">
        <f ca="1">Расчет!AT193</f>
        <v>-478142.07650273223</v>
      </c>
      <c r="AS42" s="228">
        <f ca="1">Расчет!AU193</f>
        <v>-478142.07650273223</v>
      </c>
      <c r="AT42" s="228">
        <f ca="1">Расчет!AV193</f>
        <v>-478142.07650273223</v>
      </c>
      <c r="AU42" s="228">
        <f ca="1">Расчет!AW193</f>
        <v>-478142.07650273223</v>
      </c>
      <c r="AV42" s="228">
        <f ca="1">Расчет!AX193</f>
        <v>-478142.07650273223</v>
      </c>
      <c r="AW42" s="228">
        <f ca="1">Расчет!AY193</f>
        <v>-478142.07650273223</v>
      </c>
      <c r="AX42" s="228">
        <f ca="1">Расчет!AZ193</f>
        <v>-478142.07650273223</v>
      </c>
      <c r="AY42" s="228">
        <f ca="1">Расчет!BA193</f>
        <v>-478142.07650273223</v>
      </c>
      <c r="AZ42" s="228">
        <f ca="1">Расчет!BB193</f>
        <v>-478142.07650273223</v>
      </c>
      <c r="BA42" s="228">
        <f ca="1">Расчет!BC193</f>
        <v>-478142.07650273223</v>
      </c>
      <c r="BB42" s="228">
        <f ca="1">Расчет!BD193</f>
        <v>-478142.07650273223</v>
      </c>
      <c r="BC42" s="228">
        <f ca="1">Расчет!BE193</f>
        <v>-478142.07650273223</v>
      </c>
      <c r="BD42" s="228">
        <f ca="1">Расчет!BF193</f>
        <v>-478142.07650273223</v>
      </c>
      <c r="BE42" s="228">
        <f ca="1">Расчет!BG193</f>
        <v>-478142.07650273223</v>
      </c>
      <c r="BF42" s="228">
        <f ca="1">Расчет!BH193</f>
        <v>-478142.07650273223</v>
      </c>
      <c r="BG42" s="228">
        <f ca="1">Расчет!BI193</f>
        <v>-478142.07650273223</v>
      </c>
      <c r="BH42" s="228">
        <f ca="1">Расчет!BJ193</f>
        <v>-478142.07650273223</v>
      </c>
      <c r="BI42" s="228">
        <f ca="1">Расчет!BK193</f>
        <v>-478142.07650273223</v>
      </c>
      <c r="BJ42" s="228">
        <f ca="1">Расчет!BL193</f>
        <v>-478142.07650273223</v>
      </c>
      <c r="BK42" s="228">
        <f ca="1">Расчет!BM193</f>
        <v>-478142.07650273223</v>
      </c>
      <c r="BL42" s="228">
        <f ca="1">Расчет!BN193</f>
        <v>-478142.07650273223</v>
      </c>
      <c r="BM42" s="228">
        <f ca="1">Расчет!BO193</f>
        <v>-478142.07650273223</v>
      </c>
      <c r="BN42" s="228">
        <f ca="1">Расчет!BP193</f>
        <v>-478142.07650273223</v>
      </c>
      <c r="BO42" s="228">
        <f ca="1">Расчет!BQ193</f>
        <v>-478142.07650273223</v>
      </c>
      <c r="BP42" s="228">
        <f ca="1">Расчет!BR193</f>
        <v>-478142.07650273223</v>
      </c>
      <c r="BQ42" s="228">
        <f ca="1">Расчет!BS193</f>
        <v>-478142.07650273223</v>
      </c>
      <c r="BR42" s="228">
        <f ca="1">Расчет!BT193</f>
        <v>-478142.07650273223</v>
      </c>
      <c r="BS42" s="228">
        <f ca="1">Расчет!BU193</f>
        <v>-478142.07650273223</v>
      </c>
      <c r="BT42" s="228">
        <f ca="1">Расчет!BV193</f>
        <v>-478142.07650273223</v>
      </c>
      <c r="BU42" s="228">
        <f ca="1">Расчет!BW193</f>
        <v>-478142.07650273223</v>
      </c>
      <c r="BV42" s="228">
        <f ca="1">Расчет!BX193</f>
        <v>-478142.07650273223</v>
      </c>
      <c r="BW42" s="228">
        <f ca="1">Расчет!BY193</f>
        <v>-478142.07650273223</v>
      </c>
      <c r="BX42" s="228">
        <f ca="1">Расчет!BZ193</f>
        <v>-478142.07650273223</v>
      </c>
      <c r="BY42" s="228">
        <f ca="1">Расчет!CA193</f>
        <v>-478142.07650273223</v>
      </c>
      <c r="BZ42" s="228">
        <f ca="1">Расчет!CB193</f>
        <v>-478142.07650273223</v>
      </c>
      <c r="CA42" s="228">
        <f ca="1">Расчет!CC193</f>
        <v>-478142.07650273223</v>
      </c>
      <c r="CB42" s="46"/>
      <c r="CC42" s="111"/>
    </row>
    <row r="43" spans="1:81" ht="15" customHeight="1" x14ac:dyDescent="0.3">
      <c r="A43" s="51"/>
      <c r="D43" s="169" t="s">
        <v>200</v>
      </c>
      <c r="I43" s="31" t="str">
        <f>Ввод!$M$12</f>
        <v>руб</v>
      </c>
      <c r="J43" s="31"/>
      <c r="K43" s="2"/>
      <c r="L43" s="191">
        <f ca="1">SUM(N43:R43)</f>
        <v>146609644.80874315</v>
      </c>
      <c r="M43" s="139"/>
      <c r="N43" s="191">
        <f t="shared" ca="1" si="21"/>
        <v>-4588335.5191256823</v>
      </c>
      <c r="O43" s="191">
        <f t="shared" ca="1" si="21"/>
        <v>14169095.081967212</v>
      </c>
      <c r="P43" s="191">
        <f t="shared" ca="1" si="21"/>
        <v>29922695.081967209</v>
      </c>
      <c r="Q43" s="191">
        <f t="shared" ca="1" si="21"/>
        <v>45676295.081967212</v>
      </c>
      <c r="R43" s="191">
        <f t="shared" ca="1" si="21"/>
        <v>61429895.081967212</v>
      </c>
      <c r="S43" s="139"/>
      <c r="T43" s="228">
        <f ca="1">T39+T42</f>
        <v>-960000</v>
      </c>
      <c r="U43" s="228">
        <f t="shared" ref="U43:CA43" ca="1" si="22">U39+U42</f>
        <v>-960000</v>
      </c>
      <c r="V43" s="228">
        <f t="shared" ca="1" si="22"/>
        <v>-960000</v>
      </c>
      <c r="W43" s="228">
        <f t="shared" ca="1" si="22"/>
        <v>-1028306.0109289618</v>
      </c>
      <c r="X43" s="228">
        <f t="shared" ca="1" si="22"/>
        <v>-2329071.038251366</v>
      </c>
      <c r="Y43" s="228">
        <f t="shared" ca="1" si="22"/>
        <v>165928.96174863388</v>
      </c>
      <c r="Z43" s="228">
        <f t="shared" ca="1" si="22"/>
        <v>371122.95081967209</v>
      </c>
      <c r="AA43" s="228">
        <f t="shared" ca="1" si="22"/>
        <v>53857.923497267766</v>
      </c>
      <c r="AB43" s="228">
        <f t="shared" ca="1" si="22"/>
        <v>-22642.076502732234</v>
      </c>
      <c r="AC43" s="228">
        <f t="shared" ca="1" si="22"/>
        <v>250857.92349726777</v>
      </c>
      <c r="AD43" s="228">
        <f t="shared" ca="1" si="22"/>
        <v>360257.92349726777</v>
      </c>
      <c r="AE43" s="228">
        <f t="shared" ca="1" si="22"/>
        <v>469657.92349726777</v>
      </c>
      <c r="AF43" s="228">
        <f t="shared" ca="1" si="22"/>
        <v>579057.92349726777</v>
      </c>
      <c r="AG43" s="228">
        <f t="shared" ca="1" si="22"/>
        <v>688457.92349726777</v>
      </c>
      <c r="AH43" s="228">
        <f t="shared" ca="1" si="22"/>
        <v>797857.92349726777</v>
      </c>
      <c r="AI43" s="228">
        <f t="shared" ca="1" si="22"/>
        <v>907257.92349726777</v>
      </c>
      <c r="AJ43" s="228">
        <f t="shared" ca="1" si="22"/>
        <v>1016657.9234972678</v>
      </c>
      <c r="AK43" s="228">
        <f t="shared" ca="1" si="22"/>
        <v>1126057.9234972678</v>
      </c>
      <c r="AL43" s="228">
        <f t="shared" ca="1" si="22"/>
        <v>1235457.9234972678</v>
      </c>
      <c r="AM43" s="228">
        <f t="shared" ca="1" si="22"/>
        <v>1344857.9234972678</v>
      </c>
      <c r="AN43" s="228">
        <f t="shared" ca="1" si="22"/>
        <v>1454257.9234972678</v>
      </c>
      <c r="AO43" s="228">
        <f t="shared" ca="1" si="22"/>
        <v>1563657.9234972678</v>
      </c>
      <c r="AP43" s="228">
        <f t="shared" ca="1" si="22"/>
        <v>1673057.9234972678</v>
      </c>
      <c r="AQ43" s="228">
        <f t="shared" ca="1" si="22"/>
        <v>1782457.9234972678</v>
      </c>
      <c r="AR43" s="228">
        <f t="shared" ca="1" si="22"/>
        <v>1891857.9234972678</v>
      </c>
      <c r="AS43" s="228">
        <f t="shared" ca="1" si="22"/>
        <v>2001257.9234972678</v>
      </c>
      <c r="AT43" s="228">
        <f t="shared" ca="1" si="22"/>
        <v>2110657.923497268</v>
      </c>
      <c r="AU43" s="228">
        <f t="shared" ca="1" si="22"/>
        <v>2220057.923497268</v>
      </c>
      <c r="AV43" s="228">
        <f t="shared" ca="1" si="22"/>
        <v>2329457.923497268</v>
      </c>
      <c r="AW43" s="228">
        <f t="shared" ca="1" si="22"/>
        <v>2438857.923497268</v>
      </c>
      <c r="AX43" s="228">
        <f t="shared" ca="1" si="22"/>
        <v>2548257.923497268</v>
      </c>
      <c r="AY43" s="228">
        <f t="shared" ca="1" si="22"/>
        <v>2657657.923497268</v>
      </c>
      <c r="AZ43" s="228">
        <f t="shared" ca="1" si="22"/>
        <v>2767057.923497268</v>
      </c>
      <c r="BA43" s="228">
        <f t="shared" ca="1" si="22"/>
        <v>2876457.923497268</v>
      </c>
      <c r="BB43" s="228">
        <f t="shared" ca="1" si="22"/>
        <v>2985857.923497268</v>
      </c>
      <c r="BC43" s="228">
        <f t="shared" ca="1" si="22"/>
        <v>3095257.923497268</v>
      </c>
      <c r="BD43" s="228">
        <f t="shared" ca="1" si="22"/>
        <v>3204657.923497268</v>
      </c>
      <c r="BE43" s="228">
        <f t="shared" ca="1" si="22"/>
        <v>3314057.923497268</v>
      </c>
      <c r="BF43" s="228">
        <f t="shared" ca="1" si="22"/>
        <v>3423457.923497268</v>
      </c>
      <c r="BG43" s="228">
        <f t="shared" ca="1" si="22"/>
        <v>3532857.923497268</v>
      </c>
      <c r="BH43" s="228">
        <f t="shared" ca="1" si="22"/>
        <v>3642257.923497268</v>
      </c>
      <c r="BI43" s="228">
        <f t="shared" ca="1" si="22"/>
        <v>3751657.923497268</v>
      </c>
      <c r="BJ43" s="228">
        <f t="shared" ca="1" si="22"/>
        <v>3861057.923497268</v>
      </c>
      <c r="BK43" s="228">
        <f t="shared" ca="1" si="22"/>
        <v>3970457.923497268</v>
      </c>
      <c r="BL43" s="228">
        <f t="shared" ca="1" si="22"/>
        <v>4079857.923497268</v>
      </c>
      <c r="BM43" s="228">
        <f t="shared" ca="1" si="22"/>
        <v>4189257.923497268</v>
      </c>
      <c r="BN43" s="228">
        <f t="shared" ca="1" si="22"/>
        <v>4298657.923497268</v>
      </c>
      <c r="BO43" s="228">
        <f t="shared" ca="1" si="22"/>
        <v>4408057.923497268</v>
      </c>
      <c r="BP43" s="228">
        <f t="shared" ca="1" si="22"/>
        <v>4517457.923497268</v>
      </c>
      <c r="BQ43" s="228">
        <f t="shared" ca="1" si="22"/>
        <v>4626857.923497268</v>
      </c>
      <c r="BR43" s="228">
        <f t="shared" ca="1" si="22"/>
        <v>4736257.923497268</v>
      </c>
      <c r="BS43" s="228">
        <f t="shared" ca="1" si="22"/>
        <v>4845657.923497268</v>
      </c>
      <c r="BT43" s="228">
        <f t="shared" ca="1" si="22"/>
        <v>4955057.923497268</v>
      </c>
      <c r="BU43" s="228">
        <f t="shared" ca="1" si="22"/>
        <v>5064457.923497268</v>
      </c>
      <c r="BV43" s="228">
        <f t="shared" ca="1" si="22"/>
        <v>5173857.923497268</v>
      </c>
      <c r="BW43" s="228">
        <f t="shared" ca="1" si="22"/>
        <v>5283257.923497268</v>
      </c>
      <c r="BX43" s="228">
        <f t="shared" ca="1" si="22"/>
        <v>5392657.923497268</v>
      </c>
      <c r="BY43" s="228">
        <f t="shared" ca="1" si="22"/>
        <v>5502057.923497268</v>
      </c>
      <c r="BZ43" s="228">
        <f t="shared" ca="1" si="22"/>
        <v>5611457.923497268</v>
      </c>
      <c r="CA43" s="228">
        <f t="shared" ca="1" si="22"/>
        <v>5720857.923497268</v>
      </c>
      <c r="CB43" s="46"/>
      <c r="CC43" s="111"/>
    </row>
    <row r="44" spans="1:81" ht="15" customHeight="1" x14ac:dyDescent="0.3">
      <c r="A44" s="51"/>
      <c r="D44" s="132" t="s">
        <v>193</v>
      </c>
      <c r="I44" s="31" t="str">
        <f>Ввод!$M$12</f>
        <v>руб</v>
      </c>
      <c r="J44" s="31"/>
      <c r="K44" s="2"/>
      <c r="L44" s="191">
        <f>SUM(N44:R44)</f>
        <v>-27332824.159631554</v>
      </c>
      <c r="M44" s="139"/>
      <c r="N44" s="191">
        <f>SUMIF($T$4:$EI$4,N$4,$T44:$EI44)</f>
        <v>-8877394.1125792488</v>
      </c>
      <c r="O44" s="191">
        <f t="shared" si="21"/>
        <v>-7457896.9516664082</v>
      </c>
      <c r="P44" s="191">
        <f t="shared" si="21"/>
        <v>-5777366.0046014078</v>
      </c>
      <c r="Q44" s="191">
        <f t="shared" si="21"/>
        <v>-3787799.3173196781</v>
      </c>
      <c r="R44" s="191">
        <f t="shared" si="21"/>
        <v>-1432367.7734648113</v>
      </c>
      <c r="S44" s="139"/>
      <c r="T44" s="228">
        <f>Расчет!V248</f>
        <v>-788377.125</v>
      </c>
      <c r="U44" s="228">
        <f>Расчет!W248</f>
        <v>-779952.59870536486</v>
      </c>
      <c r="V44" s="228">
        <f>Расчет!X248</f>
        <v>-771408.72495488904</v>
      </c>
      <c r="W44" s="228">
        <f>Расчет!Y248</f>
        <v>-762743.81299294811</v>
      </c>
      <c r="X44" s="228">
        <f>Расчет!Z248</f>
        <v>-753956.1481115463</v>
      </c>
      <c r="Y44" s="228">
        <f>Расчет!AA248</f>
        <v>-745043.99131099135</v>
      </c>
      <c r="Z44" s="228">
        <f>Расчет!AB248</f>
        <v>-736005.57895576174</v>
      </c>
      <c r="AA44" s="228">
        <f>Расчет!AC248</f>
        <v>-726839.12242549984</v>
      </c>
      <c r="AB44" s="228">
        <f>Расчет!AD248</f>
        <v>-717542.80776105914</v>
      </c>
      <c r="AC44" s="228">
        <f>Расчет!AE248</f>
        <v>-708114.79530553904</v>
      </c>
      <c r="AD44" s="228">
        <f>Расчет!AF248</f>
        <v>-698553.2193402322</v>
      </c>
      <c r="AE44" s="228">
        <f>Расчет!AG248</f>
        <v>-688856.18771541689</v>
      </c>
      <c r="AF44" s="228">
        <f>Расчет!AH248</f>
        <v>-679021.78147591685</v>
      </c>
      <c r="AG44" s="228">
        <f>Расчет!AI248</f>
        <v>-669048.0544813571</v>
      </c>
      <c r="AH44" s="228">
        <f>Расчет!AJ248</f>
        <v>-658933.03302104108</v>
      </c>
      <c r="AI44" s="228">
        <f>Расчет!AK248</f>
        <v>-648674.7154233706</v>
      </c>
      <c r="AJ44" s="228">
        <f>Расчет!AL248</f>
        <v>-638271.07165973319</v>
      </c>
      <c r="AK44" s="228">
        <f>Расчет!AM248</f>
        <v>-627720.04294277739</v>
      </c>
      <c r="AL44" s="228">
        <f>Расчет!AN248</f>
        <v>-617019.54131899832</v>
      </c>
      <c r="AM44" s="228">
        <f>Расчет!AO248</f>
        <v>-606167.44925554888</v>
      </c>
      <c r="AN44" s="228">
        <f>Расчет!AP248</f>
        <v>-595161.61922120058</v>
      </c>
      <c r="AO44" s="228">
        <f>Расчет!AQ248</f>
        <v>-583999.87326136569</v>
      </c>
      <c r="AP44" s="228">
        <f>Расчет!AR248</f>
        <v>-572680.00256709976</v>
      </c>
      <c r="AQ44" s="228">
        <f>Расчет!AS248</f>
        <v>-561199.76703799854</v>
      </c>
      <c r="AR44" s="228">
        <f>Расчет!AT248</f>
        <v>-549556.89483890159</v>
      </c>
      <c r="AS44" s="228">
        <f>Расчет!AU248</f>
        <v>-537749.08195031737</v>
      </c>
      <c r="AT44" s="228">
        <f>Расчет!AV248</f>
        <v>-525773.99171247834</v>
      </c>
      <c r="AU44" s="228">
        <f>Расчет!AW248</f>
        <v>-513629.25436293654</v>
      </c>
      <c r="AV44" s="228">
        <f>Расчет!AX248</f>
        <v>-501312.46656760952</v>
      </c>
      <c r="AW44" s="228">
        <f>Расчет!AY248</f>
        <v>-488821.19094518205</v>
      </c>
      <c r="AX44" s="228">
        <f>Расчет!AZ248</f>
        <v>-476152.95558477024</v>
      </c>
      <c r="AY44" s="228">
        <f>Расчет!BA248</f>
        <v>-463305.25355675258</v>
      </c>
      <c r="AZ44" s="228">
        <f>Расчет!BB248</f>
        <v>-450275.54241667135</v>
      </c>
      <c r="BA44" s="228">
        <f>Расчет!BC248</f>
        <v>-437061.24370210565</v>
      </c>
      <c r="BB44" s="228">
        <f>Расчет!BD248</f>
        <v>-423659.74242241686</v>
      </c>
      <c r="BC44" s="228">
        <f>Расчет!BE248</f>
        <v>-410068.38654126594</v>
      </c>
      <c r="BD44" s="228">
        <f>Расчет!BF248</f>
        <v>-396284.48645179858</v>
      </c>
      <c r="BE44" s="228">
        <f>Расчет!BG248</f>
        <v>-382305.31444439717</v>
      </c>
      <c r="BF44" s="228">
        <f>Расчет!BH248</f>
        <v>-368128.10416689096</v>
      </c>
      <c r="BG44" s="228">
        <f>Расчет!BI248</f>
        <v>-353750.05007712002</v>
      </c>
      <c r="BH44" s="228">
        <f>Расчет!BJ248</f>
        <v>-339168.30688774394</v>
      </c>
      <c r="BI44" s="228">
        <f>Расчет!BK248</f>
        <v>-324379.98900318512</v>
      </c>
      <c r="BJ44" s="228">
        <f>Расчет!BL248</f>
        <v>-309382.16994859499</v>
      </c>
      <c r="BK44" s="228">
        <f>Расчет!BM248</f>
        <v>-294171.88179073151</v>
      </c>
      <c r="BL44" s="228">
        <f>Расчет!BN248</f>
        <v>-278746.11455063167</v>
      </c>
      <c r="BM44" s="228">
        <f>Расчет!BO248</f>
        <v>-263101.81560796377</v>
      </c>
      <c r="BN44" s="228">
        <f>Расчет!BP248</f>
        <v>-247235.88909694133</v>
      </c>
      <c r="BO44" s="228">
        <f>Расчет!BQ248</f>
        <v>-231145.19529367946</v>
      </c>
      <c r="BP44" s="228">
        <f>Расчет!BR248</f>
        <v>-214826.54999487134</v>
      </c>
      <c r="BQ44" s="228">
        <f>Расчет!BS248</f>
        <v>-198276.72388766345</v>
      </c>
      <c r="BR44" s="228">
        <f>Расчет!BT248</f>
        <v>-181492.44191060346</v>
      </c>
      <c r="BS44" s="228">
        <f>Расчет!BU248</f>
        <v>-164470.38260553512</v>
      </c>
      <c r="BT44" s="228">
        <f>Расчет!BV248</f>
        <v>-147207.17746031165</v>
      </c>
      <c r="BU44" s="228">
        <f>Расчет!BW248</f>
        <v>-129699.41024219751</v>
      </c>
      <c r="BV44" s="228">
        <f>Расчет!BX248</f>
        <v>-111943.61632182676</v>
      </c>
      <c r="BW44" s="228">
        <f>Расчет!BY248</f>
        <v>-93936.281987584065</v>
      </c>
      <c r="BX44" s="228">
        <f>Расчет!BZ248</f>
        <v>-75673.84375027295</v>
      </c>
      <c r="BY44" s="228">
        <f>Расчет!CA248</f>
        <v>-57152.687637933261</v>
      </c>
      <c r="BZ44" s="228">
        <f>Расчет!CB248</f>
        <v>-38369.148480668751</v>
      </c>
      <c r="CA44" s="228">
        <f>Расчет!CC248</f>
        <v>-19319.509185342999</v>
      </c>
      <c r="CB44" s="46"/>
      <c r="CC44" s="111"/>
    </row>
    <row r="45" spans="1:81" ht="15" customHeight="1" x14ac:dyDescent="0.3">
      <c r="A45" s="51"/>
      <c r="D45" s="169" t="s">
        <v>194</v>
      </c>
      <c r="I45" s="31" t="str">
        <f>Ввод!$M$12</f>
        <v>руб</v>
      </c>
      <c r="J45" s="31"/>
      <c r="K45" s="2"/>
      <c r="L45" s="191">
        <f ca="1">SUM(N45:R45)</f>
        <v>119276820.64911163</v>
      </c>
      <c r="M45" s="139"/>
      <c r="N45" s="191">
        <f ca="1">SUMIF($T$4:$EI$4,N$4,$T45:$EI45)</f>
        <v>-13465729.631704932</v>
      </c>
      <c r="O45" s="191">
        <f t="shared" ca="1" si="21"/>
        <v>6711198.1303008059</v>
      </c>
      <c r="P45" s="191">
        <f t="shared" ca="1" si="21"/>
        <v>24145329.077365804</v>
      </c>
      <c r="Q45" s="191">
        <f t="shared" ca="1" si="21"/>
        <v>41888495.764647536</v>
      </c>
      <c r="R45" s="191">
        <f t="shared" ca="1" si="21"/>
        <v>59997527.308502406</v>
      </c>
      <c r="S45" s="139"/>
      <c r="T45" s="228">
        <f ca="1">T43+T44</f>
        <v>-1748377.125</v>
      </c>
      <c r="U45" s="228">
        <f t="shared" ref="U45:CA45" ca="1" si="23">U43+U44</f>
        <v>-1739952.5987053649</v>
      </c>
      <c r="V45" s="228">
        <f t="shared" ca="1" si="23"/>
        <v>-1731408.7249548892</v>
      </c>
      <c r="W45" s="228">
        <f t="shared" ca="1" si="23"/>
        <v>-1791049.82392191</v>
      </c>
      <c r="X45" s="228">
        <f t="shared" ca="1" si="23"/>
        <v>-3083027.1863629124</v>
      </c>
      <c r="Y45" s="228">
        <f t="shared" ca="1" si="23"/>
        <v>-579115.02956235746</v>
      </c>
      <c r="Z45" s="228">
        <f t="shared" ca="1" si="23"/>
        <v>-364882.62813608965</v>
      </c>
      <c r="AA45" s="228">
        <f t="shared" ca="1" si="23"/>
        <v>-672981.19892823207</v>
      </c>
      <c r="AB45" s="228">
        <f t="shared" ca="1" si="23"/>
        <v>-740184.88426379138</v>
      </c>
      <c r="AC45" s="228">
        <f t="shared" ca="1" si="23"/>
        <v>-457256.87180827127</v>
      </c>
      <c r="AD45" s="228">
        <f t="shared" ca="1" si="23"/>
        <v>-338295.29584296443</v>
      </c>
      <c r="AE45" s="228">
        <f t="shared" ca="1" si="23"/>
        <v>-219198.26421814912</v>
      </c>
      <c r="AF45" s="228">
        <f t="shared" ca="1" si="23"/>
        <v>-99963.857978649088</v>
      </c>
      <c r="AG45" s="228">
        <f t="shared" ca="1" si="23"/>
        <v>19409.869015910663</v>
      </c>
      <c r="AH45" s="228">
        <f t="shared" ca="1" si="23"/>
        <v>138924.89047622669</v>
      </c>
      <c r="AI45" s="228">
        <f t="shared" ca="1" si="23"/>
        <v>258583.20807389717</v>
      </c>
      <c r="AJ45" s="228">
        <f t="shared" ca="1" si="23"/>
        <v>378386.85183753457</v>
      </c>
      <c r="AK45" s="228">
        <f t="shared" ca="1" si="23"/>
        <v>498337.88055449037</v>
      </c>
      <c r="AL45" s="228">
        <f t="shared" ca="1" si="23"/>
        <v>618438.38217826944</v>
      </c>
      <c r="AM45" s="228">
        <f t="shared" ca="1" si="23"/>
        <v>738690.47424171888</v>
      </c>
      <c r="AN45" s="228">
        <f t="shared" ca="1" si="23"/>
        <v>859096.30427606718</v>
      </c>
      <c r="AO45" s="228">
        <f t="shared" ca="1" si="23"/>
        <v>979658.05023590208</v>
      </c>
      <c r="AP45" s="228">
        <f t="shared" ca="1" si="23"/>
        <v>1100377.9209301681</v>
      </c>
      <c r="AQ45" s="228">
        <f t="shared" ca="1" si="23"/>
        <v>1221258.1564592691</v>
      </c>
      <c r="AR45" s="228">
        <f t="shared" ca="1" si="23"/>
        <v>1342301.0286583663</v>
      </c>
      <c r="AS45" s="228">
        <f t="shared" ca="1" si="23"/>
        <v>1463508.8415469504</v>
      </c>
      <c r="AT45" s="228">
        <f t="shared" ca="1" si="23"/>
        <v>1584883.9317847895</v>
      </c>
      <c r="AU45" s="228">
        <f t="shared" ca="1" si="23"/>
        <v>1706428.6691343314</v>
      </c>
      <c r="AV45" s="228">
        <f t="shared" ca="1" si="23"/>
        <v>1828145.4569296585</v>
      </c>
      <c r="AW45" s="228">
        <f t="shared" ca="1" si="23"/>
        <v>1950036.732552086</v>
      </c>
      <c r="AX45" s="228">
        <f t="shared" ca="1" si="23"/>
        <v>2072104.9679124977</v>
      </c>
      <c r="AY45" s="228">
        <f t="shared" ca="1" si="23"/>
        <v>2194352.6699405154</v>
      </c>
      <c r="AZ45" s="228">
        <f t="shared" ca="1" si="23"/>
        <v>2316782.3810805967</v>
      </c>
      <c r="BA45" s="228">
        <f t="shared" ca="1" si="23"/>
        <v>2439396.6797951623</v>
      </c>
      <c r="BB45" s="228">
        <f t="shared" ca="1" si="23"/>
        <v>2562198.1810748512</v>
      </c>
      <c r="BC45" s="228">
        <f t="shared" ca="1" si="23"/>
        <v>2685189.536956002</v>
      </c>
      <c r="BD45" s="228">
        <f t="shared" ca="1" si="23"/>
        <v>2808373.4370454694</v>
      </c>
      <c r="BE45" s="228">
        <f t="shared" ca="1" si="23"/>
        <v>2931752.6090528709</v>
      </c>
      <c r="BF45" s="228">
        <f t="shared" ca="1" si="23"/>
        <v>3055329.819330377</v>
      </c>
      <c r="BG45" s="228">
        <f t="shared" ca="1" si="23"/>
        <v>3179107.8734201482</v>
      </c>
      <c r="BH45" s="228">
        <f t="shared" ca="1" si="23"/>
        <v>3303089.616609524</v>
      </c>
      <c r="BI45" s="228">
        <f t="shared" ca="1" si="23"/>
        <v>3427277.9344940828</v>
      </c>
      <c r="BJ45" s="228">
        <f t="shared" ca="1" si="23"/>
        <v>3551675.7535486729</v>
      </c>
      <c r="BK45" s="228">
        <f t="shared" ca="1" si="23"/>
        <v>3676286.0417065364</v>
      </c>
      <c r="BL45" s="228">
        <f t="shared" ca="1" si="23"/>
        <v>3801111.8089466365</v>
      </c>
      <c r="BM45" s="228">
        <f t="shared" ca="1" si="23"/>
        <v>3926156.1078893044</v>
      </c>
      <c r="BN45" s="228">
        <f t="shared" ca="1" si="23"/>
        <v>4051422.0344003267</v>
      </c>
      <c r="BO45" s="228">
        <f t="shared" ca="1" si="23"/>
        <v>4176912.7282035886</v>
      </c>
      <c r="BP45" s="228">
        <f t="shared" ca="1" si="23"/>
        <v>4302631.373502397</v>
      </c>
      <c r="BQ45" s="228">
        <f t="shared" ca="1" si="23"/>
        <v>4428581.1996096047</v>
      </c>
      <c r="BR45" s="228">
        <f t="shared" ca="1" si="23"/>
        <v>4554765.4815866649</v>
      </c>
      <c r="BS45" s="228">
        <f t="shared" ca="1" si="23"/>
        <v>4681187.540891733</v>
      </c>
      <c r="BT45" s="228">
        <f t="shared" ca="1" si="23"/>
        <v>4807850.7460369561</v>
      </c>
      <c r="BU45" s="228">
        <f t="shared" ca="1" si="23"/>
        <v>4934758.5132550709</v>
      </c>
      <c r="BV45" s="228">
        <f t="shared" ca="1" si="23"/>
        <v>5061914.3071754416</v>
      </c>
      <c r="BW45" s="228">
        <f t="shared" ca="1" si="23"/>
        <v>5189321.6415096838</v>
      </c>
      <c r="BX45" s="228">
        <f t="shared" ca="1" si="23"/>
        <v>5316984.0797469951</v>
      </c>
      <c r="BY45" s="228">
        <f t="shared" ca="1" si="23"/>
        <v>5444905.2358593345</v>
      </c>
      <c r="BZ45" s="228">
        <f t="shared" ca="1" si="23"/>
        <v>5573088.7750165993</v>
      </c>
      <c r="CA45" s="228">
        <f t="shared" ca="1" si="23"/>
        <v>5701538.4143119249</v>
      </c>
      <c r="CB45" s="46"/>
      <c r="CC45" s="111"/>
    </row>
    <row r="46" spans="1:81" ht="15" customHeight="1" x14ac:dyDescent="0.3">
      <c r="A46" s="51"/>
      <c r="D46" s="189" t="s">
        <v>40</v>
      </c>
      <c r="E46" s="119"/>
      <c r="F46" s="119"/>
      <c r="G46" s="119"/>
      <c r="H46" s="119"/>
      <c r="I46" s="31" t="str">
        <f>Ввод!$M$12</f>
        <v>руб</v>
      </c>
      <c r="J46" s="31"/>
      <c r="K46" s="2"/>
      <c r="L46" s="191">
        <f ca="1">SUM(N46:R46)</f>
        <v>33210628.534698792</v>
      </c>
      <c r="M46" s="139"/>
      <c r="N46" s="191">
        <f t="shared" ca="1" si="21"/>
        <v>0</v>
      </c>
      <c r="O46" s="191">
        <f t="shared" ca="1" si="21"/>
        <v>1702790.4970698641</v>
      </c>
      <c r="P46" s="191">
        <f t="shared" ca="1" si="21"/>
        <v>6036332.2693414502</v>
      </c>
      <c r="Q46" s="191">
        <f t="shared" ca="1" si="21"/>
        <v>10472123.94116188</v>
      </c>
      <c r="R46" s="191">
        <f t="shared" ca="1" si="21"/>
        <v>14999381.827125598</v>
      </c>
      <c r="S46" s="139"/>
      <c r="T46" s="228">
        <f ca="1">Расчет!V239</f>
        <v>0</v>
      </c>
      <c r="U46" s="228">
        <f ca="1">Расчет!W239</f>
        <v>0</v>
      </c>
      <c r="V46" s="228">
        <f ca="1">Расчет!X239</f>
        <v>0</v>
      </c>
      <c r="W46" s="228">
        <f ca="1">Расчет!Y239</f>
        <v>0</v>
      </c>
      <c r="X46" s="228">
        <f ca="1">Расчет!Z239</f>
        <v>0</v>
      </c>
      <c r="Y46" s="228">
        <f ca="1">Расчет!AA239</f>
        <v>0</v>
      </c>
      <c r="Z46" s="228">
        <f ca="1">Расчет!AB239</f>
        <v>0</v>
      </c>
      <c r="AA46" s="228">
        <f ca="1">Расчет!AC239</f>
        <v>0</v>
      </c>
      <c r="AB46" s="228">
        <f ca="1">Расчет!AD239</f>
        <v>0</v>
      </c>
      <c r="AC46" s="228">
        <f ca="1">Расчет!AE239</f>
        <v>0</v>
      </c>
      <c r="AD46" s="228">
        <f ca="1">Расчет!AF239</f>
        <v>0</v>
      </c>
      <c r="AE46" s="228">
        <f ca="1">Расчет!AG239</f>
        <v>0</v>
      </c>
      <c r="AF46" s="228">
        <f ca="1">Расчет!AH239</f>
        <v>0</v>
      </c>
      <c r="AG46" s="228">
        <f ca="1">Расчет!AI239</f>
        <v>4852.4672539776657</v>
      </c>
      <c r="AH46" s="228">
        <f ca="1">Расчет!AJ239</f>
        <v>34731.222619056702</v>
      </c>
      <c r="AI46" s="228">
        <f ca="1">Расчет!AK239</f>
        <v>64645.802018474322</v>
      </c>
      <c r="AJ46" s="228">
        <f ca="1">Расчет!AL239</f>
        <v>94596.712959383614</v>
      </c>
      <c r="AK46" s="228">
        <f ca="1">Расчет!AM239</f>
        <v>124584.47013862268</v>
      </c>
      <c r="AL46" s="228">
        <f ca="1">Расчет!AN239</f>
        <v>154609.59554456733</v>
      </c>
      <c r="AM46" s="228">
        <f ca="1">Расчет!AO239</f>
        <v>184672.61856042966</v>
      </c>
      <c r="AN46" s="228">
        <f ca="1">Расчет!AP239</f>
        <v>214774.07606901694</v>
      </c>
      <c r="AO46" s="228">
        <f ca="1">Расчет!AQ239</f>
        <v>244914.51255897572</v>
      </c>
      <c r="AP46" s="228">
        <f ca="1">Расчет!AR239</f>
        <v>275094.48023254192</v>
      </c>
      <c r="AQ46" s="228">
        <f ca="1">Расчет!AS239</f>
        <v>305314.53911481751</v>
      </c>
      <c r="AR46" s="228">
        <f ca="1">Расчет!AT239</f>
        <v>335575.25716459146</v>
      </c>
      <c r="AS46" s="228">
        <f ca="1">Расчет!AU239</f>
        <v>365877.21038673772</v>
      </c>
      <c r="AT46" s="228">
        <f ca="1">Расчет!AV239</f>
        <v>396220.9829461975</v>
      </c>
      <c r="AU46" s="228">
        <f ca="1">Расчет!AW239</f>
        <v>426607.16728358297</v>
      </c>
      <c r="AV46" s="228">
        <f ca="1">Расчет!AX239</f>
        <v>457036.3642324144</v>
      </c>
      <c r="AW46" s="228">
        <f ca="1">Расчет!AY239</f>
        <v>487509.18313802127</v>
      </c>
      <c r="AX46" s="228">
        <f ca="1">Расчет!AZ239</f>
        <v>518026.24197812425</v>
      </c>
      <c r="AY46" s="228">
        <f ca="1">Расчет!BA239</f>
        <v>548588.16748512862</v>
      </c>
      <c r="AZ46" s="228">
        <f ca="1">Расчет!BB239</f>
        <v>579195.59527014894</v>
      </c>
      <c r="BA46" s="228">
        <f ca="1">Расчет!BC239</f>
        <v>609849.16994879022</v>
      </c>
      <c r="BB46" s="228">
        <f ca="1">Расчет!BD239</f>
        <v>640549.54526871257</v>
      </c>
      <c r="BC46" s="228">
        <f ca="1">Расчет!BE239</f>
        <v>671297.38423900027</v>
      </c>
      <c r="BD46" s="228">
        <f ca="1">Расчет!BF239</f>
        <v>702093.359261367</v>
      </c>
      <c r="BE46" s="228">
        <f ca="1">Расчет!BG239</f>
        <v>732938.15226321761</v>
      </c>
      <c r="BF46" s="228">
        <f ca="1">Расчет!BH239</f>
        <v>763832.45483259391</v>
      </c>
      <c r="BG46" s="228">
        <f ca="1">Расчет!BI239</f>
        <v>794776.96835503681</v>
      </c>
      <c r="BH46" s="228">
        <f ca="1">Расчет!BJ239</f>
        <v>825772.40415238077</v>
      </c>
      <c r="BI46" s="228">
        <f ca="1">Расчет!BK239</f>
        <v>856819.48362352047</v>
      </c>
      <c r="BJ46" s="228">
        <f ca="1">Расчет!BL239</f>
        <v>887918.93838716811</v>
      </c>
      <c r="BK46" s="228">
        <f ca="1">Расчет!BM239</f>
        <v>919071.51042663399</v>
      </c>
      <c r="BL46" s="228">
        <f ca="1">Расчет!BN239</f>
        <v>950277.95223665889</v>
      </c>
      <c r="BM46" s="228">
        <f ca="1">Расчет!BO239</f>
        <v>981539.02697232598</v>
      </c>
      <c r="BN46" s="228">
        <f ca="1">Расчет!BP239</f>
        <v>1012855.5086000813</v>
      </c>
      <c r="BO46" s="228">
        <f ca="1">Расчет!BQ239</f>
        <v>1044228.1820508968</v>
      </c>
      <c r="BP46" s="228">
        <f ca="1">Расчет!BR239</f>
        <v>1075657.843375599</v>
      </c>
      <c r="BQ46" s="228">
        <f ca="1">Расчет!BS239</f>
        <v>1107145.2999024009</v>
      </c>
      <c r="BR46" s="228">
        <f ca="1">Расчет!BT239</f>
        <v>1138691.3703966658</v>
      </c>
      <c r="BS46" s="228">
        <f ca="1">Расчет!BU239</f>
        <v>1170296.8852229328</v>
      </c>
      <c r="BT46" s="228">
        <f ca="1">Расчет!BV239</f>
        <v>1201962.686509239</v>
      </c>
      <c r="BU46" s="228">
        <f ca="1">Расчет!BW239</f>
        <v>1233689.6283137673</v>
      </c>
      <c r="BV46" s="228">
        <f ca="1">Расчет!BX239</f>
        <v>1265478.5767938602</v>
      </c>
      <c r="BW46" s="228">
        <f ca="1">Расчет!BY239</f>
        <v>1297330.410377421</v>
      </c>
      <c r="BX46" s="228">
        <f ca="1">Расчет!BZ239</f>
        <v>1329246.0199367483</v>
      </c>
      <c r="BY46" s="228">
        <f ca="1">Расчет!CA239</f>
        <v>1361226.3089648336</v>
      </c>
      <c r="BZ46" s="228">
        <f ca="1">Расчет!CB239</f>
        <v>1393272.1937541496</v>
      </c>
      <c r="CA46" s="228">
        <f ca="1">Расчет!CC239</f>
        <v>1425384.6035779812</v>
      </c>
      <c r="CB46" s="46"/>
      <c r="CC46" s="111"/>
    </row>
    <row r="47" spans="1:81" ht="15" customHeight="1" x14ac:dyDescent="0.3">
      <c r="A47" s="51"/>
      <c r="D47" s="132"/>
      <c r="E47" s="154"/>
      <c r="F47" s="154"/>
      <c r="G47" s="154"/>
      <c r="H47" s="154"/>
      <c r="I47" s="31"/>
      <c r="J47" s="31"/>
      <c r="K47" s="2"/>
      <c r="L47" s="191"/>
      <c r="M47" s="139"/>
      <c r="N47" s="191"/>
      <c r="O47" s="191"/>
      <c r="P47" s="191"/>
      <c r="Q47" s="191"/>
      <c r="R47" s="191"/>
      <c r="S47" s="139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  <c r="AE47" s="228"/>
      <c r="AF47" s="228"/>
      <c r="AG47" s="228"/>
      <c r="AH47" s="228"/>
      <c r="AI47" s="228"/>
      <c r="AJ47" s="228"/>
      <c r="AK47" s="228"/>
      <c r="AL47" s="228"/>
      <c r="AM47" s="228"/>
      <c r="AN47" s="228"/>
      <c r="AO47" s="228"/>
      <c r="AP47" s="228"/>
      <c r="AQ47" s="228"/>
      <c r="AR47" s="228"/>
      <c r="AS47" s="228"/>
      <c r="AT47" s="228"/>
      <c r="AU47" s="228"/>
      <c r="AV47" s="228"/>
      <c r="AW47" s="228"/>
      <c r="AX47" s="228"/>
      <c r="AY47" s="228"/>
      <c r="AZ47" s="228"/>
      <c r="BA47" s="228"/>
      <c r="BB47" s="228"/>
      <c r="BC47" s="228"/>
      <c r="BD47" s="228"/>
      <c r="BE47" s="228"/>
      <c r="BF47" s="228"/>
      <c r="BG47" s="228"/>
      <c r="BH47" s="228"/>
      <c r="BI47" s="228"/>
      <c r="BJ47" s="228"/>
      <c r="BK47" s="228"/>
      <c r="BL47" s="228"/>
      <c r="BM47" s="228"/>
      <c r="BN47" s="228"/>
      <c r="BO47" s="228"/>
      <c r="BP47" s="228"/>
      <c r="BQ47" s="228"/>
      <c r="BR47" s="228"/>
      <c r="BS47" s="228"/>
      <c r="BT47" s="228"/>
      <c r="BU47" s="228"/>
      <c r="BV47" s="228"/>
      <c r="BW47" s="228"/>
      <c r="BX47" s="228"/>
      <c r="BY47" s="228"/>
      <c r="BZ47" s="228"/>
      <c r="CA47" s="228"/>
      <c r="CB47" s="46"/>
      <c r="CC47" s="111"/>
    </row>
    <row r="48" spans="1:81" ht="15" customHeight="1" x14ac:dyDescent="0.3">
      <c r="A48" s="51"/>
      <c r="D48" s="213" t="s">
        <v>95</v>
      </c>
      <c r="E48" s="208"/>
      <c r="F48" s="208"/>
      <c r="G48" s="208"/>
      <c r="H48" s="208"/>
      <c r="I48" s="209" t="str">
        <f>Ввод!$M$12</f>
        <v>руб</v>
      </c>
      <c r="J48" s="209"/>
      <c r="K48" s="214"/>
      <c r="L48" s="230">
        <f ca="1">SUM(N48:R48)</f>
        <v>86066192.114412829</v>
      </c>
      <c r="M48" s="232"/>
      <c r="N48" s="230">
        <f ca="1">SUMIF($T$4:$EI$4,N$4,$T48:$EI48)</f>
        <v>-13465729.631704932</v>
      </c>
      <c r="O48" s="230">
        <f ca="1">SUMIF($T$4:$EI$4,O$4,$T48:$EI48)</f>
        <v>5008407.6332309414</v>
      </c>
      <c r="P48" s="230">
        <f ca="1">SUMIF($T$4:$EI$4,P$4,$T48:$EI48)</f>
        <v>18108996.808024358</v>
      </c>
      <c r="Q48" s="230">
        <f ca="1">SUMIF($T$4:$EI$4,Q$4,$T48:$EI48)</f>
        <v>31416371.823485658</v>
      </c>
      <c r="R48" s="230">
        <f ca="1">SUMIF($T$4:$EI$4,R$4,$T48:$EI48)</f>
        <v>44998145.481376804</v>
      </c>
      <c r="S48" s="139"/>
      <c r="T48" s="230">
        <f ca="1">T45 - T46</f>
        <v>-1748377.125</v>
      </c>
      <c r="U48" s="230">
        <f t="shared" ref="U48:CA48" ca="1" si="24">U45 - U46</f>
        <v>-1739952.5987053649</v>
      </c>
      <c r="V48" s="230">
        <f t="shared" ca="1" si="24"/>
        <v>-1731408.7249548892</v>
      </c>
      <c r="W48" s="230">
        <f t="shared" ca="1" si="24"/>
        <v>-1791049.82392191</v>
      </c>
      <c r="X48" s="230">
        <f t="shared" ca="1" si="24"/>
        <v>-3083027.1863629124</v>
      </c>
      <c r="Y48" s="230">
        <f t="shared" ca="1" si="24"/>
        <v>-579115.02956235746</v>
      </c>
      <c r="Z48" s="230">
        <f t="shared" ca="1" si="24"/>
        <v>-364882.62813608965</v>
      </c>
      <c r="AA48" s="230">
        <f t="shared" ca="1" si="24"/>
        <v>-672981.19892823207</v>
      </c>
      <c r="AB48" s="230">
        <f t="shared" ca="1" si="24"/>
        <v>-740184.88426379138</v>
      </c>
      <c r="AC48" s="230">
        <f t="shared" ca="1" si="24"/>
        <v>-457256.87180827127</v>
      </c>
      <c r="AD48" s="230">
        <f t="shared" ca="1" si="24"/>
        <v>-338295.29584296443</v>
      </c>
      <c r="AE48" s="230">
        <f t="shared" ca="1" si="24"/>
        <v>-219198.26421814912</v>
      </c>
      <c r="AF48" s="230">
        <f t="shared" ca="1" si="24"/>
        <v>-99963.857978649088</v>
      </c>
      <c r="AG48" s="230">
        <f t="shared" ca="1" si="24"/>
        <v>14557.401761932997</v>
      </c>
      <c r="AH48" s="230">
        <f t="shared" ca="1" si="24"/>
        <v>104193.66785716999</v>
      </c>
      <c r="AI48" s="230">
        <f t="shared" ca="1" si="24"/>
        <v>193937.40605542285</v>
      </c>
      <c r="AJ48" s="230">
        <f t="shared" ca="1" si="24"/>
        <v>283790.13887815096</v>
      </c>
      <c r="AK48" s="230">
        <f t="shared" ca="1" si="24"/>
        <v>373753.41041586769</v>
      </c>
      <c r="AL48" s="230">
        <f t="shared" ca="1" si="24"/>
        <v>463828.78663370211</v>
      </c>
      <c r="AM48" s="230">
        <f t="shared" ca="1" si="24"/>
        <v>554017.85568128922</v>
      </c>
      <c r="AN48" s="230">
        <f t="shared" ca="1" si="24"/>
        <v>644322.22820705024</v>
      </c>
      <c r="AO48" s="230">
        <f t="shared" ca="1" si="24"/>
        <v>734743.53767692635</v>
      </c>
      <c r="AP48" s="230">
        <f t="shared" ca="1" si="24"/>
        <v>825283.44069762621</v>
      </c>
      <c r="AQ48" s="230">
        <f t="shared" ca="1" si="24"/>
        <v>915943.6173444516</v>
      </c>
      <c r="AR48" s="230">
        <f t="shared" ca="1" si="24"/>
        <v>1006725.7714937748</v>
      </c>
      <c r="AS48" s="230">
        <f t="shared" ca="1" si="24"/>
        <v>1097631.6311602127</v>
      </c>
      <c r="AT48" s="230">
        <f t="shared" ca="1" si="24"/>
        <v>1188662.948838592</v>
      </c>
      <c r="AU48" s="230">
        <f t="shared" ca="1" si="24"/>
        <v>1279821.5018507484</v>
      </c>
      <c r="AV48" s="230">
        <f t="shared" ca="1" si="24"/>
        <v>1371109.0926972441</v>
      </c>
      <c r="AW48" s="230">
        <f t="shared" ca="1" si="24"/>
        <v>1462527.5494140647</v>
      </c>
      <c r="AX48" s="230">
        <f t="shared" ca="1" si="24"/>
        <v>1554078.7259343734</v>
      </c>
      <c r="AY48" s="230">
        <f t="shared" ca="1" si="24"/>
        <v>1645764.5024553868</v>
      </c>
      <c r="AZ48" s="230">
        <f t="shared" ca="1" si="24"/>
        <v>1737586.7858104478</v>
      </c>
      <c r="BA48" s="230">
        <f t="shared" ca="1" si="24"/>
        <v>1829547.5098463721</v>
      </c>
      <c r="BB48" s="230">
        <f t="shared" ca="1" si="24"/>
        <v>1921648.6358061386</v>
      </c>
      <c r="BC48" s="230">
        <f t="shared" ca="1" si="24"/>
        <v>2013892.1527170017</v>
      </c>
      <c r="BD48" s="230">
        <f t="shared" ca="1" si="24"/>
        <v>2106280.0777841024</v>
      </c>
      <c r="BE48" s="230">
        <f t="shared" ca="1" si="24"/>
        <v>2198814.4567896533</v>
      </c>
      <c r="BF48" s="230">
        <f t="shared" ca="1" si="24"/>
        <v>2291497.3644977831</v>
      </c>
      <c r="BG48" s="230">
        <f t="shared" ca="1" si="24"/>
        <v>2384330.9050651114</v>
      </c>
      <c r="BH48" s="230">
        <f t="shared" ca="1" si="24"/>
        <v>2477317.2124571432</v>
      </c>
      <c r="BI48" s="230">
        <f t="shared" ca="1" si="24"/>
        <v>2570458.4508705623</v>
      </c>
      <c r="BJ48" s="230">
        <f t="shared" ca="1" si="24"/>
        <v>2663756.8151615048</v>
      </c>
      <c r="BK48" s="230">
        <f t="shared" ca="1" si="24"/>
        <v>2757214.5312799024</v>
      </c>
      <c r="BL48" s="230">
        <f t="shared" ca="1" si="24"/>
        <v>2850833.8567099776</v>
      </c>
      <c r="BM48" s="230">
        <f t="shared" ca="1" si="24"/>
        <v>2944617.0809169784</v>
      </c>
      <c r="BN48" s="230">
        <f t="shared" ca="1" si="24"/>
        <v>3038566.5258002453</v>
      </c>
      <c r="BO48" s="230">
        <f t="shared" ca="1" si="24"/>
        <v>3132684.5461526918</v>
      </c>
      <c r="BP48" s="230">
        <f t="shared" ca="1" si="24"/>
        <v>3226973.530126798</v>
      </c>
      <c r="BQ48" s="230">
        <f t="shared" ca="1" si="24"/>
        <v>3321435.8997072037</v>
      </c>
      <c r="BR48" s="230">
        <f t="shared" ca="1" si="24"/>
        <v>3416074.1111899992</v>
      </c>
      <c r="BS48" s="230">
        <f t="shared" ca="1" si="24"/>
        <v>3510890.6556688002</v>
      </c>
      <c r="BT48" s="230">
        <f t="shared" ca="1" si="24"/>
        <v>3605888.0595277171</v>
      </c>
      <c r="BU48" s="230">
        <f t="shared" ca="1" si="24"/>
        <v>3701068.8849413036</v>
      </c>
      <c r="BV48" s="230">
        <f t="shared" ca="1" si="24"/>
        <v>3796435.7303815815</v>
      </c>
      <c r="BW48" s="230">
        <f t="shared" ca="1" si="24"/>
        <v>3891991.2311322629</v>
      </c>
      <c r="BX48" s="230">
        <f t="shared" ca="1" si="24"/>
        <v>3987738.0598102468</v>
      </c>
      <c r="BY48" s="230">
        <f t="shared" ca="1" si="24"/>
        <v>4083678.9268945009</v>
      </c>
      <c r="BZ48" s="230">
        <f t="shared" ca="1" si="24"/>
        <v>4179816.5812624497</v>
      </c>
      <c r="CA48" s="230">
        <f t="shared" ca="1" si="24"/>
        <v>4276153.8107339442</v>
      </c>
      <c r="CB48" s="46"/>
      <c r="CC48" s="111"/>
    </row>
    <row r="49" spans="1:81" s="85" customFormat="1" ht="15" customHeight="1" x14ac:dyDescent="0.3">
      <c r="A49" s="84"/>
      <c r="D49" s="161" t="s">
        <v>96</v>
      </c>
      <c r="E49" s="86"/>
      <c r="F49" s="86"/>
      <c r="G49" s="86"/>
      <c r="H49" s="86"/>
      <c r="I49" s="83" t="s">
        <v>36</v>
      </c>
      <c r="J49" s="83"/>
      <c r="K49" s="78"/>
      <c r="L49" s="78">
        <f ca="1">IFERROR(L48/L11,0)</f>
        <v>0.13553731041639816</v>
      </c>
      <c r="M49" s="78"/>
      <c r="N49" s="78">
        <f ca="1">IFERROR(N48/N11,0)</f>
        <v>-0.30192218905168011</v>
      </c>
      <c r="O49" s="78">
        <f ca="1">IFERROR(O48/O11,0)</f>
        <v>4.7973253191867252E-2</v>
      </c>
      <c r="P49" s="78">
        <f ca="1">IFERROR(P48/P11,0)</f>
        <v>0.13595342948967234</v>
      </c>
      <c r="Q49" s="78">
        <f ca="1">IFERROR(Q48/Q11,0)</f>
        <v>0.1939282211326275</v>
      </c>
      <c r="R49" s="78">
        <f ca="1">IFERROR(R48/R11,0)</f>
        <v>0.23583933690449058</v>
      </c>
      <c r="S49" s="78"/>
      <c r="T49" s="78">
        <f t="shared" ref="T49:AY49" ca="1" si="25">IFERROR(T48/T11,0)</f>
        <v>0</v>
      </c>
      <c r="U49" s="78">
        <f t="shared" ca="1" si="25"/>
        <v>0</v>
      </c>
      <c r="V49" s="78">
        <f t="shared" ca="1" si="25"/>
        <v>0</v>
      </c>
      <c r="W49" s="78">
        <f t="shared" ca="1" si="25"/>
        <v>0</v>
      </c>
      <c r="X49" s="78">
        <f t="shared" ca="1" si="25"/>
        <v>0</v>
      </c>
      <c r="Y49" s="78">
        <f t="shared" ca="1" si="25"/>
        <v>-0.11582300591247149</v>
      </c>
      <c r="Z49" s="78">
        <f t="shared" ca="1" si="25"/>
        <v>-6.6342296024743577E-2</v>
      </c>
      <c r="AA49" s="78">
        <f t="shared" ca="1" si="25"/>
        <v>-0.11216353315470534</v>
      </c>
      <c r="AB49" s="78">
        <f t="shared" ca="1" si="25"/>
        <v>-0.11387459757904483</v>
      </c>
      <c r="AC49" s="78">
        <f t="shared" ca="1" si="25"/>
        <v>-6.532241025832447E-2</v>
      </c>
      <c r="AD49" s="78">
        <f t="shared" ca="1" si="25"/>
        <v>-4.6985457755967283E-2</v>
      </c>
      <c r="AE49" s="78">
        <f t="shared" ca="1" si="25"/>
        <v>-2.9621387056506639E-2</v>
      </c>
      <c r="AF49" s="78">
        <f t="shared" ca="1" si="25"/>
        <v>-1.3153139207716985E-2</v>
      </c>
      <c r="AG49" s="78">
        <f t="shared" ca="1" si="25"/>
        <v>1.8663335592221792E-3</v>
      </c>
      <c r="AH49" s="78">
        <f t="shared" ca="1" si="25"/>
        <v>1.3024208482146249E-2</v>
      </c>
      <c r="AI49" s="78">
        <f t="shared" ca="1" si="25"/>
        <v>2.3650903177490593E-2</v>
      </c>
      <c r="AJ49" s="78">
        <f t="shared" ca="1" si="25"/>
        <v>3.3784540342637018E-2</v>
      </c>
      <c r="AK49" s="78">
        <f t="shared" ca="1" si="25"/>
        <v>4.3459698885566007E-2</v>
      </c>
      <c r="AL49" s="78">
        <f t="shared" ca="1" si="25"/>
        <v>5.2707816662920695E-2</v>
      </c>
      <c r="AM49" s="78">
        <f t="shared" ca="1" si="25"/>
        <v>6.1557539520143249E-2</v>
      </c>
      <c r="AN49" s="78">
        <f t="shared" ca="1" si="25"/>
        <v>7.0035024805114157E-2</v>
      </c>
      <c r="AO49" s="78">
        <f t="shared" ca="1" si="25"/>
        <v>7.8164206135843226E-2</v>
      </c>
      <c r="AP49" s="78">
        <f t="shared" ca="1" si="25"/>
        <v>8.5967025072669401E-2</v>
      </c>
      <c r="AQ49" s="78">
        <f t="shared" ca="1" si="25"/>
        <v>9.346363442290323E-2</v>
      </c>
      <c r="AR49" s="78">
        <f t="shared" ca="1" si="25"/>
        <v>0.10067257714937748</v>
      </c>
      <c r="AS49" s="78">
        <f t="shared" ca="1" si="25"/>
        <v>0.1076109442313934</v>
      </c>
      <c r="AT49" s="78">
        <f t="shared" ca="1" si="25"/>
        <v>0.11429451431140308</v>
      </c>
      <c r="AU49" s="78">
        <f t="shared" ca="1" si="25"/>
        <v>0.12073787753308947</v>
      </c>
      <c r="AV49" s="78">
        <f t="shared" ca="1" si="25"/>
        <v>0.12695454562011521</v>
      </c>
      <c r="AW49" s="78">
        <f t="shared" ca="1" si="25"/>
        <v>0.13295704994673316</v>
      </c>
      <c r="AX49" s="78">
        <f t="shared" ca="1" si="25"/>
        <v>0.13875702910128335</v>
      </c>
      <c r="AY49" s="78">
        <f t="shared" ca="1" si="25"/>
        <v>0.14436530723292867</v>
      </c>
      <c r="AZ49" s="78">
        <f t="shared" ref="AZ49:CA49" ca="1" si="26">IFERROR(AZ48/AZ11,0)</f>
        <v>0.14979196429400413</v>
      </c>
      <c r="BA49" s="78">
        <f t="shared" ca="1" si="26"/>
        <v>0.15504639913952306</v>
      </c>
      <c r="BB49" s="78">
        <f t="shared" ca="1" si="26"/>
        <v>0.16013738631717822</v>
      </c>
      <c r="BC49" s="78">
        <f t="shared" ca="1" si="26"/>
        <v>0.16507312727188539</v>
      </c>
      <c r="BD49" s="78">
        <f t="shared" ca="1" si="26"/>
        <v>0.16986129659549212</v>
      </c>
      <c r="BE49" s="78">
        <f t="shared" ca="1" si="26"/>
        <v>0.17450908387219471</v>
      </c>
      <c r="BF49" s="78">
        <f t="shared" ca="1" si="26"/>
        <v>0.1790232316013893</v>
      </c>
      <c r="BG49" s="78">
        <f t="shared" ca="1" si="26"/>
        <v>0.18341006962039319</v>
      </c>
      <c r="BH49" s="78">
        <f t="shared" ca="1" si="26"/>
        <v>0.18767554639826842</v>
      </c>
      <c r="BI49" s="78">
        <f t="shared" ca="1" si="26"/>
        <v>0.19182525752765392</v>
      </c>
      <c r="BJ49" s="78">
        <f t="shared" ca="1" si="26"/>
        <v>0.19586447170305182</v>
      </c>
      <c r="BK49" s="78">
        <f t="shared" ca="1" si="26"/>
        <v>0.19979815444057264</v>
      </c>
      <c r="BL49" s="78">
        <f t="shared" ca="1" si="26"/>
        <v>0.20363098976499841</v>
      </c>
      <c r="BM49" s="78">
        <f t="shared" ca="1" si="26"/>
        <v>0.20736740006457594</v>
      </c>
      <c r="BN49" s="78">
        <f t="shared" ca="1" si="26"/>
        <v>0.21101156429168372</v>
      </c>
      <c r="BO49" s="78">
        <f t="shared" ca="1" si="26"/>
        <v>0.21456743466799258</v>
      </c>
      <c r="BP49" s="78">
        <f t="shared" ca="1" si="26"/>
        <v>0.21803875203559445</v>
      </c>
      <c r="BQ49" s="78">
        <f t="shared" ca="1" si="26"/>
        <v>0.22142905998048024</v>
      </c>
      <c r="BR49" s="78">
        <f t="shared" ca="1" si="26"/>
        <v>0.22474171784144731</v>
      </c>
      <c r="BS49" s="78">
        <f t="shared" ca="1" si="26"/>
        <v>0.22797991270576626</v>
      </c>
      <c r="BT49" s="78">
        <f t="shared" ca="1" si="26"/>
        <v>0.23114667048254597</v>
      </c>
      <c r="BU49" s="78">
        <f t="shared" ca="1" si="26"/>
        <v>0.23424486613552556</v>
      </c>
      <c r="BV49" s="78">
        <f t="shared" ca="1" si="26"/>
        <v>0.23727723314884885</v>
      </c>
      <c r="BW49" s="78">
        <f t="shared" ca="1" si="26"/>
        <v>0.24024637229211498</v>
      </c>
      <c r="BX49" s="78">
        <f t="shared" ca="1" si="26"/>
        <v>0.24315475974452724</v>
      </c>
      <c r="BY49" s="78">
        <f t="shared" ca="1" si="26"/>
        <v>0.24600475463219884</v>
      </c>
      <c r="BZ49" s="78">
        <f t="shared" ca="1" si="26"/>
        <v>0.24879860602752676</v>
      </c>
      <c r="CA49" s="78">
        <f t="shared" ca="1" si="26"/>
        <v>0.25153845945493791</v>
      </c>
      <c r="CB49" s="77"/>
      <c r="CC49" s="111"/>
    </row>
    <row r="50" spans="1:81" ht="15" customHeight="1" x14ac:dyDescent="0.3">
      <c r="A50" s="51"/>
      <c r="D50" s="132"/>
      <c r="I50" s="31"/>
      <c r="J50" s="31"/>
      <c r="K50" s="2"/>
      <c r="L50" s="29"/>
      <c r="M50" s="97"/>
      <c r="N50" s="29">
        <f ca="1">N45-N46</f>
        <v>-13465729.631704932</v>
      </c>
      <c r="O50" s="29">
        <f ca="1">O45-O46</f>
        <v>5008407.6332309414</v>
      </c>
      <c r="P50" s="29">
        <f ca="1">P45-P46</f>
        <v>18108996.808024354</v>
      </c>
      <c r="Q50" s="29">
        <f ca="1">Q45-Q46</f>
        <v>31416371.823485658</v>
      </c>
      <c r="R50" s="29">
        <f ca="1">R45-R46</f>
        <v>44998145.481376812</v>
      </c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  <c r="AI50" s="97"/>
      <c r="AJ50" s="97"/>
      <c r="AK50" s="97"/>
      <c r="AL50" s="97"/>
      <c r="AM50" s="97"/>
      <c r="AN50" s="97"/>
      <c r="AO50" s="97"/>
      <c r="AP50" s="97"/>
      <c r="AQ50" s="97"/>
      <c r="AR50" s="97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  <c r="BP50" s="97"/>
      <c r="BQ50" s="97"/>
      <c r="BR50" s="97"/>
      <c r="BS50" s="97"/>
      <c r="BT50" s="97"/>
      <c r="BU50" s="97"/>
      <c r="BV50" s="97"/>
      <c r="BW50" s="97"/>
      <c r="BX50" s="97"/>
      <c r="BY50" s="97"/>
      <c r="BZ50" s="97"/>
      <c r="CA50" s="97"/>
      <c r="CB50" s="110"/>
      <c r="CC50" s="111"/>
    </row>
    <row r="51" spans="1:81" s="23" customFormat="1" ht="15" customHeight="1" x14ac:dyDescent="0.3">
      <c r="A51" s="111"/>
      <c r="B51" s="110"/>
      <c r="C51" s="110"/>
      <c r="D51" s="133" t="s">
        <v>97</v>
      </c>
      <c r="E51" s="123"/>
      <c r="F51" s="123"/>
      <c r="G51" s="123"/>
      <c r="H51" s="123"/>
      <c r="I51" s="124"/>
      <c r="J51" s="124"/>
      <c r="K51" s="125"/>
      <c r="L51" s="126"/>
      <c r="M51" s="97"/>
      <c r="N51" s="126"/>
      <c r="O51" s="126"/>
      <c r="P51" s="126"/>
      <c r="Q51" s="126"/>
      <c r="R51" s="126"/>
      <c r="S51" s="97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  <c r="BC51" s="126"/>
      <c r="BD51" s="126"/>
      <c r="BE51" s="126"/>
      <c r="BF51" s="126"/>
      <c r="BG51" s="126"/>
      <c r="BH51" s="126"/>
      <c r="BI51" s="126"/>
      <c r="BJ51" s="126"/>
      <c r="BK51" s="126"/>
      <c r="BL51" s="126"/>
      <c r="BM51" s="126"/>
      <c r="BN51" s="126"/>
      <c r="BO51" s="126"/>
      <c r="BP51" s="126"/>
      <c r="BQ51" s="126"/>
      <c r="BR51" s="126"/>
      <c r="BS51" s="126"/>
      <c r="BT51" s="126"/>
      <c r="BU51" s="126"/>
      <c r="BV51" s="126"/>
      <c r="BW51" s="126"/>
      <c r="BX51" s="126"/>
      <c r="BY51" s="126"/>
      <c r="BZ51" s="126"/>
      <c r="CA51" s="126"/>
      <c r="CB51" s="112"/>
      <c r="CC51" s="111"/>
    </row>
    <row r="52" spans="1:81" s="33" customFormat="1" ht="15" customHeight="1" x14ac:dyDescent="0.3">
      <c r="A52" s="51"/>
      <c r="B52" s="22"/>
      <c r="C52" s="22"/>
      <c r="D52" s="187"/>
      <c r="E52" s="40"/>
      <c r="F52" s="40"/>
      <c r="G52" s="40"/>
      <c r="H52" s="40"/>
      <c r="I52" s="6"/>
      <c r="J52" s="6"/>
      <c r="K52" s="49"/>
      <c r="L52" s="59"/>
      <c r="M52" s="97"/>
      <c r="N52" s="59"/>
      <c r="O52" s="59"/>
      <c r="P52" s="59"/>
      <c r="Q52" s="59"/>
      <c r="R52" s="59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7"/>
      <c r="AH52" s="97"/>
      <c r="AI52" s="97"/>
      <c r="AJ52" s="97"/>
      <c r="AK52" s="97"/>
      <c r="AL52" s="97"/>
      <c r="AM52" s="97"/>
      <c r="AN52" s="97"/>
      <c r="AO52" s="97"/>
      <c r="AP52" s="97"/>
      <c r="AQ52" s="97"/>
      <c r="AR52" s="97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  <c r="BP52" s="97"/>
      <c r="BQ52" s="97"/>
      <c r="BR52" s="97"/>
      <c r="BS52" s="97"/>
      <c r="BT52" s="97"/>
      <c r="BU52" s="97"/>
      <c r="BV52" s="97"/>
      <c r="BW52" s="97"/>
      <c r="BX52" s="97"/>
      <c r="BY52" s="97"/>
      <c r="BZ52" s="97"/>
      <c r="CA52" s="97"/>
      <c r="CB52" s="110"/>
      <c r="CC52" s="111"/>
    </row>
    <row r="53" spans="1:81" s="65" customFormat="1" ht="15" customHeight="1" x14ac:dyDescent="0.3">
      <c r="A53" s="66"/>
      <c r="D53" s="169" t="s">
        <v>98</v>
      </c>
      <c r="E53" s="60"/>
      <c r="F53" s="60"/>
      <c r="G53" s="60"/>
      <c r="H53" s="60"/>
      <c r="I53" s="6" t="str">
        <f>Ввод!$M$12</f>
        <v>руб</v>
      </c>
      <c r="J53" s="6"/>
      <c r="K53" s="49"/>
      <c r="L53" s="235"/>
      <c r="M53" s="227"/>
      <c r="N53" s="225">
        <f>SUMIFS($T53:$CA53,$T$4:$CA$4,N$4,$T$6:$CA$6,1)</f>
        <v>0</v>
      </c>
      <c r="O53" s="225">
        <f ca="1">SUMIFS($T53:$CA53,$T$4:$CA$4,O$4,$T$6:$CA$6,1)</f>
        <v>0</v>
      </c>
      <c r="P53" s="225">
        <f ca="1">SUMIFS($T53:$CA53,$T$4:$CA$4,P$4,$T$6:$CA$6,1)</f>
        <v>2346280.7963684895</v>
      </c>
      <c r="Q53" s="225">
        <f ca="1">SUMIFS($T53:$CA53,$T$4:$CA$4,Q$4,$T$6:$CA$6,1)</f>
        <v>15355211.229347305</v>
      </c>
      <c r="R53" s="225">
        <f ca="1">SUMIFS($T53:$CA53,$T$4:$CA$4,R$4,$T$6:$CA$6,1)</f>
        <v>39681949.990505695</v>
      </c>
      <c r="S53" s="227"/>
      <c r="T53" s="236">
        <f>S76</f>
        <v>0</v>
      </c>
      <c r="U53" s="236">
        <f t="shared" ref="U53:CA53" ca="1" si="27">T76</f>
        <v>0</v>
      </c>
      <c r="V53" s="236">
        <f t="shared" ca="1" si="27"/>
        <v>0</v>
      </c>
      <c r="W53" s="236">
        <f t="shared" ca="1" si="27"/>
        <v>0</v>
      </c>
      <c r="X53" s="236">
        <f t="shared" ca="1" si="27"/>
        <v>0</v>
      </c>
      <c r="Y53" s="236">
        <f t="shared" ca="1" si="27"/>
        <v>0</v>
      </c>
      <c r="Z53" s="236">
        <f t="shared" ca="1" si="27"/>
        <v>0</v>
      </c>
      <c r="AA53" s="236">
        <f t="shared" ca="1" si="27"/>
        <v>0</v>
      </c>
      <c r="AB53" s="236">
        <f t="shared" ca="1" si="27"/>
        <v>0</v>
      </c>
      <c r="AC53" s="236">
        <f t="shared" ca="1" si="27"/>
        <v>0</v>
      </c>
      <c r="AD53" s="236">
        <f t="shared" ca="1" si="27"/>
        <v>0</v>
      </c>
      <c r="AE53" s="236">
        <f t="shared" ca="1" si="27"/>
        <v>0</v>
      </c>
      <c r="AF53" s="236">
        <f t="shared" ca="1" si="27"/>
        <v>0</v>
      </c>
      <c r="AG53" s="236">
        <f t="shared" ca="1" si="27"/>
        <v>0</v>
      </c>
      <c r="AH53" s="236">
        <f t="shared" ca="1" si="27"/>
        <v>0</v>
      </c>
      <c r="AI53" s="236">
        <f t="shared" ca="1" si="27"/>
        <v>0</v>
      </c>
      <c r="AJ53" s="236">
        <f t="shared" ca="1" si="27"/>
        <v>0</v>
      </c>
      <c r="AK53" s="236">
        <f t="shared" ca="1" si="27"/>
        <v>15608.512233972084</v>
      </c>
      <c r="AL53" s="236">
        <f t="shared" ca="1" si="27"/>
        <v>110629.26728870487</v>
      </c>
      <c r="AM53" s="236">
        <f t="shared" ca="1" si="27"/>
        <v>285024.89693749323</v>
      </c>
      <c r="AN53" s="236">
        <f t="shared" ca="1" si="27"/>
        <v>538757.50357041927</v>
      </c>
      <c r="AO53" s="236">
        <f t="shared" ca="1" si="27"/>
        <v>871788.65269475779</v>
      </c>
      <c r="AP53" s="236">
        <f t="shared" ca="1" si="27"/>
        <v>1284079.3653291378</v>
      </c>
      <c r="AQ53" s="236">
        <f t="shared" ca="1" si="27"/>
        <v>1775590.1102899513</v>
      </c>
      <c r="AR53" s="236">
        <f t="shared" ca="1" si="27"/>
        <v>2346280.7963684895</v>
      </c>
      <c r="AS53" s="236">
        <f t="shared" ca="1" si="27"/>
        <v>2996110.7643972537</v>
      </c>
      <c r="AT53" s="236">
        <f t="shared" ca="1" si="27"/>
        <v>3725038.7792038717</v>
      </c>
      <c r="AU53" s="236">
        <f t="shared" ca="1" si="27"/>
        <v>4533023.0214510299</v>
      </c>
      <c r="AV53" s="236">
        <f t="shared" ca="1" si="27"/>
        <v>5420021.0793608027</v>
      </c>
      <c r="AW53" s="236">
        <f t="shared" ca="1" si="27"/>
        <v>6385989.9403217435</v>
      </c>
      <c r="AX53" s="236">
        <f t="shared" ca="1" si="27"/>
        <v>7430885.9823770784</v>
      </c>
      <c r="AY53" s="236">
        <f t="shared" ca="1" si="27"/>
        <v>8554664.9655923098</v>
      </c>
      <c r="AZ53" s="236">
        <f t="shared" ca="1" si="27"/>
        <v>9757282.023300536</v>
      </c>
      <c r="BA53" s="236">
        <f t="shared" ca="1" si="27"/>
        <v>11038691.653223742</v>
      </c>
      <c r="BB53" s="236">
        <f t="shared" ca="1" si="27"/>
        <v>12398847.708468307</v>
      </c>
      <c r="BC53" s="236">
        <f t="shared" ca="1" si="27"/>
        <v>13837703.388392949</v>
      </c>
      <c r="BD53" s="236">
        <f t="shared" ca="1" si="27"/>
        <v>15355211.229347305</v>
      </c>
      <c r="BE53" s="236">
        <f t="shared" ca="1" si="27"/>
        <v>16951323.095279295</v>
      </c>
      <c r="BF53" s="236">
        <f t="shared" ca="1" si="27"/>
        <v>18625990.168209434</v>
      </c>
      <c r="BG53" s="236">
        <f t="shared" ca="1" si="27"/>
        <v>20379162.938570194</v>
      </c>
      <c r="BH53" s="236">
        <f t="shared" ca="1" si="27"/>
        <v>22210791.195408512</v>
      </c>
      <c r="BI53" s="236">
        <f t="shared" ca="1" si="27"/>
        <v>24120824.016449489</v>
      </c>
      <c r="BJ53" s="236">
        <f t="shared" ca="1" si="27"/>
        <v>26109209.758019324</v>
      </c>
      <c r="BK53" s="236">
        <f t="shared" ca="1" si="27"/>
        <v>28175896.044825513</v>
      </c>
      <c r="BL53" s="236">
        <f t="shared" ca="1" si="27"/>
        <v>30320829.759592235</v>
      </c>
      <c r="BM53" s="236">
        <f t="shared" ca="1" si="27"/>
        <v>32543957.03254893</v>
      </c>
      <c r="BN53" s="236">
        <f t="shared" ca="1" si="27"/>
        <v>34845223.230769962</v>
      </c>
      <c r="BO53" s="236">
        <f t="shared" ca="1" si="27"/>
        <v>37224572.947363235</v>
      </c>
      <c r="BP53" s="236">
        <f t="shared" ca="1" si="27"/>
        <v>39681949.990505695</v>
      </c>
      <c r="BQ53" s="236">
        <f t="shared" ca="1" si="27"/>
        <v>42217297.372323453</v>
      </c>
      <c r="BR53" s="236">
        <f t="shared" ca="1" si="27"/>
        <v>44830557.297614411</v>
      </c>
      <c r="BS53" s="236">
        <f t="shared" ca="1" si="27"/>
        <v>47521671.152411103</v>
      </c>
      <c r="BT53" s="236">
        <f t="shared" ca="1" si="27"/>
        <v>50290579.492381528</v>
      </c>
      <c r="BU53" s="236">
        <f t="shared" ca="1" si="27"/>
        <v>53137222.03106565</v>
      </c>
      <c r="BV53" s="236">
        <f t="shared" ca="1" si="27"/>
        <v>56061537.627945237</v>
      </c>
      <c r="BW53" s="236">
        <f t="shared" ca="1" si="27"/>
        <v>59063464.276344731</v>
      </c>
      <c r="BX53" s="236">
        <f t="shared" ca="1" si="27"/>
        <v>62142939.09116067</v>
      </c>
      <c r="BY53" s="236">
        <f t="shared" ca="1" si="27"/>
        <v>65299898.296417281</v>
      </c>
      <c r="BZ53" s="236">
        <f t="shared" ca="1" si="27"/>
        <v>68534277.212645799</v>
      </c>
      <c r="CA53" s="236">
        <f t="shared" ca="1" si="27"/>
        <v>71846010.244084999</v>
      </c>
      <c r="CB53" s="43"/>
      <c r="CC53" s="111"/>
    </row>
    <row r="54" spans="1:81" s="33" customFormat="1" ht="15" customHeight="1" x14ac:dyDescent="0.3">
      <c r="A54" s="51"/>
      <c r="B54" s="22"/>
      <c r="C54" s="22"/>
      <c r="D54" s="187"/>
      <c r="E54" s="40"/>
      <c r="F54" s="40"/>
      <c r="G54" s="40"/>
      <c r="H54" s="40"/>
      <c r="I54" s="6"/>
      <c r="J54" s="6"/>
      <c r="K54" s="49"/>
      <c r="L54" s="227"/>
      <c r="M54" s="139"/>
      <c r="N54" s="227"/>
      <c r="O54" s="227"/>
      <c r="P54" s="227"/>
      <c r="Q54" s="227"/>
      <c r="R54" s="227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39"/>
      <c r="AD54" s="139"/>
      <c r="AE54" s="139"/>
      <c r="AF54" s="139"/>
      <c r="AG54" s="139"/>
      <c r="AH54" s="139"/>
      <c r="AI54" s="139"/>
      <c r="AJ54" s="139"/>
      <c r="AK54" s="139"/>
      <c r="AL54" s="139"/>
      <c r="AM54" s="139"/>
      <c r="AN54" s="139"/>
      <c r="AO54" s="139"/>
      <c r="AP54" s="139"/>
      <c r="AQ54" s="139"/>
      <c r="AR54" s="139"/>
      <c r="AS54" s="139"/>
      <c r="AT54" s="139"/>
      <c r="AU54" s="139"/>
      <c r="AV54" s="139"/>
      <c r="AW54" s="139"/>
      <c r="AX54" s="139"/>
      <c r="AY54" s="139"/>
      <c r="AZ54" s="139"/>
      <c r="BA54" s="139"/>
      <c r="BB54" s="139"/>
      <c r="BC54" s="139"/>
      <c r="BD54" s="139"/>
      <c r="BE54" s="139"/>
      <c r="BF54" s="139"/>
      <c r="BG54" s="139"/>
      <c r="BH54" s="139"/>
      <c r="BI54" s="139"/>
      <c r="BJ54" s="139"/>
      <c r="BK54" s="139"/>
      <c r="BL54" s="139"/>
      <c r="BM54" s="139"/>
      <c r="BN54" s="139"/>
      <c r="BO54" s="139"/>
      <c r="BP54" s="139"/>
      <c r="BQ54" s="139"/>
      <c r="BR54" s="139"/>
      <c r="BS54" s="139"/>
      <c r="BT54" s="139"/>
      <c r="BU54" s="139"/>
      <c r="BV54" s="139"/>
      <c r="BW54" s="139"/>
      <c r="BX54" s="139"/>
      <c r="BY54" s="139"/>
      <c r="BZ54" s="139"/>
      <c r="CA54" s="139"/>
      <c r="CB54" s="110"/>
      <c r="CC54" s="111"/>
    </row>
    <row r="55" spans="1:81" ht="15" customHeight="1" x14ac:dyDescent="0.3">
      <c r="A55" s="51"/>
      <c r="D55" s="169" t="s">
        <v>99</v>
      </c>
      <c r="E55" s="60"/>
      <c r="F55" s="60"/>
      <c r="G55" s="60"/>
      <c r="H55" s="60"/>
      <c r="I55" s="6" t="str">
        <f>Ввод!$M$12</f>
        <v>руб</v>
      </c>
      <c r="J55" s="6"/>
      <c r="K55" s="49"/>
      <c r="L55" s="225">
        <f ca="1">SUM(N55:R55)</f>
        <v>139430820.7803697</v>
      </c>
      <c r="M55" s="139"/>
      <c r="N55" s="225">
        <f t="shared" ref="N55:R61" ca="1" si="28">SUMIF($T$4:$EI$4,N$4,$T55:$EI55)</f>
        <v>-1433180.8219178107</v>
      </c>
      <c r="O55" s="225">
        <f t="shared" ca="1" si="28"/>
        <v>18185467.037176713</v>
      </c>
      <c r="P55" s="225">
        <f t="shared" ca="1" si="28"/>
        <v>29605525.264905129</v>
      </c>
      <c r="Q55" s="225">
        <f t="shared" ca="1" si="28"/>
        <v>40923333.593084693</v>
      </c>
      <c r="R55" s="225">
        <f t="shared" ca="1" si="28"/>
        <v>52149675.707120985</v>
      </c>
      <c r="S55" s="139"/>
      <c r="T55" s="227">
        <f t="shared" ref="T55:AY55" ca="1" si="29">SUM(T56:T61)</f>
        <v>-917260.27397260279</v>
      </c>
      <c r="U55" s="227">
        <f t="shared" ca="1" si="29"/>
        <v>-1017200</v>
      </c>
      <c r="V55" s="227">
        <f t="shared" ca="1" si="29"/>
        <v>-1017200</v>
      </c>
      <c r="W55" s="227">
        <f t="shared" ca="1" si="29"/>
        <v>-960000.00000000047</v>
      </c>
      <c r="X55" s="227">
        <f t="shared" ca="1" si="29"/>
        <v>-2090000.0000000005</v>
      </c>
      <c r="Y55" s="227">
        <f t="shared" ca="1" si="29"/>
        <v>405821.91780821921</v>
      </c>
      <c r="Z55" s="227">
        <f t="shared" ca="1" si="29"/>
        <v>674636.98630136938</v>
      </c>
      <c r="AA55" s="227">
        <f t="shared" ca="1" si="29"/>
        <v>528136.98630136938</v>
      </c>
      <c r="AB55" s="227">
        <f t="shared" ca="1" si="29"/>
        <v>451636.98630136979</v>
      </c>
      <c r="AC55" s="227">
        <f t="shared" ca="1" si="29"/>
        <v>725136.98630136985</v>
      </c>
      <c r="AD55" s="227">
        <f t="shared" ca="1" si="29"/>
        <v>836854.79452054808</v>
      </c>
      <c r="AE55" s="227">
        <f t="shared" ca="1" si="29"/>
        <v>946254.79452054785</v>
      </c>
      <c r="AF55" s="227">
        <f t="shared" ca="1" si="29"/>
        <v>1055654.7945205481</v>
      </c>
      <c r="AG55" s="227">
        <f t="shared" ca="1" si="29"/>
        <v>1160202.3272665702</v>
      </c>
      <c r="AH55" s="227">
        <f t="shared" ca="1" si="29"/>
        <v>1239723.5719014932</v>
      </c>
      <c r="AI55" s="227">
        <f t="shared" ca="1" si="29"/>
        <v>1319208.9925020738</v>
      </c>
      <c r="AJ55" s="227">
        <f t="shared" ca="1" si="29"/>
        <v>1398658.0815611645</v>
      </c>
      <c r="AK55" s="227">
        <f t="shared" ca="1" si="29"/>
        <v>1478070.3243819252</v>
      </c>
      <c r="AL55" s="227">
        <f t="shared" ca="1" si="29"/>
        <v>1557445.1989759807</v>
      </c>
      <c r="AM55" s="227">
        <f t="shared" ca="1" si="29"/>
        <v>1636782.1759601184</v>
      </c>
      <c r="AN55" s="227">
        <f t="shared" ca="1" si="29"/>
        <v>1716080.7184515309</v>
      </c>
      <c r="AO55" s="227">
        <f t="shared" ca="1" si="29"/>
        <v>1795340.2819615724</v>
      </c>
      <c r="AP55" s="227">
        <f t="shared" ca="1" si="29"/>
        <v>1874560.3142880059</v>
      </c>
      <c r="AQ55" s="227">
        <f t="shared" ca="1" si="29"/>
        <v>1953740.2554057306</v>
      </c>
      <c r="AR55" s="227">
        <f t="shared" ca="1" si="29"/>
        <v>2032879.5373559566</v>
      </c>
      <c r="AS55" s="227">
        <f t="shared" ca="1" si="29"/>
        <v>2111977.5841338104</v>
      </c>
      <c r="AT55" s="227">
        <f t="shared" ca="1" si="29"/>
        <v>2191033.8115743506</v>
      </c>
      <c r="AU55" s="227">
        <f t="shared" ca="1" si="29"/>
        <v>2270047.6272369651</v>
      </c>
      <c r="AV55" s="227">
        <f t="shared" ca="1" si="29"/>
        <v>2349018.4302881337</v>
      </c>
      <c r="AW55" s="227">
        <f t="shared" ca="1" si="29"/>
        <v>2427945.6113825268</v>
      </c>
      <c r="AX55" s="227">
        <f t="shared" ca="1" si="29"/>
        <v>2506828.5525424238</v>
      </c>
      <c r="AY55" s="227">
        <f t="shared" ca="1" si="29"/>
        <v>2585666.6270354195</v>
      </c>
      <c r="AZ55" s="227">
        <f t="shared" ref="AZ55:CA55" ca="1" si="30">SUM(AZ56:AZ61)</f>
        <v>2664459.1992503991</v>
      </c>
      <c r="BA55" s="227">
        <f t="shared" ca="1" si="30"/>
        <v>2743205.6245717579</v>
      </c>
      <c r="BB55" s="227">
        <f t="shared" ca="1" si="30"/>
        <v>2821905.249251835</v>
      </c>
      <c r="BC55" s="227">
        <f t="shared" ca="1" si="30"/>
        <v>2900557.4102815478</v>
      </c>
      <c r="BD55" s="227">
        <f t="shared" ca="1" si="30"/>
        <v>2979161.4352591811</v>
      </c>
      <c r="BE55" s="227">
        <f t="shared" ca="1" si="30"/>
        <v>3057716.6422573305</v>
      </c>
      <c r="BF55" s="227">
        <f t="shared" ca="1" si="30"/>
        <v>3136222.3396879542</v>
      </c>
      <c r="BG55" s="227">
        <f t="shared" ca="1" si="30"/>
        <v>3214677.8261655108</v>
      </c>
      <c r="BH55" s="227">
        <f t="shared" ca="1" si="30"/>
        <v>3293082.3903681673</v>
      </c>
      <c r="BI55" s="227">
        <f t="shared" ca="1" si="30"/>
        <v>3371435.3108970276</v>
      </c>
      <c r="BJ55" s="227">
        <f t="shared" ca="1" si="30"/>
        <v>3449735.85613338</v>
      </c>
      <c r="BK55" s="227">
        <f t="shared" ca="1" si="30"/>
        <v>3527983.2840939136</v>
      </c>
      <c r="BL55" s="227">
        <f t="shared" ca="1" si="30"/>
        <v>3606176.8422838887</v>
      </c>
      <c r="BM55" s="227">
        <f t="shared" ca="1" si="30"/>
        <v>3684315.7675482221</v>
      </c>
      <c r="BN55" s="227">
        <f t="shared" ca="1" si="30"/>
        <v>3762399.2859204668</v>
      </c>
      <c r="BO55" s="227">
        <f t="shared" ca="1" si="30"/>
        <v>3840426.6124696508</v>
      </c>
      <c r="BP55" s="227">
        <f t="shared" ca="1" si="30"/>
        <v>3918396.9511449491</v>
      </c>
      <c r="BQ55" s="227">
        <f t="shared" ca="1" si="30"/>
        <v>3996309.4946181467</v>
      </c>
      <c r="BR55" s="227">
        <f t="shared" ca="1" si="30"/>
        <v>4074163.4241238823</v>
      </c>
      <c r="BS55" s="227">
        <f t="shared" ca="1" si="30"/>
        <v>4151957.9092976153</v>
      </c>
      <c r="BT55" s="227">
        <f t="shared" ca="1" si="30"/>
        <v>4229692.1080113165</v>
      </c>
      <c r="BU55" s="227">
        <f t="shared" ca="1" si="30"/>
        <v>4307365.1662067808</v>
      </c>
      <c r="BV55" s="227">
        <f t="shared" ca="1" si="30"/>
        <v>4384976.217726687</v>
      </c>
      <c r="BW55" s="227">
        <f t="shared" ca="1" si="30"/>
        <v>4462524.3841431271</v>
      </c>
      <c r="BX55" s="227">
        <f t="shared" ca="1" si="30"/>
        <v>4540008.7745837998</v>
      </c>
      <c r="BY55" s="227">
        <f t="shared" ca="1" si="30"/>
        <v>4617428.485555714</v>
      </c>
      <c r="BZ55" s="227">
        <f t="shared" ca="1" si="30"/>
        <v>4694782.600766398</v>
      </c>
      <c r="CA55" s="227">
        <f t="shared" ca="1" si="30"/>
        <v>4772070.1909425668</v>
      </c>
      <c r="CB55" s="110"/>
      <c r="CC55" s="111"/>
    </row>
    <row r="56" spans="1:81" ht="15" customHeight="1" x14ac:dyDescent="0.3">
      <c r="A56" s="51"/>
      <c r="D56" s="132" t="s">
        <v>93</v>
      </c>
      <c r="I56" s="31" t="str">
        <f>Ввод!$M$12</f>
        <v>руб</v>
      </c>
      <c r="J56" s="31"/>
      <c r="K56" s="2"/>
      <c r="L56" s="191">
        <f>SUM(N56:R56)</f>
        <v>172805000</v>
      </c>
      <c r="M56" s="139"/>
      <c r="N56" s="191">
        <f t="shared" si="28"/>
        <v>-1343800</v>
      </c>
      <c r="O56" s="191">
        <f t="shared" si="28"/>
        <v>19906800</v>
      </c>
      <c r="P56" s="191">
        <f t="shared" si="28"/>
        <v>35660400</v>
      </c>
      <c r="Q56" s="191">
        <f t="shared" si="28"/>
        <v>51414000</v>
      </c>
      <c r="R56" s="191">
        <f t="shared" si="28"/>
        <v>67167600</v>
      </c>
      <c r="S56" s="139"/>
      <c r="T56" s="228">
        <f t="shared" ref="T56:AY56" si="31">T39</f>
        <v>-960000</v>
      </c>
      <c r="U56" s="228">
        <f t="shared" si="31"/>
        <v>-960000</v>
      </c>
      <c r="V56" s="228">
        <f t="shared" si="31"/>
        <v>-960000</v>
      </c>
      <c r="W56" s="228">
        <f t="shared" si="31"/>
        <v>-960000</v>
      </c>
      <c r="X56" s="228">
        <f t="shared" si="31"/>
        <v>-2090000</v>
      </c>
      <c r="Y56" s="228">
        <f t="shared" si="31"/>
        <v>405000</v>
      </c>
      <c r="Z56" s="228">
        <f t="shared" si="31"/>
        <v>678500</v>
      </c>
      <c r="AA56" s="228">
        <f t="shared" si="31"/>
        <v>532000</v>
      </c>
      <c r="AB56" s="228">
        <f t="shared" si="31"/>
        <v>455500</v>
      </c>
      <c r="AC56" s="228">
        <f t="shared" si="31"/>
        <v>729000</v>
      </c>
      <c r="AD56" s="228">
        <f t="shared" si="31"/>
        <v>838400</v>
      </c>
      <c r="AE56" s="228">
        <f t="shared" si="31"/>
        <v>947800</v>
      </c>
      <c r="AF56" s="228">
        <f t="shared" si="31"/>
        <v>1057200</v>
      </c>
      <c r="AG56" s="228">
        <f t="shared" si="31"/>
        <v>1166600</v>
      </c>
      <c r="AH56" s="228">
        <f t="shared" si="31"/>
        <v>1276000</v>
      </c>
      <c r="AI56" s="228">
        <f t="shared" si="31"/>
        <v>1385400</v>
      </c>
      <c r="AJ56" s="228">
        <f t="shared" si="31"/>
        <v>1494800</v>
      </c>
      <c r="AK56" s="228">
        <f t="shared" si="31"/>
        <v>1604200</v>
      </c>
      <c r="AL56" s="228">
        <f t="shared" si="31"/>
        <v>1713600</v>
      </c>
      <c r="AM56" s="228">
        <f t="shared" si="31"/>
        <v>1823000</v>
      </c>
      <c r="AN56" s="228">
        <f t="shared" si="31"/>
        <v>1932400</v>
      </c>
      <c r="AO56" s="228">
        <f t="shared" si="31"/>
        <v>2041800</v>
      </c>
      <c r="AP56" s="228">
        <f t="shared" si="31"/>
        <v>2151200</v>
      </c>
      <c r="AQ56" s="228">
        <f t="shared" si="31"/>
        <v>2260600</v>
      </c>
      <c r="AR56" s="228">
        <f t="shared" si="31"/>
        <v>2370000</v>
      </c>
      <c r="AS56" s="228">
        <f t="shared" si="31"/>
        <v>2479400</v>
      </c>
      <c r="AT56" s="228">
        <f t="shared" si="31"/>
        <v>2588800</v>
      </c>
      <c r="AU56" s="228">
        <f t="shared" si="31"/>
        <v>2698200</v>
      </c>
      <c r="AV56" s="228">
        <f t="shared" si="31"/>
        <v>2807600</v>
      </c>
      <c r="AW56" s="228">
        <f t="shared" si="31"/>
        <v>2917000</v>
      </c>
      <c r="AX56" s="228">
        <f t="shared" si="31"/>
        <v>3026400</v>
      </c>
      <c r="AY56" s="228">
        <f t="shared" si="31"/>
        <v>3135800</v>
      </c>
      <c r="AZ56" s="228">
        <f t="shared" ref="AZ56:CA56" si="32">AZ39</f>
        <v>3245200</v>
      </c>
      <c r="BA56" s="228">
        <f t="shared" si="32"/>
        <v>3354600</v>
      </c>
      <c r="BB56" s="228">
        <f t="shared" si="32"/>
        <v>3464000</v>
      </c>
      <c r="BC56" s="228">
        <f t="shared" si="32"/>
        <v>3573400</v>
      </c>
      <c r="BD56" s="228">
        <f t="shared" si="32"/>
        <v>3682800</v>
      </c>
      <c r="BE56" s="228">
        <f t="shared" si="32"/>
        <v>3792200</v>
      </c>
      <c r="BF56" s="228">
        <f t="shared" si="32"/>
        <v>3901600</v>
      </c>
      <c r="BG56" s="228">
        <f t="shared" si="32"/>
        <v>4011000</v>
      </c>
      <c r="BH56" s="228">
        <f t="shared" si="32"/>
        <v>4120400</v>
      </c>
      <c r="BI56" s="228">
        <f t="shared" si="32"/>
        <v>4229800</v>
      </c>
      <c r="BJ56" s="228">
        <f t="shared" si="32"/>
        <v>4339200</v>
      </c>
      <c r="BK56" s="228">
        <f t="shared" si="32"/>
        <v>4448600</v>
      </c>
      <c r="BL56" s="228">
        <f t="shared" si="32"/>
        <v>4558000</v>
      </c>
      <c r="BM56" s="228">
        <f t="shared" si="32"/>
        <v>4667400</v>
      </c>
      <c r="BN56" s="228">
        <f t="shared" si="32"/>
        <v>4776800</v>
      </c>
      <c r="BO56" s="228">
        <f t="shared" si="32"/>
        <v>4886200</v>
      </c>
      <c r="BP56" s="228">
        <f t="shared" si="32"/>
        <v>4995600</v>
      </c>
      <c r="BQ56" s="228">
        <f t="shared" si="32"/>
        <v>5105000</v>
      </c>
      <c r="BR56" s="228">
        <f t="shared" si="32"/>
        <v>5214400</v>
      </c>
      <c r="BS56" s="228">
        <f t="shared" si="32"/>
        <v>5323800</v>
      </c>
      <c r="BT56" s="228">
        <f t="shared" si="32"/>
        <v>5433200</v>
      </c>
      <c r="BU56" s="228">
        <f t="shared" si="32"/>
        <v>5542600</v>
      </c>
      <c r="BV56" s="228">
        <f t="shared" si="32"/>
        <v>5652000</v>
      </c>
      <c r="BW56" s="228">
        <f t="shared" si="32"/>
        <v>5761400</v>
      </c>
      <c r="BX56" s="228">
        <f t="shared" si="32"/>
        <v>5870800</v>
      </c>
      <c r="BY56" s="228">
        <f t="shared" si="32"/>
        <v>5980200</v>
      </c>
      <c r="BZ56" s="228">
        <f t="shared" si="32"/>
        <v>6089600</v>
      </c>
      <c r="CA56" s="228">
        <f t="shared" si="32"/>
        <v>6199000</v>
      </c>
      <c r="CB56" s="110"/>
      <c r="CC56" s="111"/>
    </row>
    <row r="57" spans="1:81" ht="15" customHeight="1" x14ac:dyDescent="0.3">
      <c r="A57" s="51"/>
      <c r="D57" s="132" t="s">
        <v>100</v>
      </c>
      <c r="I57" s="31" t="str">
        <f>Ввод!$M$12</f>
        <v>руб</v>
      </c>
      <c r="J57" s="31"/>
      <c r="K57" s="2"/>
      <c r="L57" s="191">
        <f t="shared" ref="L57:L59" si="33">SUM(N57:R57)</f>
        <v>139700000</v>
      </c>
      <c r="M57" s="139"/>
      <c r="N57" s="191">
        <f t="shared" si="28"/>
        <v>9812000</v>
      </c>
      <c r="O57" s="191">
        <f t="shared" si="28"/>
        <v>22968000</v>
      </c>
      <c r="P57" s="191">
        <f t="shared" si="28"/>
        <v>29304000</v>
      </c>
      <c r="Q57" s="191">
        <f t="shared" si="28"/>
        <v>35640000</v>
      </c>
      <c r="R57" s="191">
        <f t="shared" si="28"/>
        <v>41976000</v>
      </c>
      <c r="S57" s="139"/>
      <c r="T57" s="228">
        <f>Расчет!V203</f>
        <v>0</v>
      </c>
      <c r="U57" s="228">
        <f>Расчет!W203</f>
        <v>0</v>
      </c>
      <c r="V57" s="228">
        <f>Расчет!X203</f>
        <v>0</v>
      </c>
      <c r="W57" s="228">
        <f>Расчет!Y203</f>
        <v>0</v>
      </c>
      <c r="X57" s="228">
        <f>Расчет!Z203</f>
        <v>0</v>
      </c>
      <c r="Y57" s="228">
        <f>Расчет!AA203</f>
        <v>1100000</v>
      </c>
      <c r="Z57" s="228">
        <f>Расчет!AB203</f>
        <v>1210000</v>
      </c>
      <c r="AA57" s="228">
        <f>Расчет!AC203</f>
        <v>1320000</v>
      </c>
      <c r="AB57" s="228">
        <f>Расчет!AD203</f>
        <v>1430000</v>
      </c>
      <c r="AC57" s="228">
        <f>Расчет!AE203</f>
        <v>1540000</v>
      </c>
      <c r="AD57" s="228">
        <f>Расчет!AF203</f>
        <v>1584000</v>
      </c>
      <c r="AE57" s="228">
        <f>Расчет!AG203</f>
        <v>1628000</v>
      </c>
      <c r="AF57" s="228">
        <f>Расчет!AH203</f>
        <v>1672000</v>
      </c>
      <c r="AG57" s="228">
        <f>Расчет!AI203</f>
        <v>1716000</v>
      </c>
      <c r="AH57" s="228">
        <f>Расчет!AJ203</f>
        <v>1760000</v>
      </c>
      <c r="AI57" s="228">
        <f>Расчет!AK203</f>
        <v>1804000</v>
      </c>
      <c r="AJ57" s="228">
        <f>Расчет!AL203</f>
        <v>1848000</v>
      </c>
      <c r="AK57" s="228">
        <f>Расчет!AM203</f>
        <v>1892000</v>
      </c>
      <c r="AL57" s="228">
        <f>Расчет!AN203</f>
        <v>1936000</v>
      </c>
      <c r="AM57" s="228">
        <f>Расчет!AO203</f>
        <v>1980000</v>
      </c>
      <c r="AN57" s="228">
        <f>Расчет!AP203</f>
        <v>2024000</v>
      </c>
      <c r="AO57" s="228">
        <f>Расчет!AQ203</f>
        <v>2068000</v>
      </c>
      <c r="AP57" s="228">
        <f>Расчет!AR203</f>
        <v>2112000</v>
      </c>
      <c r="AQ57" s="228">
        <f>Расчет!AS203</f>
        <v>2156000</v>
      </c>
      <c r="AR57" s="228">
        <f>Расчет!AT203</f>
        <v>2200000</v>
      </c>
      <c r="AS57" s="228">
        <f>Расчет!AU203</f>
        <v>2244000</v>
      </c>
      <c r="AT57" s="228">
        <f>Расчет!AV203</f>
        <v>2288000</v>
      </c>
      <c r="AU57" s="228">
        <f>Расчет!AW203</f>
        <v>2332000</v>
      </c>
      <c r="AV57" s="228">
        <f>Расчет!AX203</f>
        <v>2376000</v>
      </c>
      <c r="AW57" s="228">
        <f>Расчет!AY203</f>
        <v>2420000</v>
      </c>
      <c r="AX57" s="228">
        <f>Расчет!AZ203</f>
        <v>2464000</v>
      </c>
      <c r="AY57" s="228">
        <f>Расчет!BA203</f>
        <v>2508000</v>
      </c>
      <c r="AZ57" s="228">
        <f>Расчет!BB203</f>
        <v>2552000</v>
      </c>
      <c r="BA57" s="228">
        <f>Расчет!BC203</f>
        <v>2596000</v>
      </c>
      <c r="BB57" s="228">
        <f>Расчет!BD203</f>
        <v>2640000</v>
      </c>
      <c r="BC57" s="228">
        <f>Расчет!BE203</f>
        <v>2684000</v>
      </c>
      <c r="BD57" s="228">
        <f>Расчет!BF203</f>
        <v>2728000</v>
      </c>
      <c r="BE57" s="228">
        <f>Расчет!BG203</f>
        <v>2772000</v>
      </c>
      <c r="BF57" s="228">
        <f>Расчет!BH203</f>
        <v>2816000</v>
      </c>
      <c r="BG57" s="228">
        <f>Расчет!BI203</f>
        <v>2860000</v>
      </c>
      <c r="BH57" s="228">
        <f>Расчет!BJ203</f>
        <v>2904000</v>
      </c>
      <c r="BI57" s="228">
        <f>Расчет!BK203</f>
        <v>2948000</v>
      </c>
      <c r="BJ57" s="228">
        <f>Расчет!BL203</f>
        <v>2992000</v>
      </c>
      <c r="BK57" s="228">
        <f>Расчет!BM203</f>
        <v>3036000</v>
      </c>
      <c r="BL57" s="228">
        <f>Расчет!BN203</f>
        <v>3080000</v>
      </c>
      <c r="BM57" s="228">
        <f>Расчет!BO203</f>
        <v>3124000</v>
      </c>
      <c r="BN57" s="228">
        <f>Расчет!BP203</f>
        <v>3168000</v>
      </c>
      <c r="BO57" s="228">
        <f>Расчет!BQ203</f>
        <v>3212000</v>
      </c>
      <c r="BP57" s="228">
        <f>Расчет!BR203</f>
        <v>3256000</v>
      </c>
      <c r="BQ57" s="228">
        <f>Расчет!BS203</f>
        <v>3300000</v>
      </c>
      <c r="BR57" s="228">
        <f>Расчет!BT203</f>
        <v>3344000</v>
      </c>
      <c r="BS57" s="228">
        <f>Расчет!BU203</f>
        <v>3388000</v>
      </c>
      <c r="BT57" s="228">
        <f>Расчет!BV203</f>
        <v>3432000</v>
      </c>
      <c r="BU57" s="228">
        <f>Расчет!BW203</f>
        <v>3476000</v>
      </c>
      <c r="BV57" s="228">
        <f>Расчет!BX203</f>
        <v>3520000</v>
      </c>
      <c r="BW57" s="228">
        <f>Расчет!BY203</f>
        <v>3564000</v>
      </c>
      <c r="BX57" s="228">
        <f>Расчет!BZ203</f>
        <v>3608000</v>
      </c>
      <c r="BY57" s="228">
        <f>Расчет!CA203</f>
        <v>3652000</v>
      </c>
      <c r="BZ57" s="228">
        <f>Расчет!CB203</f>
        <v>3696000</v>
      </c>
      <c r="CA57" s="228">
        <f>Расчет!CC203</f>
        <v>3740000</v>
      </c>
      <c r="CB57" s="110"/>
      <c r="CC57" s="111"/>
    </row>
    <row r="58" spans="1:81" ht="15" customHeight="1" x14ac:dyDescent="0.3">
      <c r="A58" s="51"/>
      <c r="D58" s="132" t="s">
        <v>101</v>
      </c>
      <c r="I58" s="31" t="str">
        <f>Ввод!$M$12</f>
        <v>руб</v>
      </c>
      <c r="J58" s="31"/>
      <c r="K58" s="2"/>
      <c r="L58" s="191">
        <f t="shared" si="33"/>
        <v>-58800427.868852459</v>
      </c>
      <c r="M58" s="139"/>
      <c r="N58" s="191">
        <f t="shared" si="28"/>
        <v>5318836.131147543</v>
      </c>
      <c r="O58" s="191">
        <f t="shared" si="28"/>
        <v>-11724504</v>
      </c>
      <c r="P58" s="191">
        <f t="shared" si="28"/>
        <v>-14594712</v>
      </c>
      <c r="Q58" s="191">
        <f t="shared" si="28"/>
        <v>-17464920</v>
      </c>
      <c r="R58" s="191">
        <f t="shared" si="28"/>
        <v>-20335128</v>
      </c>
      <c r="S58" s="139"/>
      <c r="T58" s="228">
        <f>Расчет!V208</f>
        <v>2647718.0327868853</v>
      </c>
      <c r="U58" s="228">
        <f>Расчет!W208</f>
        <v>-57200</v>
      </c>
      <c r="V58" s="228">
        <f>Расчет!X208</f>
        <v>-57200</v>
      </c>
      <c r="W58" s="228">
        <f>Расчет!Y208</f>
        <v>1746078.6885245903</v>
      </c>
      <c r="X58" s="228">
        <f>Расчет!Z208</f>
        <v>2196898.3606557376</v>
      </c>
      <c r="Y58" s="228">
        <f>Расчет!AA208</f>
        <v>-608300</v>
      </c>
      <c r="Z58" s="228">
        <f>Расчет!AB208</f>
        <v>1145148.6885245903</v>
      </c>
      <c r="AA58" s="228">
        <f>Расчет!AC208</f>
        <v>1546138.3606557376</v>
      </c>
      <c r="AB58" s="228">
        <f>Расчет!AD208</f>
        <v>-757790</v>
      </c>
      <c r="AC58" s="228">
        <f>Расчет!AE208</f>
        <v>-807620</v>
      </c>
      <c r="AD58" s="228">
        <f>Расчет!AF208</f>
        <v>-827552</v>
      </c>
      <c r="AE58" s="228">
        <f>Расчет!AG208</f>
        <v>-847484</v>
      </c>
      <c r="AF58" s="228">
        <f>Расчет!AH208</f>
        <v>-867416</v>
      </c>
      <c r="AG58" s="228">
        <f>Расчет!AI208</f>
        <v>-887348</v>
      </c>
      <c r="AH58" s="228">
        <f>Расчет!AJ208</f>
        <v>-907280</v>
      </c>
      <c r="AI58" s="228">
        <f>Расчет!AK208</f>
        <v>-927212</v>
      </c>
      <c r="AJ58" s="228">
        <f>Расчет!AL208</f>
        <v>-947144</v>
      </c>
      <c r="AK58" s="228">
        <f>Расчет!AM208</f>
        <v>-967076</v>
      </c>
      <c r="AL58" s="228">
        <f>Расчет!AN208</f>
        <v>-987008</v>
      </c>
      <c r="AM58" s="228">
        <f>Расчет!AO208</f>
        <v>-1006940</v>
      </c>
      <c r="AN58" s="228">
        <f>Расчет!AP208</f>
        <v>-1026872</v>
      </c>
      <c r="AO58" s="228">
        <f>Расчет!AQ208</f>
        <v>-1046804</v>
      </c>
      <c r="AP58" s="228">
        <f>Расчет!AR208</f>
        <v>-1066736</v>
      </c>
      <c r="AQ58" s="228">
        <f>Расчет!AS208</f>
        <v>-1086668</v>
      </c>
      <c r="AR58" s="228">
        <f>Расчет!AT208</f>
        <v>-1106600</v>
      </c>
      <c r="AS58" s="228">
        <f>Расчет!AU208</f>
        <v>-1126532</v>
      </c>
      <c r="AT58" s="228">
        <f>Расчет!AV208</f>
        <v>-1146464</v>
      </c>
      <c r="AU58" s="228">
        <f>Расчет!AW208</f>
        <v>-1166396</v>
      </c>
      <c r="AV58" s="228">
        <f>Расчет!AX208</f>
        <v>-1186328</v>
      </c>
      <c r="AW58" s="228">
        <f>Расчет!AY208</f>
        <v>-1206260</v>
      </c>
      <c r="AX58" s="228">
        <f>Расчет!AZ208</f>
        <v>-1226192</v>
      </c>
      <c r="AY58" s="228">
        <f>Расчет!BA208</f>
        <v>-1246124</v>
      </c>
      <c r="AZ58" s="228">
        <f>Расчет!BB208</f>
        <v>-1266056</v>
      </c>
      <c r="BA58" s="228">
        <f>Расчет!BC208</f>
        <v>-1285988</v>
      </c>
      <c r="BB58" s="228">
        <f>Расчет!BD208</f>
        <v>-1305920</v>
      </c>
      <c r="BC58" s="228">
        <f>Расчет!BE208</f>
        <v>-1325852</v>
      </c>
      <c r="BD58" s="228">
        <f>Расчет!BF208</f>
        <v>-1345784</v>
      </c>
      <c r="BE58" s="228">
        <f>Расчет!BG208</f>
        <v>-1365716</v>
      </c>
      <c r="BF58" s="228">
        <f>Расчет!BH208</f>
        <v>-1385648</v>
      </c>
      <c r="BG58" s="228">
        <f>Расчет!BI208</f>
        <v>-1405580</v>
      </c>
      <c r="BH58" s="228">
        <f>Расчет!BJ208</f>
        <v>-1425512</v>
      </c>
      <c r="BI58" s="228">
        <f>Расчет!BK208</f>
        <v>-1445444</v>
      </c>
      <c r="BJ58" s="228">
        <f>Расчет!BL208</f>
        <v>-1465376</v>
      </c>
      <c r="BK58" s="228">
        <f>Расчет!BM208</f>
        <v>-1485308</v>
      </c>
      <c r="BL58" s="228">
        <f>Расчет!BN208</f>
        <v>-1505240</v>
      </c>
      <c r="BM58" s="228">
        <f>Расчет!BO208</f>
        <v>-1525172</v>
      </c>
      <c r="BN58" s="228">
        <f>Расчет!BP208</f>
        <v>-1545104</v>
      </c>
      <c r="BO58" s="228">
        <f>Расчет!BQ208</f>
        <v>-1565036</v>
      </c>
      <c r="BP58" s="228">
        <f>Расчет!BR208</f>
        <v>-1584968</v>
      </c>
      <c r="BQ58" s="228">
        <f>Расчет!BS208</f>
        <v>-1604900</v>
      </c>
      <c r="BR58" s="228">
        <f>Расчет!BT208</f>
        <v>-1624832</v>
      </c>
      <c r="BS58" s="228">
        <f>Расчет!BU208</f>
        <v>-1644764</v>
      </c>
      <c r="BT58" s="228">
        <f>Расчет!BV208</f>
        <v>-1664696</v>
      </c>
      <c r="BU58" s="228">
        <f>Расчет!BW208</f>
        <v>-1684628</v>
      </c>
      <c r="BV58" s="228">
        <f>Расчет!BX208</f>
        <v>-1704560</v>
      </c>
      <c r="BW58" s="228">
        <f>Расчет!BY208</f>
        <v>-1724492</v>
      </c>
      <c r="BX58" s="228">
        <f>Расчет!BZ208</f>
        <v>-1744424</v>
      </c>
      <c r="BY58" s="228">
        <f>Расчет!CA208</f>
        <v>-1764356</v>
      </c>
      <c r="BZ58" s="228">
        <f>Расчет!CB208</f>
        <v>-1784288</v>
      </c>
      <c r="CA58" s="228">
        <f>Расчет!CC208</f>
        <v>-1804220</v>
      </c>
      <c r="CB58" s="110"/>
      <c r="CC58" s="111"/>
    </row>
    <row r="59" spans="1:81" ht="15" customHeight="1" x14ac:dyDescent="0.3">
      <c r="A59" s="51"/>
      <c r="D59" s="132" t="s">
        <v>102</v>
      </c>
      <c r="I59" s="31" t="str">
        <f>Ввод!$M$12</f>
        <v>руб</v>
      </c>
      <c r="J59" s="31"/>
      <c r="K59" s="2"/>
      <c r="L59" s="191">
        <f t="shared" si="33"/>
        <v>-81013972.131147534</v>
      </c>
      <c r="M59" s="139"/>
      <c r="N59" s="191">
        <f t="shared" si="28"/>
        <v>-15245236.131147543</v>
      </c>
      <c r="O59" s="191">
        <f t="shared" si="28"/>
        <v>-11243495.999999998</v>
      </c>
      <c r="P59" s="191">
        <f t="shared" si="28"/>
        <v>-14709288</v>
      </c>
      <c r="Q59" s="191">
        <f t="shared" si="28"/>
        <v>-18175080</v>
      </c>
      <c r="R59" s="191">
        <f t="shared" si="28"/>
        <v>-21640871.999999993</v>
      </c>
      <c r="S59" s="139"/>
      <c r="T59" s="228">
        <f>-Расчет!V213</f>
        <v>-2647718.0327868853</v>
      </c>
      <c r="U59" s="228">
        <f>-Расчет!W213</f>
        <v>0</v>
      </c>
      <c r="V59" s="228">
        <f>-Расчет!X213</f>
        <v>0</v>
      </c>
      <c r="W59" s="228">
        <f>-Расчет!Y213</f>
        <v>-1746078.6885245908</v>
      </c>
      <c r="X59" s="228">
        <f>-Расчет!Z213</f>
        <v>-2196898.360655738</v>
      </c>
      <c r="Y59" s="228">
        <f>-Расчет!AA213</f>
        <v>-491700</v>
      </c>
      <c r="Z59" s="228">
        <f>-Расчет!AB213</f>
        <v>-2355148.6885245908</v>
      </c>
      <c r="AA59" s="228">
        <f>-Расчет!AC213</f>
        <v>-2866138.360655738</v>
      </c>
      <c r="AB59" s="228">
        <f>-Расчет!AD213</f>
        <v>-672210</v>
      </c>
      <c r="AC59" s="228">
        <f>-Расчет!AE213</f>
        <v>-732380</v>
      </c>
      <c r="AD59" s="228">
        <f>-Расчет!AF213</f>
        <v>-756448</v>
      </c>
      <c r="AE59" s="228">
        <f>-Расчет!AG213</f>
        <v>-780516</v>
      </c>
      <c r="AF59" s="228">
        <f>-Расчет!AH213</f>
        <v>-804584</v>
      </c>
      <c r="AG59" s="228">
        <f>-Расчет!AI213</f>
        <v>-828652</v>
      </c>
      <c r="AH59" s="228">
        <f>-Расчет!AJ213</f>
        <v>-852719.99999999814</v>
      </c>
      <c r="AI59" s="228">
        <f>-Расчет!AK213</f>
        <v>-876788</v>
      </c>
      <c r="AJ59" s="228">
        <f>-Расчет!AL213</f>
        <v>-900856</v>
      </c>
      <c r="AK59" s="228">
        <f>-Расчет!AM213</f>
        <v>-924924</v>
      </c>
      <c r="AL59" s="228">
        <f>-Расчет!AN213</f>
        <v>-948992</v>
      </c>
      <c r="AM59" s="228">
        <f>-Расчет!AO213</f>
        <v>-973060</v>
      </c>
      <c r="AN59" s="228">
        <f>-Расчет!AP213</f>
        <v>-997128</v>
      </c>
      <c r="AO59" s="228">
        <f>-Расчет!AQ213</f>
        <v>-1021196</v>
      </c>
      <c r="AP59" s="228">
        <f>-Расчет!AR213</f>
        <v>-1045264</v>
      </c>
      <c r="AQ59" s="228">
        <f>-Расчет!AS213</f>
        <v>-1069332</v>
      </c>
      <c r="AR59" s="228">
        <f>-Расчет!AT213</f>
        <v>-1093400</v>
      </c>
      <c r="AS59" s="228">
        <f>-Расчет!AU213</f>
        <v>-1117468</v>
      </c>
      <c r="AT59" s="228">
        <f>-Расчет!AV213</f>
        <v>-1141536</v>
      </c>
      <c r="AU59" s="228">
        <f>-Расчет!AW213</f>
        <v>-1165604</v>
      </c>
      <c r="AV59" s="228">
        <f>-Расчет!AX213</f>
        <v>-1189672</v>
      </c>
      <c r="AW59" s="228">
        <f>-Расчет!AY213</f>
        <v>-1213740</v>
      </c>
      <c r="AX59" s="228">
        <f>-Расчет!AZ213</f>
        <v>-1237808</v>
      </c>
      <c r="AY59" s="228">
        <f>-Расчет!BA213</f>
        <v>-1261876</v>
      </c>
      <c r="AZ59" s="228">
        <f>-Расчет!BB213</f>
        <v>-1285944</v>
      </c>
      <c r="BA59" s="228">
        <f>-Расчет!BC213</f>
        <v>-1310012</v>
      </c>
      <c r="BB59" s="228">
        <f>-Расчет!BD213</f>
        <v>-1334080</v>
      </c>
      <c r="BC59" s="228">
        <f>-Расчет!BE213</f>
        <v>-1358148</v>
      </c>
      <c r="BD59" s="228">
        <f>-Расчет!BF213</f>
        <v>-1382216</v>
      </c>
      <c r="BE59" s="228">
        <f>-Расчет!BG213</f>
        <v>-1406284</v>
      </c>
      <c r="BF59" s="228">
        <f>-Расчет!BH213</f>
        <v>-1430352</v>
      </c>
      <c r="BG59" s="228">
        <f>-Расчет!BI213</f>
        <v>-1454420</v>
      </c>
      <c r="BH59" s="228">
        <f>-Расчет!BJ213</f>
        <v>-1478488</v>
      </c>
      <c r="BI59" s="228">
        <f>-Расчет!BK213</f>
        <v>-1502556</v>
      </c>
      <c r="BJ59" s="228">
        <f>-Расчет!BL213</f>
        <v>-1526624</v>
      </c>
      <c r="BK59" s="228">
        <f>-Расчет!BM213</f>
        <v>-1550692</v>
      </c>
      <c r="BL59" s="228">
        <f>-Расчет!BN213</f>
        <v>-1574760</v>
      </c>
      <c r="BM59" s="228">
        <f>-Расчет!BO213</f>
        <v>-1598828</v>
      </c>
      <c r="BN59" s="228">
        <f>-Расчет!BP213</f>
        <v>-1622896</v>
      </c>
      <c r="BO59" s="228">
        <f>-Расчет!BQ213</f>
        <v>-1646964</v>
      </c>
      <c r="BP59" s="228">
        <f>-Расчет!BR213</f>
        <v>-1671032</v>
      </c>
      <c r="BQ59" s="228">
        <f>-Расчет!BS213</f>
        <v>-1695100</v>
      </c>
      <c r="BR59" s="228">
        <f>-Расчет!BT213</f>
        <v>-1719168</v>
      </c>
      <c r="BS59" s="228">
        <f>-Расчет!BU213</f>
        <v>-1743236</v>
      </c>
      <c r="BT59" s="228">
        <f>-Расчет!BV213</f>
        <v>-1767303.9999999925</v>
      </c>
      <c r="BU59" s="228">
        <f>-Расчет!BW213</f>
        <v>-1791372</v>
      </c>
      <c r="BV59" s="228">
        <f>-Расчет!BX213</f>
        <v>-1815440</v>
      </c>
      <c r="BW59" s="228">
        <f>-Расчет!BY213</f>
        <v>-1839508</v>
      </c>
      <c r="BX59" s="228">
        <f>-Расчет!BZ213</f>
        <v>-1863576</v>
      </c>
      <c r="BY59" s="228">
        <f>-Расчет!CA213</f>
        <v>-1887644</v>
      </c>
      <c r="BZ59" s="228">
        <f>-Расчет!CB213</f>
        <v>-1911712</v>
      </c>
      <c r="CA59" s="228">
        <f>-Расчет!CC213</f>
        <v>-1935780</v>
      </c>
      <c r="CB59" s="110"/>
      <c r="CC59" s="111"/>
    </row>
    <row r="60" spans="1:81" ht="15" customHeight="1" x14ac:dyDescent="0.3">
      <c r="A60" s="51"/>
      <c r="D60" s="132" t="s">
        <v>103</v>
      </c>
      <c r="I60" s="31" t="str">
        <f>Ввод!$M$12</f>
        <v>руб</v>
      </c>
      <c r="J60" s="31"/>
      <c r="K60" s="2"/>
      <c r="L60" s="191">
        <f t="shared" ref="L60" ca="1" si="34">SUM(N60:R60)</f>
        <v>-33210628.534698792</v>
      </c>
      <c r="M60" s="139"/>
      <c r="N60" s="191">
        <f t="shared" ca="1" si="28"/>
        <v>0</v>
      </c>
      <c r="O60" s="191">
        <f t="shared" ca="1" si="28"/>
        <v>-1702790.4970698641</v>
      </c>
      <c r="P60" s="191">
        <f t="shared" ca="1" si="28"/>
        <v>-6036332.2693414502</v>
      </c>
      <c r="Q60" s="191">
        <f t="shared" ca="1" si="28"/>
        <v>-10472123.94116188</v>
      </c>
      <c r="R60" s="191">
        <f t="shared" ca="1" si="28"/>
        <v>-14999381.827125598</v>
      </c>
      <c r="S60" s="139"/>
      <c r="T60" s="228">
        <f t="shared" ref="T60:AY60" ca="1" si="35">-T46</f>
        <v>0</v>
      </c>
      <c r="U60" s="228">
        <f t="shared" ca="1" si="35"/>
        <v>0</v>
      </c>
      <c r="V60" s="228">
        <f t="shared" ca="1" si="35"/>
        <v>0</v>
      </c>
      <c r="W60" s="228">
        <f t="shared" ca="1" si="35"/>
        <v>0</v>
      </c>
      <c r="X60" s="228">
        <f t="shared" ca="1" si="35"/>
        <v>0</v>
      </c>
      <c r="Y60" s="228">
        <f t="shared" ca="1" si="35"/>
        <v>0</v>
      </c>
      <c r="Z60" s="228">
        <f t="shared" ca="1" si="35"/>
        <v>0</v>
      </c>
      <c r="AA60" s="228">
        <f t="shared" ca="1" si="35"/>
        <v>0</v>
      </c>
      <c r="AB60" s="228">
        <f t="shared" ca="1" si="35"/>
        <v>0</v>
      </c>
      <c r="AC60" s="228">
        <f t="shared" ca="1" si="35"/>
        <v>0</v>
      </c>
      <c r="AD60" s="228">
        <f t="shared" ca="1" si="35"/>
        <v>0</v>
      </c>
      <c r="AE60" s="228">
        <f t="shared" ca="1" si="35"/>
        <v>0</v>
      </c>
      <c r="AF60" s="228">
        <f t="shared" ca="1" si="35"/>
        <v>0</v>
      </c>
      <c r="AG60" s="228">
        <f t="shared" ca="1" si="35"/>
        <v>-4852.4672539776657</v>
      </c>
      <c r="AH60" s="228">
        <f t="shared" ca="1" si="35"/>
        <v>-34731.222619056702</v>
      </c>
      <c r="AI60" s="228">
        <f t="shared" ca="1" si="35"/>
        <v>-64645.802018474322</v>
      </c>
      <c r="AJ60" s="228">
        <f t="shared" ca="1" si="35"/>
        <v>-94596.712959383614</v>
      </c>
      <c r="AK60" s="228">
        <f t="shared" ca="1" si="35"/>
        <v>-124584.47013862268</v>
      </c>
      <c r="AL60" s="228">
        <f t="shared" ca="1" si="35"/>
        <v>-154609.59554456733</v>
      </c>
      <c r="AM60" s="228">
        <f t="shared" ca="1" si="35"/>
        <v>-184672.61856042966</v>
      </c>
      <c r="AN60" s="228">
        <f t="shared" ca="1" si="35"/>
        <v>-214774.07606901694</v>
      </c>
      <c r="AO60" s="228">
        <f t="shared" ca="1" si="35"/>
        <v>-244914.51255897572</v>
      </c>
      <c r="AP60" s="228">
        <f t="shared" ca="1" si="35"/>
        <v>-275094.48023254192</v>
      </c>
      <c r="AQ60" s="228">
        <f t="shared" ca="1" si="35"/>
        <v>-305314.53911481751</v>
      </c>
      <c r="AR60" s="228">
        <f t="shared" ca="1" si="35"/>
        <v>-335575.25716459146</v>
      </c>
      <c r="AS60" s="228">
        <f t="shared" ca="1" si="35"/>
        <v>-365877.21038673772</v>
      </c>
      <c r="AT60" s="228">
        <f t="shared" ca="1" si="35"/>
        <v>-396220.9829461975</v>
      </c>
      <c r="AU60" s="228">
        <f t="shared" ca="1" si="35"/>
        <v>-426607.16728358297</v>
      </c>
      <c r="AV60" s="228">
        <f t="shared" ca="1" si="35"/>
        <v>-457036.3642324144</v>
      </c>
      <c r="AW60" s="228">
        <f t="shared" ca="1" si="35"/>
        <v>-487509.18313802127</v>
      </c>
      <c r="AX60" s="228">
        <f t="shared" ca="1" si="35"/>
        <v>-518026.24197812425</v>
      </c>
      <c r="AY60" s="228">
        <f t="shared" ca="1" si="35"/>
        <v>-548588.16748512862</v>
      </c>
      <c r="AZ60" s="228">
        <f t="shared" ref="AZ60:CA60" ca="1" si="36">-AZ46</f>
        <v>-579195.59527014894</v>
      </c>
      <c r="BA60" s="228">
        <f t="shared" ca="1" si="36"/>
        <v>-609849.16994879022</v>
      </c>
      <c r="BB60" s="228">
        <f t="shared" ca="1" si="36"/>
        <v>-640549.54526871257</v>
      </c>
      <c r="BC60" s="228">
        <f t="shared" ca="1" si="36"/>
        <v>-671297.38423900027</v>
      </c>
      <c r="BD60" s="228">
        <f t="shared" ca="1" si="36"/>
        <v>-702093.359261367</v>
      </c>
      <c r="BE60" s="228">
        <f t="shared" ca="1" si="36"/>
        <v>-732938.15226321761</v>
      </c>
      <c r="BF60" s="228">
        <f t="shared" ca="1" si="36"/>
        <v>-763832.45483259391</v>
      </c>
      <c r="BG60" s="228">
        <f t="shared" ca="1" si="36"/>
        <v>-794776.96835503681</v>
      </c>
      <c r="BH60" s="228">
        <f t="shared" ca="1" si="36"/>
        <v>-825772.40415238077</v>
      </c>
      <c r="BI60" s="228">
        <f t="shared" ca="1" si="36"/>
        <v>-856819.48362352047</v>
      </c>
      <c r="BJ60" s="228">
        <f t="shared" ca="1" si="36"/>
        <v>-887918.93838716811</v>
      </c>
      <c r="BK60" s="228">
        <f t="shared" ca="1" si="36"/>
        <v>-919071.51042663399</v>
      </c>
      <c r="BL60" s="228">
        <f t="shared" ca="1" si="36"/>
        <v>-950277.95223665889</v>
      </c>
      <c r="BM60" s="228">
        <f t="shared" ca="1" si="36"/>
        <v>-981539.02697232598</v>
      </c>
      <c r="BN60" s="228">
        <f t="shared" ca="1" si="36"/>
        <v>-1012855.5086000813</v>
      </c>
      <c r="BO60" s="228">
        <f t="shared" ca="1" si="36"/>
        <v>-1044228.1820508968</v>
      </c>
      <c r="BP60" s="228">
        <f t="shared" ca="1" si="36"/>
        <v>-1075657.843375599</v>
      </c>
      <c r="BQ60" s="228">
        <f t="shared" ca="1" si="36"/>
        <v>-1107145.2999024009</v>
      </c>
      <c r="BR60" s="228">
        <f t="shared" ca="1" si="36"/>
        <v>-1138691.3703966658</v>
      </c>
      <c r="BS60" s="228">
        <f t="shared" ca="1" si="36"/>
        <v>-1170296.8852229328</v>
      </c>
      <c r="BT60" s="228">
        <f t="shared" ca="1" si="36"/>
        <v>-1201962.686509239</v>
      </c>
      <c r="BU60" s="228">
        <f t="shared" ca="1" si="36"/>
        <v>-1233689.6283137673</v>
      </c>
      <c r="BV60" s="228">
        <f t="shared" ca="1" si="36"/>
        <v>-1265478.5767938602</v>
      </c>
      <c r="BW60" s="228">
        <f t="shared" ca="1" si="36"/>
        <v>-1297330.410377421</v>
      </c>
      <c r="BX60" s="228">
        <f t="shared" ca="1" si="36"/>
        <v>-1329246.0199367483</v>
      </c>
      <c r="BY60" s="228">
        <f t="shared" ca="1" si="36"/>
        <v>-1361226.3089648336</v>
      </c>
      <c r="BZ60" s="228">
        <f t="shared" ca="1" si="36"/>
        <v>-1393272.1937541496</v>
      </c>
      <c r="CA60" s="228">
        <f t="shared" ca="1" si="36"/>
        <v>-1425384.6035779812</v>
      </c>
      <c r="CB60" s="110"/>
      <c r="CC60" s="111"/>
    </row>
    <row r="61" spans="1:81" ht="15" customHeight="1" x14ac:dyDescent="0.3">
      <c r="A61" s="51"/>
      <c r="D61" s="189" t="s">
        <v>104</v>
      </c>
      <c r="E61" s="119"/>
      <c r="F61" s="119"/>
      <c r="G61" s="119"/>
      <c r="H61" s="119"/>
      <c r="I61" s="31" t="str">
        <f>Ввод!$M$12</f>
        <v>руб</v>
      </c>
      <c r="J61" s="31"/>
      <c r="K61" s="2"/>
      <c r="L61" s="191">
        <f>SUM(N61:R61)</f>
        <v>-49150.684931506636</v>
      </c>
      <c r="M61" s="139"/>
      <c r="N61" s="191">
        <f t="shared" si="28"/>
        <v>25019.178082191735</v>
      </c>
      <c r="O61" s="191">
        <f t="shared" si="28"/>
        <v>-18542.46575342468</v>
      </c>
      <c r="P61" s="191">
        <f t="shared" si="28"/>
        <v>-18542.465753424563</v>
      </c>
      <c r="Q61" s="191">
        <f t="shared" si="28"/>
        <v>-18542.46575342468</v>
      </c>
      <c r="R61" s="191">
        <f t="shared" si="28"/>
        <v>-18542.465753424447</v>
      </c>
      <c r="S61" s="139"/>
      <c r="T61" s="228">
        <f>-Расчет!V165</f>
        <v>42739.726027397257</v>
      </c>
      <c r="U61" s="228">
        <f>-Расчет!W165</f>
        <v>0</v>
      </c>
      <c r="V61" s="228">
        <f>-Расчет!X165</f>
        <v>0</v>
      </c>
      <c r="W61" s="228">
        <f>-Расчет!Y165</f>
        <v>0</v>
      </c>
      <c r="X61" s="228">
        <f>-Расчет!Z165</f>
        <v>0</v>
      </c>
      <c r="Y61" s="228">
        <f>-Расчет!AA165</f>
        <v>821.91780821921566</v>
      </c>
      <c r="Z61" s="228">
        <f>-Расчет!AB165</f>
        <v>-3863.0136986301513</v>
      </c>
      <c r="AA61" s="228">
        <f>-Расчет!AC165</f>
        <v>-3863.0136986301513</v>
      </c>
      <c r="AB61" s="228">
        <f>-Расчет!AD165</f>
        <v>-3863.0136986302095</v>
      </c>
      <c r="AC61" s="228">
        <f>-Расчет!AE165</f>
        <v>-3863.0136986301513</v>
      </c>
      <c r="AD61" s="228">
        <f>-Расчет!AF165</f>
        <v>-1545.2054794519208</v>
      </c>
      <c r="AE61" s="228">
        <f>-Расчет!AG165</f>
        <v>-1545.2054794521537</v>
      </c>
      <c r="AF61" s="228">
        <f>-Расчет!AH165</f>
        <v>-1545.2054794520373</v>
      </c>
      <c r="AG61" s="228">
        <f>-Расчет!AI165</f>
        <v>-1545.2054794520373</v>
      </c>
      <c r="AH61" s="228">
        <f>-Расчет!AJ165</f>
        <v>-1545.2054794520373</v>
      </c>
      <c r="AI61" s="228">
        <f>-Расчет!AK165</f>
        <v>-1545.2054794520373</v>
      </c>
      <c r="AJ61" s="228">
        <f>-Расчет!AL165</f>
        <v>-1545.2054794520373</v>
      </c>
      <c r="AK61" s="228">
        <f>-Расчет!AM165</f>
        <v>-1545.2054794521537</v>
      </c>
      <c r="AL61" s="228">
        <f>-Расчет!AN165</f>
        <v>-1545.2054794520373</v>
      </c>
      <c r="AM61" s="228">
        <f>-Расчет!AO165</f>
        <v>-1545.2054794519208</v>
      </c>
      <c r="AN61" s="228">
        <f>-Расчет!AP165</f>
        <v>-1545.2054794521537</v>
      </c>
      <c r="AO61" s="228">
        <f>-Расчет!AQ165</f>
        <v>-1545.2054794520373</v>
      </c>
      <c r="AP61" s="228">
        <f>-Расчет!AR165</f>
        <v>-1545.2054794521537</v>
      </c>
      <c r="AQ61" s="228">
        <f>-Расчет!AS165</f>
        <v>-1545.2054794520373</v>
      </c>
      <c r="AR61" s="228">
        <f>-Расчет!AT165</f>
        <v>-1545.2054794519208</v>
      </c>
      <c r="AS61" s="228">
        <f>-Расчет!AU165</f>
        <v>-1545.2054794521537</v>
      </c>
      <c r="AT61" s="228">
        <f>-Расчет!AV165</f>
        <v>-1545.2054794520373</v>
      </c>
      <c r="AU61" s="228">
        <f>-Расчет!AW165</f>
        <v>-1545.2054794520373</v>
      </c>
      <c r="AV61" s="228">
        <f>-Расчет!AX165</f>
        <v>-1545.2054794520373</v>
      </c>
      <c r="AW61" s="228">
        <f>-Расчет!AY165</f>
        <v>-1545.2054794520373</v>
      </c>
      <c r="AX61" s="228">
        <f>-Расчет!AZ165</f>
        <v>-1545.2054794520373</v>
      </c>
      <c r="AY61" s="228">
        <f>-Расчет!BA165</f>
        <v>-1545.2054794521537</v>
      </c>
      <c r="AZ61" s="228">
        <f>-Расчет!BB165</f>
        <v>-1545.2054794520373</v>
      </c>
      <c r="BA61" s="228">
        <f>-Расчет!BC165</f>
        <v>-1545.2054794519208</v>
      </c>
      <c r="BB61" s="228">
        <f>-Расчет!BD165</f>
        <v>-1545.2054794521537</v>
      </c>
      <c r="BC61" s="228">
        <f>-Расчет!BE165</f>
        <v>-1545.2054794520373</v>
      </c>
      <c r="BD61" s="228">
        <f>-Расчет!BF165</f>
        <v>-1545.2054794521537</v>
      </c>
      <c r="BE61" s="228">
        <f>-Расчет!BG165</f>
        <v>-1545.2054794520955</v>
      </c>
      <c r="BF61" s="228">
        <f>-Расчет!BH165</f>
        <v>-1545.2054794518044</v>
      </c>
      <c r="BG61" s="228">
        <f>-Расчет!BI165</f>
        <v>-1545.2054794523283</v>
      </c>
      <c r="BH61" s="228">
        <f>-Расчет!BJ165</f>
        <v>-1545.2054794519208</v>
      </c>
      <c r="BI61" s="228">
        <f>-Расчет!BK165</f>
        <v>-1545.2054794519208</v>
      </c>
      <c r="BJ61" s="228">
        <f>-Расчет!BL165</f>
        <v>-1545.2054794521537</v>
      </c>
      <c r="BK61" s="228">
        <f>-Расчет!BM165</f>
        <v>-1545.2054794521537</v>
      </c>
      <c r="BL61" s="228">
        <f>-Расчет!BN165</f>
        <v>-1545.2054794521537</v>
      </c>
      <c r="BM61" s="228">
        <f>-Расчет!BO165</f>
        <v>-1545.2054794519208</v>
      </c>
      <c r="BN61" s="228">
        <f>-Расчет!BP165</f>
        <v>-1545.2054794519208</v>
      </c>
      <c r="BO61" s="228">
        <f>-Расчет!BQ165</f>
        <v>-1545.2054794521537</v>
      </c>
      <c r="BP61" s="228">
        <f>-Расчет!BR165</f>
        <v>-1545.2054794519208</v>
      </c>
      <c r="BQ61" s="228">
        <f>-Расчет!BS165</f>
        <v>-1545.2054794523865</v>
      </c>
      <c r="BR61" s="228">
        <f>-Расчет!BT165</f>
        <v>-1545.2054794519208</v>
      </c>
      <c r="BS61" s="228">
        <f>-Расчет!BU165</f>
        <v>-1545.2054794519208</v>
      </c>
      <c r="BT61" s="228">
        <f>-Расчет!BV165</f>
        <v>-1545.2054794521537</v>
      </c>
      <c r="BU61" s="228">
        <f>-Расчет!BW165</f>
        <v>-1545.2054794519208</v>
      </c>
      <c r="BV61" s="228">
        <f>-Расчет!BX165</f>
        <v>-1545.2054794521537</v>
      </c>
      <c r="BW61" s="228">
        <f>-Расчет!BY165</f>
        <v>-1545.2054794521537</v>
      </c>
      <c r="BX61" s="228">
        <f>-Расчет!BZ165</f>
        <v>-1545.2054794519208</v>
      </c>
      <c r="BY61" s="228">
        <f>-Расчет!CA165</f>
        <v>-1545.2054794521537</v>
      </c>
      <c r="BZ61" s="228">
        <f>-Расчет!CB165</f>
        <v>-1545.2054794519208</v>
      </c>
      <c r="CA61" s="228">
        <f>-Расчет!CC165</f>
        <v>-1545.2054794519208</v>
      </c>
      <c r="CB61" s="110"/>
      <c r="CC61" s="111"/>
    </row>
    <row r="62" spans="1:81" ht="15" customHeight="1" x14ac:dyDescent="0.3">
      <c r="A62" s="51"/>
      <c r="D62" s="189"/>
      <c r="E62" s="119"/>
      <c r="F62" s="119"/>
      <c r="G62" s="119"/>
      <c r="H62" s="119"/>
      <c r="I62" s="31"/>
      <c r="J62" s="31"/>
      <c r="K62" s="2"/>
      <c r="L62" s="191"/>
      <c r="M62" s="139"/>
      <c r="N62" s="191"/>
      <c r="O62" s="191"/>
      <c r="P62" s="191"/>
      <c r="Q62" s="191"/>
      <c r="R62" s="191"/>
      <c r="S62" s="139"/>
      <c r="T62" s="228"/>
      <c r="U62" s="228"/>
      <c r="V62" s="228"/>
      <c r="W62" s="228"/>
      <c r="X62" s="228"/>
      <c r="Y62" s="228"/>
      <c r="Z62" s="228"/>
      <c r="AA62" s="228"/>
      <c r="AB62" s="228"/>
      <c r="AC62" s="228"/>
      <c r="AD62" s="228"/>
      <c r="AE62" s="228"/>
      <c r="AF62" s="228"/>
      <c r="AG62" s="228"/>
      <c r="AH62" s="228"/>
      <c r="AI62" s="228"/>
      <c r="AJ62" s="228"/>
      <c r="AK62" s="228"/>
      <c r="AL62" s="228"/>
      <c r="AM62" s="228"/>
      <c r="AN62" s="228"/>
      <c r="AO62" s="228"/>
      <c r="AP62" s="228"/>
      <c r="AQ62" s="228"/>
      <c r="AR62" s="228"/>
      <c r="AS62" s="228"/>
      <c r="AT62" s="228"/>
      <c r="AU62" s="228"/>
      <c r="AV62" s="228"/>
      <c r="AW62" s="228"/>
      <c r="AX62" s="228"/>
      <c r="AY62" s="228"/>
      <c r="AZ62" s="228"/>
      <c r="BA62" s="228"/>
      <c r="BB62" s="228"/>
      <c r="BC62" s="228"/>
      <c r="BD62" s="228"/>
      <c r="BE62" s="228"/>
      <c r="BF62" s="228"/>
      <c r="BG62" s="228"/>
      <c r="BH62" s="228"/>
      <c r="BI62" s="228"/>
      <c r="BJ62" s="228"/>
      <c r="BK62" s="228"/>
      <c r="BL62" s="228"/>
      <c r="BM62" s="228"/>
      <c r="BN62" s="228"/>
      <c r="BO62" s="228"/>
      <c r="BP62" s="228"/>
      <c r="BQ62" s="228"/>
      <c r="BR62" s="228"/>
      <c r="BS62" s="228"/>
      <c r="BT62" s="228"/>
      <c r="BU62" s="228"/>
      <c r="BV62" s="228"/>
      <c r="BW62" s="228"/>
      <c r="BX62" s="228"/>
      <c r="BY62" s="228"/>
      <c r="BZ62" s="228"/>
      <c r="CA62" s="228"/>
      <c r="CB62" s="110"/>
      <c r="CC62" s="111"/>
    </row>
    <row r="63" spans="1:81" ht="15" customHeight="1" x14ac:dyDescent="0.3">
      <c r="A63" s="51"/>
      <c r="D63" s="169" t="s">
        <v>105</v>
      </c>
      <c r="E63" s="60"/>
      <c r="F63" s="60"/>
      <c r="G63" s="60"/>
      <c r="H63" s="60"/>
      <c r="I63" s="6" t="str">
        <f>Ввод!$M$12</f>
        <v>руб</v>
      </c>
      <c r="J63" s="6"/>
      <c r="K63" s="49"/>
      <c r="L63" s="225">
        <f>SUM(N63:R63)</f>
        <v>-49180327.868852459</v>
      </c>
      <c r="M63" s="139"/>
      <c r="N63" s="225">
        <f t="shared" ref="N63:R64" si="37">SUMIF($T$4:$EI$4,N$4,$T63:$EI63)</f>
        <v>-49180327.868852459</v>
      </c>
      <c r="O63" s="225">
        <f t="shared" si="37"/>
        <v>0</v>
      </c>
      <c r="P63" s="225">
        <f t="shared" si="37"/>
        <v>0</v>
      </c>
      <c r="Q63" s="225">
        <f t="shared" si="37"/>
        <v>0</v>
      </c>
      <c r="R63" s="225">
        <f t="shared" si="37"/>
        <v>0</v>
      </c>
      <c r="S63" s="139"/>
      <c r="T63" s="225">
        <f t="shared" ref="T63:AY63" si="38">SUM(T64:T64)</f>
        <v>-12295081.967213115</v>
      </c>
      <c r="U63" s="225">
        <f t="shared" si="38"/>
        <v>0</v>
      </c>
      <c r="V63" s="225">
        <f t="shared" si="38"/>
        <v>0</v>
      </c>
      <c r="W63" s="225">
        <f t="shared" si="38"/>
        <v>-8196721.3114754101</v>
      </c>
      <c r="X63" s="225">
        <f t="shared" si="38"/>
        <v>-10245901.639344262</v>
      </c>
      <c r="Y63" s="225">
        <f t="shared" si="38"/>
        <v>0</v>
      </c>
      <c r="Z63" s="225">
        <f t="shared" si="38"/>
        <v>-8196721.3114754101</v>
      </c>
      <c r="AA63" s="225">
        <f t="shared" si="38"/>
        <v>-10245901.639344262</v>
      </c>
      <c r="AB63" s="225">
        <f t="shared" si="38"/>
        <v>0</v>
      </c>
      <c r="AC63" s="225">
        <f t="shared" si="38"/>
        <v>0</v>
      </c>
      <c r="AD63" s="225">
        <f t="shared" si="38"/>
        <v>0</v>
      </c>
      <c r="AE63" s="225">
        <f t="shared" si="38"/>
        <v>0</v>
      </c>
      <c r="AF63" s="225">
        <f t="shared" si="38"/>
        <v>0</v>
      </c>
      <c r="AG63" s="225">
        <f t="shared" si="38"/>
        <v>0</v>
      </c>
      <c r="AH63" s="225">
        <f t="shared" si="38"/>
        <v>0</v>
      </c>
      <c r="AI63" s="225">
        <f t="shared" si="38"/>
        <v>0</v>
      </c>
      <c r="AJ63" s="225">
        <f t="shared" si="38"/>
        <v>0</v>
      </c>
      <c r="AK63" s="225">
        <f t="shared" si="38"/>
        <v>0</v>
      </c>
      <c r="AL63" s="225">
        <f t="shared" si="38"/>
        <v>0</v>
      </c>
      <c r="AM63" s="225">
        <f t="shared" si="38"/>
        <v>0</v>
      </c>
      <c r="AN63" s="225">
        <f t="shared" si="38"/>
        <v>0</v>
      </c>
      <c r="AO63" s="225">
        <f t="shared" si="38"/>
        <v>0</v>
      </c>
      <c r="AP63" s="225">
        <f t="shared" si="38"/>
        <v>0</v>
      </c>
      <c r="AQ63" s="225">
        <f t="shared" si="38"/>
        <v>0</v>
      </c>
      <c r="AR63" s="225">
        <f t="shared" si="38"/>
        <v>0</v>
      </c>
      <c r="AS63" s="225">
        <f t="shared" si="38"/>
        <v>0</v>
      </c>
      <c r="AT63" s="225">
        <f t="shared" si="38"/>
        <v>0</v>
      </c>
      <c r="AU63" s="225">
        <f t="shared" si="38"/>
        <v>0</v>
      </c>
      <c r="AV63" s="225">
        <f t="shared" si="38"/>
        <v>0</v>
      </c>
      <c r="AW63" s="225">
        <f t="shared" si="38"/>
        <v>0</v>
      </c>
      <c r="AX63" s="225">
        <f t="shared" si="38"/>
        <v>0</v>
      </c>
      <c r="AY63" s="225">
        <f t="shared" si="38"/>
        <v>0</v>
      </c>
      <c r="AZ63" s="225">
        <f t="shared" ref="AZ63:CA63" si="39">SUM(AZ64:AZ64)</f>
        <v>0</v>
      </c>
      <c r="BA63" s="225">
        <f t="shared" si="39"/>
        <v>0</v>
      </c>
      <c r="BB63" s="225">
        <f t="shared" si="39"/>
        <v>0</v>
      </c>
      <c r="BC63" s="225">
        <f t="shared" si="39"/>
        <v>0</v>
      </c>
      <c r="BD63" s="225">
        <f t="shared" si="39"/>
        <v>0</v>
      </c>
      <c r="BE63" s="225">
        <f t="shared" si="39"/>
        <v>0</v>
      </c>
      <c r="BF63" s="225">
        <f t="shared" si="39"/>
        <v>0</v>
      </c>
      <c r="BG63" s="225">
        <f t="shared" si="39"/>
        <v>0</v>
      </c>
      <c r="BH63" s="225">
        <f t="shared" si="39"/>
        <v>0</v>
      </c>
      <c r="BI63" s="225">
        <f t="shared" si="39"/>
        <v>0</v>
      </c>
      <c r="BJ63" s="225">
        <f t="shared" si="39"/>
        <v>0</v>
      </c>
      <c r="BK63" s="225">
        <f t="shared" si="39"/>
        <v>0</v>
      </c>
      <c r="BL63" s="225">
        <f t="shared" si="39"/>
        <v>0</v>
      </c>
      <c r="BM63" s="225">
        <f t="shared" si="39"/>
        <v>0</v>
      </c>
      <c r="BN63" s="225">
        <f t="shared" si="39"/>
        <v>0</v>
      </c>
      <c r="BO63" s="225">
        <f t="shared" si="39"/>
        <v>0</v>
      </c>
      <c r="BP63" s="225">
        <f t="shared" si="39"/>
        <v>0</v>
      </c>
      <c r="BQ63" s="225">
        <f t="shared" si="39"/>
        <v>0</v>
      </c>
      <c r="BR63" s="225">
        <f t="shared" si="39"/>
        <v>0</v>
      </c>
      <c r="BS63" s="225">
        <f t="shared" si="39"/>
        <v>0</v>
      </c>
      <c r="BT63" s="225">
        <f t="shared" si="39"/>
        <v>0</v>
      </c>
      <c r="BU63" s="225">
        <f t="shared" si="39"/>
        <v>0</v>
      </c>
      <c r="BV63" s="225">
        <f t="shared" si="39"/>
        <v>0</v>
      </c>
      <c r="BW63" s="225">
        <f t="shared" si="39"/>
        <v>0</v>
      </c>
      <c r="BX63" s="225">
        <f t="shared" si="39"/>
        <v>0</v>
      </c>
      <c r="BY63" s="225">
        <f t="shared" si="39"/>
        <v>0</v>
      </c>
      <c r="BZ63" s="225">
        <f t="shared" si="39"/>
        <v>0</v>
      </c>
      <c r="CA63" s="225">
        <f t="shared" si="39"/>
        <v>0</v>
      </c>
      <c r="CB63" s="110"/>
      <c r="CC63" s="111"/>
    </row>
    <row r="64" spans="1:81" ht="15" customHeight="1" x14ac:dyDescent="0.3">
      <c r="A64" s="51"/>
      <c r="D64" s="132" t="s">
        <v>106</v>
      </c>
      <c r="I64" s="31" t="str">
        <f>Ввод!$M$12</f>
        <v>руб</v>
      </c>
      <c r="J64" s="31"/>
      <c r="K64" s="2"/>
      <c r="L64" s="191">
        <f>SUM(N64:R64)</f>
        <v>-49180327.868852459</v>
      </c>
      <c r="M64" s="139"/>
      <c r="N64" s="191">
        <f t="shared" si="37"/>
        <v>-49180327.868852459</v>
      </c>
      <c r="O64" s="191">
        <f t="shared" si="37"/>
        <v>0</v>
      </c>
      <c r="P64" s="191">
        <f t="shared" si="37"/>
        <v>0</v>
      </c>
      <c r="Q64" s="191">
        <f t="shared" si="37"/>
        <v>0</v>
      </c>
      <c r="R64" s="191">
        <f t="shared" si="37"/>
        <v>0</v>
      </c>
      <c r="S64" s="139"/>
      <c r="T64" s="228">
        <f>-Расчет!V184</f>
        <v>-12295081.967213115</v>
      </c>
      <c r="U64" s="228">
        <f>-Расчет!W184</f>
        <v>0</v>
      </c>
      <c r="V64" s="228">
        <f>-Расчет!X184</f>
        <v>0</v>
      </c>
      <c r="W64" s="228">
        <f>-Расчет!Y184</f>
        <v>-8196721.3114754101</v>
      </c>
      <c r="X64" s="228">
        <f>-Расчет!Z184</f>
        <v>-10245901.639344262</v>
      </c>
      <c r="Y64" s="228">
        <f>-Расчет!AA184</f>
        <v>0</v>
      </c>
      <c r="Z64" s="228">
        <f>-Расчет!AB184</f>
        <v>-8196721.3114754101</v>
      </c>
      <c r="AA64" s="228">
        <f>-Расчет!AC184</f>
        <v>-10245901.639344262</v>
      </c>
      <c r="AB64" s="228">
        <f>-Расчет!AD184</f>
        <v>0</v>
      </c>
      <c r="AC64" s="228">
        <f>-Расчет!AE184</f>
        <v>0</v>
      </c>
      <c r="AD64" s="228">
        <f>-Расчет!AF184</f>
        <v>0</v>
      </c>
      <c r="AE64" s="228">
        <f>-Расчет!AG184</f>
        <v>0</v>
      </c>
      <c r="AF64" s="228">
        <f>-Расчет!AH184</f>
        <v>0</v>
      </c>
      <c r="AG64" s="228">
        <f>-Расчет!AI184</f>
        <v>0</v>
      </c>
      <c r="AH64" s="228">
        <f>-Расчет!AJ184</f>
        <v>0</v>
      </c>
      <c r="AI64" s="228">
        <f>-Расчет!AK184</f>
        <v>0</v>
      </c>
      <c r="AJ64" s="228">
        <f>-Расчет!AL184</f>
        <v>0</v>
      </c>
      <c r="AK64" s="228">
        <f>-Расчет!AM184</f>
        <v>0</v>
      </c>
      <c r="AL64" s="228">
        <f>-Расчет!AN184</f>
        <v>0</v>
      </c>
      <c r="AM64" s="228">
        <f>-Расчет!AO184</f>
        <v>0</v>
      </c>
      <c r="AN64" s="228">
        <f>-Расчет!AP184</f>
        <v>0</v>
      </c>
      <c r="AO64" s="228">
        <f>-Расчет!AQ184</f>
        <v>0</v>
      </c>
      <c r="AP64" s="228">
        <f>-Расчет!AR184</f>
        <v>0</v>
      </c>
      <c r="AQ64" s="228">
        <f>-Расчет!AS184</f>
        <v>0</v>
      </c>
      <c r="AR64" s="228">
        <f>-Расчет!AT184</f>
        <v>0</v>
      </c>
      <c r="AS64" s="228">
        <f>-Расчет!AU184</f>
        <v>0</v>
      </c>
      <c r="AT64" s="228">
        <f>-Расчет!AV184</f>
        <v>0</v>
      </c>
      <c r="AU64" s="228">
        <f>-Расчет!AW184</f>
        <v>0</v>
      </c>
      <c r="AV64" s="228">
        <f>-Расчет!AX184</f>
        <v>0</v>
      </c>
      <c r="AW64" s="228">
        <f>-Расчет!AY184</f>
        <v>0</v>
      </c>
      <c r="AX64" s="228">
        <f>-Расчет!AZ184</f>
        <v>0</v>
      </c>
      <c r="AY64" s="228">
        <f>-Расчет!BA184</f>
        <v>0</v>
      </c>
      <c r="AZ64" s="228">
        <f>-Расчет!BB184</f>
        <v>0</v>
      </c>
      <c r="BA64" s="228">
        <f>-Расчет!BC184</f>
        <v>0</v>
      </c>
      <c r="BB64" s="228">
        <f>-Расчет!BD184</f>
        <v>0</v>
      </c>
      <c r="BC64" s="228">
        <f>-Расчет!BE184</f>
        <v>0</v>
      </c>
      <c r="BD64" s="228">
        <f>-Расчет!BF184</f>
        <v>0</v>
      </c>
      <c r="BE64" s="228">
        <f>-Расчет!BG184</f>
        <v>0</v>
      </c>
      <c r="BF64" s="228">
        <f>-Расчет!BH184</f>
        <v>0</v>
      </c>
      <c r="BG64" s="228">
        <f>-Расчет!BI184</f>
        <v>0</v>
      </c>
      <c r="BH64" s="228">
        <f>-Расчет!BJ184</f>
        <v>0</v>
      </c>
      <c r="BI64" s="228">
        <f>-Расчет!BK184</f>
        <v>0</v>
      </c>
      <c r="BJ64" s="228">
        <f>-Расчет!BL184</f>
        <v>0</v>
      </c>
      <c r="BK64" s="228">
        <f>-Расчет!BM184</f>
        <v>0</v>
      </c>
      <c r="BL64" s="228">
        <f>-Расчет!BN184</f>
        <v>0</v>
      </c>
      <c r="BM64" s="228">
        <f>-Расчет!BO184</f>
        <v>0</v>
      </c>
      <c r="BN64" s="228">
        <f>-Расчет!BP184</f>
        <v>0</v>
      </c>
      <c r="BO64" s="228">
        <f>-Расчет!BQ184</f>
        <v>0</v>
      </c>
      <c r="BP64" s="228">
        <f>-Расчет!BR184</f>
        <v>0</v>
      </c>
      <c r="BQ64" s="228">
        <f>-Расчет!BS184</f>
        <v>0</v>
      </c>
      <c r="BR64" s="228">
        <f>-Расчет!BT184</f>
        <v>0</v>
      </c>
      <c r="BS64" s="228">
        <f>-Расчет!BU184</f>
        <v>0</v>
      </c>
      <c r="BT64" s="228">
        <f>-Расчет!BV184</f>
        <v>0</v>
      </c>
      <c r="BU64" s="228">
        <f>-Расчет!BW184</f>
        <v>0</v>
      </c>
      <c r="BV64" s="228">
        <f>-Расчет!BX184</f>
        <v>0</v>
      </c>
      <c r="BW64" s="228">
        <f>-Расчет!BY184</f>
        <v>0</v>
      </c>
      <c r="BX64" s="228">
        <f>-Расчет!BZ184</f>
        <v>0</v>
      </c>
      <c r="BY64" s="228">
        <f>-Расчет!CA184</f>
        <v>0</v>
      </c>
      <c r="BZ64" s="228">
        <f>-Расчет!CB184</f>
        <v>0</v>
      </c>
      <c r="CA64" s="228">
        <f>-Расчет!CC184</f>
        <v>0</v>
      </c>
      <c r="CB64" s="110"/>
      <c r="CC64" s="111"/>
    </row>
    <row r="65" spans="1:81" ht="15" customHeight="1" x14ac:dyDescent="0.3">
      <c r="A65" s="51"/>
      <c r="D65" s="132"/>
      <c r="I65" s="31"/>
      <c r="J65" s="31"/>
      <c r="K65" s="2"/>
      <c r="L65" s="191"/>
      <c r="M65" s="139"/>
      <c r="N65" s="191"/>
      <c r="O65" s="191"/>
      <c r="P65" s="191"/>
      <c r="Q65" s="191"/>
      <c r="R65" s="191"/>
      <c r="S65" s="139"/>
      <c r="T65" s="237"/>
      <c r="U65" s="237"/>
      <c r="V65" s="237"/>
      <c r="W65" s="237"/>
      <c r="X65" s="237"/>
      <c r="Y65" s="237"/>
      <c r="Z65" s="237"/>
      <c r="AA65" s="237"/>
      <c r="AB65" s="237"/>
      <c r="AC65" s="237"/>
      <c r="AD65" s="237"/>
      <c r="AE65" s="237"/>
      <c r="AF65" s="237"/>
      <c r="AG65" s="237"/>
      <c r="AH65" s="237"/>
      <c r="AI65" s="237"/>
      <c r="AJ65" s="237"/>
      <c r="AK65" s="237"/>
      <c r="AL65" s="237"/>
      <c r="AM65" s="237"/>
      <c r="AN65" s="237"/>
      <c r="AO65" s="237"/>
      <c r="AP65" s="237"/>
      <c r="AQ65" s="237"/>
      <c r="AR65" s="237"/>
      <c r="AS65" s="237"/>
      <c r="AT65" s="237"/>
      <c r="AU65" s="237"/>
      <c r="AV65" s="237"/>
      <c r="AW65" s="237"/>
      <c r="AX65" s="237"/>
      <c r="AY65" s="237"/>
      <c r="AZ65" s="237"/>
      <c r="BA65" s="237"/>
      <c r="BB65" s="237"/>
      <c r="BC65" s="237"/>
      <c r="BD65" s="237"/>
      <c r="BE65" s="237"/>
      <c r="BF65" s="237"/>
      <c r="BG65" s="237"/>
      <c r="BH65" s="237"/>
      <c r="BI65" s="237"/>
      <c r="BJ65" s="237"/>
      <c r="BK65" s="237"/>
      <c r="BL65" s="237"/>
      <c r="BM65" s="237"/>
      <c r="BN65" s="237"/>
      <c r="BO65" s="237"/>
      <c r="BP65" s="237"/>
      <c r="BQ65" s="237"/>
      <c r="BR65" s="237"/>
      <c r="BS65" s="237"/>
      <c r="BT65" s="237"/>
      <c r="BU65" s="237"/>
      <c r="BV65" s="237"/>
      <c r="BW65" s="237"/>
      <c r="BX65" s="237"/>
      <c r="BY65" s="237"/>
      <c r="BZ65" s="237"/>
      <c r="CA65" s="237"/>
      <c r="CB65" s="42"/>
      <c r="CC65" s="111"/>
    </row>
    <row r="66" spans="1:81" ht="15" customHeight="1" x14ac:dyDescent="0.3">
      <c r="A66" s="51"/>
      <c r="D66" s="169" t="s">
        <v>107</v>
      </c>
      <c r="E66" s="60"/>
      <c r="F66" s="60"/>
      <c r="G66" s="60"/>
      <c r="H66" s="60"/>
      <c r="I66" s="6" t="str">
        <f>Ввод!$M$12</f>
        <v>руб</v>
      </c>
      <c r="J66" s="6"/>
      <c r="K66" s="49"/>
      <c r="L66" s="225">
        <f ca="1">SUM(N66:R66)</f>
        <v>-15015462.045816891</v>
      </c>
      <c r="M66" s="139"/>
      <c r="N66" s="225">
        <f ca="1">SUMIF($T$4:$EI$4,N$4,$T66:$EI66)</f>
        <v>50613508.690770261</v>
      </c>
      <c r="O66" s="225">
        <f ca="1">SUMIF($T$4:$EI$4,O$4,$T66:$EI66)</f>
        <v>-15839186.240808224</v>
      </c>
      <c r="P66" s="225">
        <f ca="1">SUMIF($T$4:$EI$4,P$4,$T66:$EI66)</f>
        <v>-16596594.831926309</v>
      </c>
      <c r="Q66" s="225">
        <f ca="1">SUMIF($T$4:$EI$4,Q$4,$T66:$EI66)</f>
        <v>-16596594.831926309</v>
      </c>
      <c r="R66" s="225">
        <f ca="1">SUMIF($T$4:$EI$4,R$4,$T66:$EI66)</f>
        <v>-16596594.831926309</v>
      </c>
      <c r="S66" s="139"/>
      <c r="T66" s="225">
        <f t="shared" ref="T66:AY66" ca="1" si="40">SUM(T68:T72)</f>
        <v>13212342.241185717</v>
      </c>
      <c r="U66" s="225">
        <f t="shared" ca="1" si="40"/>
        <v>1017200</v>
      </c>
      <c r="V66" s="225">
        <f t="shared" ca="1" si="40"/>
        <v>1017200.0000000001</v>
      </c>
      <c r="W66" s="225">
        <f t="shared" ca="1" si="40"/>
        <v>9156721.3114754111</v>
      </c>
      <c r="X66" s="225">
        <f t="shared" ca="1" si="40"/>
        <v>12335901.639344262</v>
      </c>
      <c r="Y66" s="225">
        <f t="shared" ca="1" si="40"/>
        <v>-405821.91780821921</v>
      </c>
      <c r="Z66" s="225">
        <f t="shared" ca="1" si="40"/>
        <v>7522084.3251740411</v>
      </c>
      <c r="AA66" s="225">
        <f t="shared" ca="1" si="40"/>
        <v>9717764.653042892</v>
      </c>
      <c r="AB66" s="225">
        <f t="shared" ca="1" si="40"/>
        <v>-451636.98630136973</v>
      </c>
      <c r="AC66" s="225">
        <f t="shared" ca="1" si="40"/>
        <v>-725136.98630136997</v>
      </c>
      <c r="AD66" s="225">
        <f t="shared" ca="1" si="40"/>
        <v>-836854.79452054808</v>
      </c>
      <c r="AE66" s="225">
        <f t="shared" ca="1" si="40"/>
        <v>-946254.79452054785</v>
      </c>
      <c r="AF66" s="225">
        <f t="shared" ca="1" si="40"/>
        <v>-1055654.7945205481</v>
      </c>
      <c r="AG66" s="225">
        <f t="shared" ca="1" si="40"/>
        <v>-1160202.3272665702</v>
      </c>
      <c r="AH66" s="225">
        <f t="shared" ca="1" si="40"/>
        <v>-1239723.5719014932</v>
      </c>
      <c r="AI66" s="225">
        <f t="shared" ca="1" si="40"/>
        <v>-1319208.9925020738</v>
      </c>
      <c r="AJ66" s="225">
        <f t="shared" ca="1" si="40"/>
        <v>-1383049.5693271924</v>
      </c>
      <c r="AK66" s="225">
        <f t="shared" ca="1" si="40"/>
        <v>-1383049.5693271924</v>
      </c>
      <c r="AL66" s="225">
        <f t="shared" ca="1" si="40"/>
        <v>-1383049.5693271924</v>
      </c>
      <c r="AM66" s="225">
        <f t="shared" ca="1" si="40"/>
        <v>-1383049.5693271924</v>
      </c>
      <c r="AN66" s="225">
        <f t="shared" ca="1" si="40"/>
        <v>-1383049.5693271924</v>
      </c>
      <c r="AO66" s="225">
        <f t="shared" ca="1" si="40"/>
        <v>-1383049.5693271924</v>
      </c>
      <c r="AP66" s="225">
        <f t="shared" ca="1" si="40"/>
        <v>-1383049.5693271924</v>
      </c>
      <c r="AQ66" s="225">
        <f t="shared" ca="1" si="40"/>
        <v>-1383049.5693271924</v>
      </c>
      <c r="AR66" s="225">
        <f t="shared" ca="1" si="40"/>
        <v>-1383049.5693271924</v>
      </c>
      <c r="AS66" s="225">
        <f t="shared" ca="1" si="40"/>
        <v>-1383049.5693271924</v>
      </c>
      <c r="AT66" s="225">
        <f t="shared" ca="1" si="40"/>
        <v>-1383049.5693271924</v>
      </c>
      <c r="AU66" s="225">
        <f t="shared" ca="1" si="40"/>
        <v>-1383049.5693271924</v>
      </c>
      <c r="AV66" s="225">
        <f t="shared" ca="1" si="40"/>
        <v>-1383049.5693271924</v>
      </c>
      <c r="AW66" s="225">
        <f t="shared" ca="1" si="40"/>
        <v>-1383049.5693271924</v>
      </c>
      <c r="AX66" s="225">
        <f t="shared" ca="1" si="40"/>
        <v>-1383049.5693271924</v>
      </c>
      <c r="AY66" s="225">
        <f t="shared" ca="1" si="40"/>
        <v>-1383049.5693271924</v>
      </c>
      <c r="AZ66" s="225">
        <f t="shared" ref="AZ66:CA66" ca="1" si="41">SUM(AZ68:AZ72)</f>
        <v>-1383049.5693271924</v>
      </c>
      <c r="BA66" s="225">
        <f t="shared" ca="1" si="41"/>
        <v>-1383049.5693271924</v>
      </c>
      <c r="BB66" s="225">
        <f t="shared" ca="1" si="41"/>
        <v>-1383049.5693271924</v>
      </c>
      <c r="BC66" s="225">
        <f t="shared" ca="1" si="41"/>
        <v>-1383049.5693271924</v>
      </c>
      <c r="BD66" s="225">
        <f t="shared" ca="1" si="41"/>
        <v>-1383049.5693271924</v>
      </c>
      <c r="BE66" s="225">
        <f t="shared" ca="1" si="41"/>
        <v>-1383049.5693271924</v>
      </c>
      <c r="BF66" s="225">
        <f t="shared" ca="1" si="41"/>
        <v>-1383049.5693271924</v>
      </c>
      <c r="BG66" s="225">
        <f t="shared" ca="1" si="41"/>
        <v>-1383049.5693271924</v>
      </c>
      <c r="BH66" s="225">
        <f t="shared" ca="1" si="41"/>
        <v>-1383049.5693271924</v>
      </c>
      <c r="BI66" s="225">
        <f t="shared" ca="1" si="41"/>
        <v>-1383049.5693271924</v>
      </c>
      <c r="BJ66" s="225">
        <f t="shared" ca="1" si="41"/>
        <v>-1383049.5693271924</v>
      </c>
      <c r="BK66" s="225">
        <f t="shared" ca="1" si="41"/>
        <v>-1383049.5693271924</v>
      </c>
      <c r="BL66" s="225">
        <f t="shared" ca="1" si="41"/>
        <v>-1383049.5693271924</v>
      </c>
      <c r="BM66" s="225">
        <f t="shared" ca="1" si="41"/>
        <v>-1383049.5693271924</v>
      </c>
      <c r="BN66" s="225">
        <f t="shared" ca="1" si="41"/>
        <v>-1383049.5693271924</v>
      </c>
      <c r="BO66" s="225">
        <f t="shared" ca="1" si="41"/>
        <v>-1383049.5693271924</v>
      </c>
      <c r="BP66" s="225">
        <f t="shared" ca="1" si="41"/>
        <v>-1383049.5693271924</v>
      </c>
      <c r="BQ66" s="225">
        <f t="shared" ca="1" si="41"/>
        <v>-1383049.5693271924</v>
      </c>
      <c r="BR66" s="225">
        <f t="shared" ca="1" si="41"/>
        <v>-1383049.5693271924</v>
      </c>
      <c r="BS66" s="225">
        <f t="shared" ca="1" si="41"/>
        <v>-1383049.5693271924</v>
      </c>
      <c r="BT66" s="225">
        <f t="shared" ca="1" si="41"/>
        <v>-1383049.5693271924</v>
      </c>
      <c r="BU66" s="225">
        <f t="shared" ca="1" si="41"/>
        <v>-1383049.5693271924</v>
      </c>
      <c r="BV66" s="225">
        <f t="shared" ca="1" si="41"/>
        <v>-1383049.5693271924</v>
      </c>
      <c r="BW66" s="225">
        <f t="shared" ca="1" si="41"/>
        <v>-1383049.5693271924</v>
      </c>
      <c r="BX66" s="225">
        <f t="shared" ca="1" si="41"/>
        <v>-1383049.5693271924</v>
      </c>
      <c r="BY66" s="225">
        <f t="shared" ca="1" si="41"/>
        <v>-1383049.5693271924</v>
      </c>
      <c r="BZ66" s="225">
        <f t="shared" ca="1" si="41"/>
        <v>-1383049.5693271924</v>
      </c>
      <c r="CA66" s="225">
        <f t="shared" ca="1" si="41"/>
        <v>-1383049.5693271924</v>
      </c>
      <c r="CB66" s="42"/>
      <c r="CC66" s="111"/>
    </row>
    <row r="67" spans="1:81" ht="15" customHeight="1" x14ac:dyDescent="0.3">
      <c r="A67" s="51"/>
      <c r="D67" s="132" t="s">
        <v>58</v>
      </c>
      <c r="I67" s="6"/>
      <c r="J67" s="6"/>
      <c r="K67" s="49"/>
      <c r="L67" s="225"/>
      <c r="M67" s="139"/>
      <c r="N67" s="225"/>
      <c r="O67" s="225"/>
      <c r="P67" s="225"/>
      <c r="Q67" s="225"/>
      <c r="R67" s="225"/>
      <c r="S67" s="139"/>
      <c r="T67" s="225"/>
      <c r="U67" s="225"/>
      <c r="V67" s="225"/>
      <c r="W67" s="225"/>
      <c r="X67" s="225"/>
      <c r="Y67" s="225"/>
      <c r="Z67" s="225"/>
      <c r="AA67" s="225"/>
      <c r="AB67" s="225"/>
      <c r="AC67" s="225"/>
      <c r="AD67" s="225"/>
      <c r="AE67" s="225"/>
      <c r="AF67" s="225"/>
      <c r="AG67" s="225"/>
      <c r="AH67" s="225"/>
      <c r="AI67" s="225"/>
      <c r="AJ67" s="225"/>
      <c r="AK67" s="225"/>
      <c r="AL67" s="225"/>
      <c r="AM67" s="225"/>
      <c r="AN67" s="225"/>
      <c r="AO67" s="225"/>
      <c r="AP67" s="225"/>
      <c r="AQ67" s="225"/>
      <c r="AR67" s="225"/>
      <c r="AS67" s="225"/>
      <c r="AT67" s="225"/>
      <c r="AU67" s="225"/>
      <c r="AV67" s="225"/>
      <c r="AW67" s="225"/>
      <c r="AX67" s="225"/>
      <c r="AY67" s="225"/>
      <c r="AZ67" s="225"/>
      <c r="BA67" s="225"/>
      <c r="BB67" s="225"/>
      <c r="BC67" s="225"/>
      <c r="BD67" s="225"/>
      <c r="BE67" s="225"/>
      <c r="BF67" s="225"/>
      <c r="BG67" s="225"/>
      <c r="BH67" s="225"/>
      <c r="BI67" s="225"/>
      <c r="BJ67" s="225"/>
      <c r="BK67" s="225"/>
      <c r="BL67" s="225"/>
      <c r="BM67" s="225"/>
      <c r="BN67" s="225"/>
      <c r="BO67" s="225"/>
      <c r="BP67" s="225"/>
      <c r="BQ67" s="225"/>
      <c r="BR67" s="225"/>
      <c r="BS67" s="225"/>
      <c r="BT67" s="225"/>
      <c r="BU67" s="225"/>
      <c r="BV67" s="225"/>
      <c r="BW67" s="225"/>
      <c r="BX67" s="225"/>
      <c r="BY67" s="225"/>
      <c r="BZ67" s="225"/>
      <c r="CA67" s="225"/>
      <c r="CB67" s="42"/>
      <c r="CC67" s="111"/>
    </row>
    <row r="68" spans="1:81" s="65" customFormat="1" ht="15" customHeight="1" x14ac:dyDescent="0.3">
      <c r="A68" s="66"/>
      <c r="D68" s="131" t="s">
        <v>128</v>
      </c>
      <c r="E68" s="114"/>
      <c r="F68" s="114"/>
      <c r="G68" s="114"/>
      <c r="H68" s="114"/>
      <c r="I68" s="31" t="str">
        <f>Ввод!$M$12</f>
        <v>руб</v>
      </c>
      <c r="J68" s="31"/>
      <c r="K68" s="2"/>
      <c r="L68" s="191">
        <f ca="1">SUM(N68:R68)</f>
        <v>56967512.113814652</v>
      </c>
      <c r="M68" s="139"/>
      <c r="N68" s="191">
        <f t="shared" ref="N68:R70" ca="1" si="42">SUMIF($T$4:$EI$4,N$4,$T68:$EI68)</f>
        <v>56210103.52269657</v>
      </c>
      <c r="O68" s="191">
        <f t="shared" ca="1" si="42"/>
        <v>757408.59111808427</v>
      </c>
      <c r="P68" s="191">
        <f t="shared" ca="1" si="42"/>
        <v>0</v>
      </c>
      <c r="Q68" s="191">
        <f t="shared" ca="1" si="42"/>
        <v>0</v>
      </c>
      <c r="R68" s="191">
        <f t="shared" ca="1" si="42"/>
        <v>0</v>
      </c>
      <c r="S68" s="139"/>
      <c r="T68" s="228">
        <f ca="1">Расчет!V247</f>
        <v>13595391.81051291</v>
      </c>
      <c r="U68" s="228">
        <f ca="1">Расчет!W247</f>
        <v>2400249.5693271924</v>
      </c>
      <c r="V68" s="228">
        <f ca="1">Расчет!X247</f>
        <v>2400249.5693271924</v>
      </c>
      <c r="W68" s="228">
        <f ca="1">Расчет!Y247</f>
        <v>10539770.880802605</v>
      </c>
      <c r="X68" s="228">
        <f ca="1">Расчет!Z247</f>
        <v>8718951.2086714543</v>
      </c>
      <c r="Y68" s="228">
        <f ca="1">Расчет!AA247</f>
        <v>977227.65151897317</v>
      </c>
      <c r="Z68" s="228">
        <f ca="1">Расчет!AB247</f>
        <v>8905133.8945012335</v>
      </c>
      <c r="AA68" s="228">
        <f ca="1">Расчет!AC247</f>
        <v>11100814.222370084</v>
      </c>
      <c r="AB68" s="228">
        <f ca="1">Расчет!AD247</f>
        <v>931412.58302582265</v>
      </c>
      <c r="AC68" s="228">
        <f ca="1">Расчет!AE247</f>
        <v>-4342087.4169741776</v>
      </c>
      <c r="AD68" s="228">
        <f ca="1">Расчет!AF247</f>
        <v>546194.7748066443</v>
      </c>
      <c r="AE68" s="228">
        <f ca="1">Расчет!AG247</f>
        <v>436794.77480664453</v>
      </c>
      <c r="AF68" s="228">
        <f ca="1">Расчет!AH247</f>
        <v>327394.7748066443</v>
      </c>
      <c r="AG68" s="228">
        <f ca="1">Расчет!AI247</f>
        <v>222847.2420606222</v>
      </c>
      <c r="AH68" s="228">
        <f ca="1">Расчет!AJ247</f>
        <v>143325.99742569914</v>
      </c>
      <c r="AI68" s="228">
        <f ca="1">Расчет!AK247</f>
        <v>63840.576825118624</v>
      </c>
      <c r="AJ68" s="228">
        <f ca="1">Расчет!AL247</f>
        <v>0</v>
      </c>
      <c r="AK68" s="228">
        <f ca="1">Расчет!AM247</f>
        <v>0</v>
      </c>
      <c r="AL68" s="228">
        <f ca="1">Расчет!AN247</f>
        <v>0</v>
      </c>
      <c r="AM68" s="228">
        <f ca="1">Расчет!AO247</f>
        <v>0</v>
      </c>
      <c r="AN68" s="228">
        <f ca="1">Расчет!AP247</f>
        <v>0</v>
      </c>
      <c r="AO68" s="228">
        <f ca="1">Расчет!AQ247</f>
        <v>0</v>
      </c>
      <c r="AP68" s="228">
        <f ca="1">Расчет!AR247</f>
        <v>0</v>
      </c>
      <c r="AQ68" s="228">
        <f ca="1">Расчет!AS247</f>
        <v>0</v>
      </c>
      <c r="AR68" s="228">
        <f ca="1">Расчет!AT247</f>
        <v>0</v>
      </c>
      <c r="AS68" s="228">
        <f ca="1">Расчет!AU247</f>
        <v>0</v>
      </c>
      <c r="AT68" s="228">
        <f ca="1">Расчет!AV247</f>
        <v>0</v>
      </c>
      <c r="AU68" s="228">
        <f ca="1">Расчет!AW247</f>
        <v>0</v>
      </c>
      <c r="AV68" s="228">
        <f ca="1">Расчет!AX247</f>
        <v>0</v>
      </c>
      <c r="AW68" s="228">
        <f ca="1">Расчет!AY247</f>
        <v>0</v>
      </c>
      <c r="AX68" s="228">
        <f ca="1">Расчет!AZ247</f>
        <v>0</v>
      </c>
      <c r="AY68" s="228">
        <f ca="1">Расчет!BA247</f>
        <v>0</v>
      </c>
      <c r="AZ68" s="228">
        <f ca="1">Расчет!BB247</f>
        <v>0</v>
      </c>
      <c r="BA68" s="228">
        <f ca="1">Расчет!BC247</f>
        <v>0</v>
      </c>
      <c r="BB68" s="228">
        <f ca="1">Расчет!BD247</f>
        <v>0</v>
      </c>
      <c r="BC68" s="228">
        <f ca="1">Расчет!BE247</f>
        <v>0</v>
      </c>
      <c r="BD68" s="228">
        <f ca="1">Расчет!BF247</f>
        <v>0</v>
      </c>
      <c r="BE68" s="228">
        <f ca="1">Расчет!BG247</f>
        <v>0</v>
      </c>
      <c r="BF68" s="228">
        <f ca="1">Расчет!BH247</f>
        <v>0</v>
      </c>
      <c r="BG68" s="228">
        <f ca="1">Расчет!BI247</f>
        <v>0</v>
      </c>
      <c r="BH68" s="228">
        <f ca="1">Расчет!BJ247</f>
        <v>0</v>
      </c>
      <c r="BI68" s="228">
        <f ca="1">Расчет!BK247</f>
        <v>0</v>
      </c>
      <c r="BJ68" s="228">
        <f ca="1">Расчет!BL247</f>
        <v>0</v>
      </c>
      <c r="BK68" s="228">
        <f ca="1">Расчет!BM247</f>
        <v>0</v>
      </c>
      <c r="BL68" s="228">
        <f ca="1">Расчет!BN247</f>
        <v>0</v>
      </c>
      <c r="BM68" s="228">
        <f ca="1">Расчет!BO247</f>
        <v>0</v>
      </c>
      <c r="BN68" s="228">
        <f ca="1">Расчет!BP247</f>
        <v>0</v>
      </c>
      <c r="BO68" s="228">
        <f ca="1">Расчет!BQ247</f>
        <v>0</v>
      </c>
      <c r="BP68" s="228">
        <f ca="1">Расчет!BR247</f>
        <v>0</v>
      </c>
      <c r="BQ68" s="228">
        <f ca="1">Расчет!BS247</f>
        <v>0</v>
      </c>
      <c r="BR68" s="228">
        <f ca="1">Расчет!BT247</f>
        <v>0</v>
      </c>
      <c r="BS68" s="228">
        <f ca="1">Расчет!BU247</f>
        <v>0</v>
      </c>
      <c r="BT68" s="228">
        <f ca="1">Расчет!BV247</f>
        <v>0</v>
      </c>
      <c r="BU68" s="228">
        <f ca="1">Расчет!BW247</f>
        <v>0</v>
      </c>
      <c r="BV68" s="228">
        <f ca="1">Расчет!BX247</f>
        <v>0</v>
      </c>
      <c r="BW68" s="228">
        <f ca="1">Расчет!BY247</f>
        <v>0</v>
      </c>
      <c r="BX68" s="228">
        <f ca="1">Расчет!BZ247</f>
        <v>0</v>
      </c>
      <c r="BY68" s="228">
        <f ca="1">Расчет!CA247</f>
        <v>0</v>
      </c>
      <c r="BZ68" s="228">
        <f ca="1">Расчет!CB247</f>
        <v>0</v>
      </c>
      <c r="CA68" s="228">
        <f ca="1">Расчет!CC247</f>
        <v>0</v>
      </c>
      <c r="CB68" s="42"/>
      <c r="CC68" s="111"/>
    </row>
    <row r="69" spans="1:81" s="65" customFormat="1" ht="15" customHeight="1" x14ac:dyDescent="0.3">
      <c r="A69" s="66"/>
      <c r="D69" s="131" t="s">
        <v>147</v>
      </c>
      <c r="E69" s="114"/>
      <c r="F69" s="114"/>
      <c r="G69" s="114"/>
      <c r="H69" s="114"/>
      <c r="I69" s="31" t="str">
        <f>Ввод!$M$12</f>
        <v>руб</v>
      </c>
      <c r="J69" s="31"/>
      <c r="K69" s="2"/>
      <c r="L69" s="191">
        <f>SUM(N69:R69)</f>
        <v>-55650149.999999985</v>
      </c>
      <c r="M69" s="139"/>
      <c r="N69" s="191">
        <f t="shared" si="42"/>
        <v>-7719200.7193470597</v>
      </c>
      <c r="O69" s="191">
        <f t="shared" si="42"/>
        <v>-9138697.8802599013</v>
      </c>
      <c r="P69" s="191">
        <f t="shared" si="42"/>
        <v>-10819228.827324901</v>
      </c>
      <c r="Q69" s="191">
        <f t="shared" si="42"/>
        <v>-12808795.51460663</v>
      </c>
      <c r="R69" s="191">
        <f t="shared" si="42"/>
        <v>-15164227.058461498</v>
      </c>
      <c r="S69" s="139"/>
      <c r="T69" s="228">
        <f>Расчет!V249</f>
        <v>-594672.44432719238</v>
      </c>
      <c r="U69" s="228">
        <f>Расчет!W249</f>
        <v>-603096.97062182752</v>
      </c>
      <c r="V69" s="228">
        <f>Расчет!X249</f>
        <v>-611640.84437230334</v>
      </c>
      <c r="W69" s="228">
        <f>Расчет!Y249</f>
        <v>-620305.75633424427</v>
      </c>
      <c r="X69" s="228">
        <f>Расчет!Z249</f>
        <v>-629093.42121564609</v>
      </c>
      <c r="Y69" s="228">
        <f>Расчет!AA249</f>
        <v>-638005.57801620103</v>
      </c>
      <c r="Z69" s="228">
        <f>Расчет!AB249</f>
        <v>-647043.99037143064</v>
      </c>
      <c r="AA69" s="228">
        <f>Расчет!AC249</f>
        <v>-656210.44690169254</v>
      </c>
      <c r="AB69" s="228">
        <f>Расчет!AD249</f>
        <v>-665506.76156613324</v>
      </c>
      <c r="AC69" s="228">
        <f>Расчет!AE249</f>
        <v>-674934.77402165334</v>
      </c>
      <c r="AD69" s="228">
        <f>Расчет!AF249</f>
        <v>-684496.34998696018</v>
      </c>
      <c r="AE69" s="228">
        <f>Расчет!AG249</f>
        <v>-694193.38161177549</v>
      </c>
      <c r="AF69" s="228">
        <f>Расчет!AH249</f>
        <v>-704027.78785127553</v>
      </c>
      <c r="AG69" s="228">
        <f>Расчет!AI249</f>
        <v>-714001.51484583528</v>
      </c>
      <c r="AH69" s="228">
        <f>Расчет!AJ249</f>
        <v>-724116.53630615131</v>
      </c>
      <c r="AI69" s="228">
        <f>Расчет!AK249</f>
        <v>-734374.85390382179</v>
      </c>
      <c r="AJ69" s="228">
        <f>Расчет!AL249</f>
        <v>-744778.49766745919</v>
      </c>
      <c r="AK69" s="228">
        <f>Расчет!AM249</f>
        <v>-755329.52638441499</v>
      </c>
      <c r="AL69" s="228">
        <f>Расчет!AN249</f>
        <v>-766030.02800819406</v>
      </c>
      <c r="AM69" s="228">
        <f>Расчет!AO249</f>
        <v>-776882.1200716435</v>
      </c>
      <c r="AN69" s="228">
        <f>Расчет!AP249</f>
        <v>-787887.9501059918</v>
      </c>
      <c r="AO69" s="228">
        <f>Расчет!AQ249</f>
        <v>-799049.69606582669</v>
      </c>
      <c r="AP69" s="228">
        <f>Расчет!AR249</f>
        <v>-810369.56676009262</v>
      </c>
      <c r="AQ69" s="228">
        <f>Расчет!AS249</f>
        <v>-821849.80228919385</v>
      </c>
      <c r="AR69" s="228">
        <f>Расчет!AT249</f>
        <v>-833492.6744882908</v>
      </c>
      <c r="AS69" s="228">
        <f>Расчет!AU249</f>
        <v>-845300.48737687501</v>
      </c>
      <c r="AT69" s="228">
        <f>Расчет!AV249</f>
        <v>-857275.57761471404</v>
      </c>
      <c r="AU69" s="228">
        <f>Расчет!AW249</f>
        <v>-869420.31496425578</v>
      </c>
      <c r="AV69" s="228">
        <f>Расчет!AX249</f>
        <v>-881737.10275958292</v>
      </c>
      <c r="AW69" s="228">
        <f>Расчет!AY249</f>
        <v>-894228.37838201039</v>
      </c>
      <c r="AX69" s="228">
        <f>Расчет!AZ249</f>
        <v>-906896.61374242208</v>
      </c>
      <c r="AY69" s="228">
        <f>Расчет!BA249</f>
        <v>-919744.3157704398</v>
      </c>
      <c r="AZ69" s="228">
        <f>Расчет!BB249</f>
        <v>-932774.02691052109</v>
      </c>
      <c r="BA69" s="228">
        <f>Расчет!BC249</f>
        <v>-945988.32562508667</v>
      </c>
      <c r="BB69" s="228">
        <f>Расчет!BD249</f>
        <v>-959389.82690477557</v>
      </c>
      <c r="BC69" s="228">
        <f>Расчет!BE249</f>
        <v>-972981.18278592639</v>
      </c>
      <c r="BD69" s="228">
        <f>Расчет!BF249</f>
        <v>-986765.0828753938</v>
      </c>
      <c r="BE69" s="228">
        <f>Расчет!BG249</f>
        <v>-1000744.2548827953</v>
      </c>
      <c r="BF69" s="228">
        <f>Расчет!BH249</f>
        <v>-1014921.4651603014</v>
      </c>
      <c r="BG69" s="228">
        <f>Расчет!BI249</f>
        <v>-1029299.5192500723</v>
      </c>
      <c r="BH69" s="228">
        <f>Расчет!BJ249</f>
        <v>-1043881.2624394484</v>
      </c>
      <c r="BI69" s="228">
        <f>Расчет!BK249</f>
        <v>-1058669.5803240072</v>
      </c>
      <c r="BJ69" s="228">
        <f>Расчет!BL249</f>
        <v>-1073667.3993785973</v>
      </c>
      <c r="BK69" s="228">
        <f>Расчет!BM249</f>
        <v>-1088877.6875364608</v>
      </c>
      <c r="BL69" s="228">
        <f>Расчет!BN249</f>
        <v>-1104303.4547765607</v>
      </c>
      <c r="BM69" s="228">
        <f>Расчет!BO249</f>
        <v>-1119947.7537192286</v>
      </c>
      <c r="BN69" s="228">
        <f>Расчет!BP249</f>
        <v>-1135813.680230251</v>
      </c>
      <c r="BO69" s="228">
        <f>Расчет!BQ249</f>
        <v>-1151904.374033513</v>
      </c>
      <c r="BP69" s="228">
        <f>Расчет!BR249</f>
        <v>-1168223.0193323211</v>
      </c>
      <c r="BQ69" s="228">
        <f>Расчет!BS249</f>
        <v>-1184772.845439529</v>
      </c>
      <c r="BR69" s="228">
        <f>Расчет!BT249</f>
        <v>-1201557.1274165888</v>
      </c>
      <c r="BS69" s="228">
        <f>Расчет!BU249</f>
        <v>-1218579.1867216572</v>
      </c>
      <c r="BT69" s="228">
        <f>Расчет!BV249</f>
        <v>-1235842.3918668807</v>
      </c>
      <c r="BU69" s="228">
        <f>Расчет!BW249</f>
        <v>-1253350.1590849948</v>
      </c>
      <c r="BV69" s="228">
        <f>Расчет!BX249</f>
        <v>-1271105.9530053656</v>
      </c>
      <c r="BW69" s="228">
        <f>Расчет!BY249</f>
        <v>-1289113.2873396084</v>
      </c>
      <c r="BX69" s="228">
        <f>Расчет!BZ249</f>
        <v>-1307375.7255769195</v>
      </c>
      <c r="BY69" s="228">
        <f>Расчет!CA249</f>
        <v>-1325896.8816892591</v>
      </c>
      <c r="BZ69" s="228">
        <f>Расчет!CB249</f>
        <v>-1344680.4208465237</v>
      </c>
      <c r="CA69" s="228">
        <f>Расчет!CC249</f>
        <v>-1363730.0601418493</v>
      </c>
      <c r="CB69" s="42"/>
      <c r="CC69" s="111"/>
    </row>
    <row r="70" spans="1:81" s="65" customFormat="1" ht="15" customHeight="1" x14ac:dyDescent="0.3">
      <c r="A70" s="66"/>
      <c r="D70" s="131" t="s">
        <v>108</v>
      </c>
      <c r="E70" s="114"/>
      <c r="F70" s="114"/>
      <c r="G70" s="114"/>
      <c r="H70" s="114"/>
      <c r="I70" s="31" t="str">
        <f>Ввод!$M$12</f>
        <v>руб</v>
      </c>
      <c r="J70" s="31"/>
      <c r="K70" s="2"/>
      <c r="L70" s="191">
        <f>SUM(N70:R70)</f>
        <v>-27332824.159631554</v>
      </c>
      <c r="M70" s="139"/>
      <c r="N70" s="191">
        <f t="shared" si="42"/>
        <v>-8877394.1125792488</v>
      </c>
      <c r="O70" s="191">
        <f t="shared" si="42"/>
        <v>-7457896.9516664082</v>
      </c>
      <c r="P70" s="191">
        <f t="shared" si="42"/>
        <v>-5777366.0046014078</v>
      </c>
      <c r="Q70" s="191">
        <f t="shared" si="42"/>
        <v>-3787799.3173196781</v>
      </c>
      <c r="R70" s="191">
        <f t="shared" si="42"/>
        <v>-1432367.7734648113</v>
      </c>
      <c r="S70" s="139"/>
      <c r="T70" s="228">
        <f>Расчет!V248</f>
        <v>-788377.125</v>
      </c>
      <c r="U70" s="228">
        <f>Расчет!W248</f>
        <v>-779952.59870536486</v>
      </c>
      <c r="V70" s="228">
        <f>Расчет!X248</f>
        <v>-771408.72495488904</v>
      </c>
      <c r="W70" s="228">
        <f>Расчет!Y248</f>
        <v>-762743.81299294811</v>
      </c>
      <c r="X70" s="228">
        <f>Расчет!Z248</f>
        <v>-753956.1481115463</v>
      </c>
      <c r="Y70" s="228">
        <f>Расчет!AA248</f>
        <v>-745043.99131099135</v>
      </c>
      <c r="Z70" s="228">
        <f>Расчет!AB248</f>
        <v>-736005.57895576174</v>
      </c>
      <c r="AA70" s="228">
        <f>Расчет!AC248</f>
        <v>-726839.12242549984</v>
      </c>
      <c r="AB70" s="228">
        <f>Расчет!AD248</f>
        <v>-717542.80776105914</v>
      </c>
      <c r="AC70" s="228">
        <f>Расчет!AE248</f>
        <v>-708114.79530553904</v>
      </c>
      <c r="AD70" s="228">
        <f>Расчет!AF248</f>
        <v>-698553.2193402322</v>
      </c>
      <c r="AE70" s="228">
        <f>Расчет!AG248</f>
        <v>-688856.18771541689</v>
      </c>
      <c r="AF70" s="228">
        <f>Расчет!AH248</f>
        <v>-679021.78147591685</v>
      </c>
      <c r="AG70" s="228">
        <f>Расчет!AI248</f>
        <v>-669048.0544813571</v>
      </c>
      <c r="AH70" s="228">
        <f>Расчет!AJ248</f>
        <v>-658933.03302104108</v>
      </c>
      <c r="AI70" s="228">
        <f>Расчет!AK248</f>
        <v>-648674.7154233706</v>
      </c>
      <c r="AJ70" s="228">
        <f>Расчет!AL248</f>
        <v>-638271.07165973319</v>
      </c>
      <c r="AK70" s="228">
        <f>Расчет!AM248</f>
        <v>-627720.04294277739</v>
      </c>
      <c r="AL70" s="228">
        <f>Расчет!AN248</f>
        <v>-617019.54131899832</v>
      </c>
      <c r="AM70" s="228">
        <f>Расчет!AO248</f>
        <v>-606167.44925554888</v>
      </c>
      <c r="AN70" s="228">
        <f>Расчет!AP248</f>
        <v>-595161.61922120058</v>
      </c>
      <c r="AO70" s="228">
        <f>Расчет!AQ248</f>
        <v>-583999.87326136569</v>
      </c>
      <c r="AP70" s="228">
        <f>Расчет!AR248</f>
        <v>-572680.00256709976</v>
      </c>
      <c r="AQ70" s="228">
        <f>Расчет!AS248</f>
        <v>-561199.76703799854</v>
      </c>
      <c r="AR70" s="228">
        <f>Расчет!AT248</f>
        <v>-549556.89483890159</v>
      </c>
      <c r="AS70" s="228">
        <f>Расчет!AU248</f>
        <v>-537749.08195031737</v>
      </c>
      <c r="AT70" s="228">
        <f>Расчет!AV248</f>
        <v>-525773.99171247834</v>
      </c>
      <c r="AU70" s="228">
        <f>Расчет!AW248</f>
        <v>-513629.25436293654</v>
      </c>
      <c r="AV70" s="228">
        <f>Расчет!AX248</f>
        <v>-501312.46656760952</v>
      </c>
      <c r="AW70" s="228">
        <f>Расчет!AY248</f>
        <v>-488821.19094518205</v>
      </c>
      <c r="AX70" s="228">
        <f>Расчет!AZ248</f>
        <v>-476152.95558477024</v>
      </c>
      <c r="AY70" s="228">
        <f>Расчет!BA248</f>
        <v>-463305.25355675258</v>
      </c>
      <c r="AZ70" s="228">
        <f>Расчет!BB248</f>
        <v>-450275.54241667135</v>
      </c>
      <c r="BA70" s="228">
        <f>Расчет!BC248</f>
        <v>-437061.24370210565</v>
      </c>
      <c r="BB70" s="228">
        <f>Расчет!BD248</f>
        <v>-423659.74242241686</v>
      </c>
      <c r="BC70" s="228">
        <f>Расчет!BE248</f>
        <v>-410068.38654126594</v>
      </c>
      <c r="BD70" s="228">
        <f>Расчет!BF248</f>
        <v>-396284.48645179858</v>
      </c>
      <c r="BE70" s="228">
        <f>Расчет!BG248</f>
        <v>-382305.31444439717</v>
      </c>
      <c r="BF70" s="228">
        <f>Расчет!BH248</f>
        <v>-368128.10416689096</v>
      </c>
      <c r="BG70" s="228">
        <f>Расчет!BI248</f>
        <v>-353750.05007712002</v>
      </c>
      <c r="BH70" s="228">
        <f>Расчет!BJ248</f>
        <v>-339168.30688774394</v>
      </c>
      <c r="BI70" s="228">
        <f>Расчет!BK248</f>
        <v>-324379.98900318512</v>
      </c>
      <c r="BJ70" s="228">
        <f>Расчет!BL248</f>
        <v>-309382.16994859499</v>
      </c>
      <c r="BK70" s="228">
        <f>Расчет!BM248</f>
        <v>-294171.88179073151</v>
      </c>
      <c r="BL70" s="228">
        <f>Расчет!BN248</f>
        <v>-278746.11455063167</v>
      </c>
      <c r="BM70" s="228">
        <f>Расчет!BO248</f>
        <v>-263101.81560796377</v>
      </c>
      <c r="BN70" s="228">
        <f>Расчет!BP248</f>
        <v>-247235.88909694133</v>
      </c>
      <c r="BO70" s="228">
        <f>Расчет!BQ248</f>
        <v>-231145.19529367946</v>
      </c>
      <c r="BP70" s="228">
        <f>Расчет!BR248</f>
        <v>-214826.54999487134</v>
      </c>
      <c r="BQ70" s="228">
        <f>Расчет!BS248</f>
        <v>-198276.72388766345</v>
      </c>
      <c r="BR70" s="228">
        <f>Расчет!BT248</f>
        <v>-181492.44191060346</v>
      </c>
      <c r="BS70" s="228">
        <f>Расчет!BU248</f>
        <v>-164470.38260553512</v>
      </c>
      <c r="BT70" s="228">
        <f>Расчет!BV248</f>
        <v>-147207.17746031165</v>
      </c>
      <c r="BU70" s="228">
        <f>Расчет!BW248</f>
        <v>-129699.41024219751</v>
      </c>
      <c r="BV70" s="228">
        <f>Расчет!BX248</f>
        <v>-111943.61632182676</v>
      </c>
      <c r="BW70" s="228">
        <f>Расчет!BY248</f>
        <v>-93936.281987584065</v>
      </c>
      <c r="BX70" s="228">
        <f>Расчет!BZ248</f>
        <v>-75673.84375027295</v>
      </c>
      <c r="BY70" s="228">
        <f>Расчет!CA248</f>
        <v>-57152.687637933261</v>
      </c>
      <c r="BZ70" s="228">
        <f>Расчет!CB248</f>
        <v>-38369.148480668751</v>
      </c>
      <c r="CA70" s="228">
        <f>Расчет!CC248</f>
        <v>-19319.509185342999</v>
      </c>
      <c r="CB70" s="42"/>
      <c r="CC70" s="111"/>
    </row>
    <row r="71" spans="1:81" s="65" customFormat="1" ht="15" customHeight="1" x14ac:dyDescent="0.3">
      <c r="A71" s="66"/>
      <c r="D71" s="132" t="s">
        <v>90</v>
      </c>
      <c r="E71" s="27"/>
      <c r="F71" s="27"/>
      <c r="G71" s="27"/>
      <c r="H71" s="27"/>
      <c r="I71" s="31"/>
      <c r="J71" s="31"/>
      <c r="K71" s="2"/>
      <c r="L71" s="191"/>
      <c r="M71" s="139"/>
      <c r="N71" s="191"/>
      <c r="O71" s="191"/>
      <c r="P71" s="191"/>
      <c r="Q71" s="191"/>
      <c r="R71" s="191"/>
      <c r="S71" s="139"/>
      <c r="T71" s="228"/>
      <c r="U71" s="228"/>
      <c r="V71" s="228"/>
      <c r="W71" s="228"/>
      <c r="X71" s="228"/>
      <c r="Y71" s="228"/>
      <c r="Z71" s="228"/>
      <c r="AA71" s="228"/>
      <c r="AB71" s="228"/>
      <c r="AC71" s="228"/>
      <c r="AD71" s="228"/>
      <c r="AE71" s="228"/>
      <c r="AF71" s="228"/>
      <c r="AG71" s="228"/>
      <c r="AH71" s="228"/>
      <c r="AI71" s="228"/>
      <c r="AJ71" s="228"/>
      <c r="AK71" s="228"/>
      <c r="AL71" s="228"/>
      <c r="AM71" s="228"/>
      <c r="AN71" s="228"/>
      <c r="AO71" s="228"/>
      <c r="AP71" s="228"/>
      <c r="AQ71" s="228"/>
      <c r="AR71" s="228"/>
      <c r="AS71" s="228"/>
      <c r="AT71" s="228"/>
      <c r="AU71" s="228"/>
      <c r="AV71" s="228"/>
      <c r="AW71" s="228"/>
      <c r="AX71" s="228"/>
      <c r="AY71" s="228"/>
      <c r="AZ71" s="228"/>
      <c r="BA71" s="228"/>
      <c r="BB71" s="228"/>
      <c r="BC71" s="228"/>
      <c r="BD71" s="228"/>
      <c r="BE71" s="228"/>
      <c r="BF71" s="228"/>
      <c r="BG71" s="228"/>
      <c r="BH71" s="228"/>
      <c r="BI71" s="228"/>
      <c r="BJ71" s="228"/>
      <c r="BK71" s="228"/>
      <c r="BL71" s="228"/>
      <c r="BM71" s="228"/>
      <c r="BN71" s="228"/>
      <c r="BO71" s="228"/>
      <c r="BP71" s="228"/>
      <c r="BQ71" s="228"/>
      <c r="BR71" s="228"/>
      <c r="BS71" s="228"/>
      <c r="BT71" s="228"/>
      <c r="BU71" s="228"/>
      <c r="BV71" s="228"/>
      <c r="BW71" s="228"/>
      <c r="BX71" s="228"/>
      <c r="BY71" s="228"/>
      <c r="BZ71" s="228"/>
      <c r="CA71" s="228"/>
      <c r="CB71" s="42"/>
      <c r="CC71" s="111"/>
    </row>
    <row r="72" spans="1:81" ht="15" customHeight="1" x14ac:dyDescent="0.3">
      <c r="A72" s="51"/>
      <c r="D72" s="131" t="s">
        <v>130</v>
      </c>
      <c r="E72" s="114"/>
      <c r="F72" s="114"/>
      <c r="G72" s="114"/>
      <c r="H72" s="114"/>
      <c r="I72" s="31" t="str">
        <f>Ввод!$M$12</f>
        <v>руб</v>
      </c>
      <c r="J72" s="31"/>
      <c r="K72" s="2"/>
      <c r="L72" s="191">
        <f>SUM(N72:R72)</f>
        <v>11000000</v>
      </c>
      <c r="M72" s="139"/>
      <c r="N72" s="191">
        <f t="shared" ref="N72:R72" si="43">SUMIF($T$4:$EI$4,N$4,$T72:$EI72)</f>
        <v>11000000</v>
      </c>
      <c r="O72" s="191">
        <f t="shared" si="43"/>
        <v>0</v>
      </c>
      <c r="P72" s="191">
        <f t="shared" si="43"/>
        <v>0</v>
      </c>
      <c r="Q72" s="191">
        <f t="shared" si="43"/>
        <v>0</v>
      </c>
      <c r="R72" s="191">
        <f t="shared" si="43"/>
        <v>0</v>
      </c>
      <c r="S72" s="139"/>
      <c r="T72" s="228">
        <f>Расчет!V254</f>
        <v>1000000</v>
      </c>
      <c r="U72" s="228">
        <f>Расчет!W254</f>
        <v>0</v>
      </c>
      <c r="V72" s="228">
        <f>Расчет!X254</f>
        <v>0</v>
      </c>
      <c r="W72" s="228">
        <f>Расчет!Y254</f>
        <v>0</v>
      </c>
      <c r="X72" s="228">
        <f>Расчет!Z254</f>
        <v>5000000</v>
      </c>
      <c r="Y72" s="228">
        <f>Расчет!AA254</f>
        <v>0</v>
      </c>
      <c r="Z72" s="228">
        <f>Расчет!AB254</f>
        <v>0</v>
      </c>
      <c r="AA72" s="228">
        <f>Расчет!AC254</f>
        <v>0</v>
      </c>
      <c r="AB72" s="228">
        <f>Расчет!AD254</f>
        <v>0</v>
      </c>
      <c r="AC72" s="228">
        <f>Расчет!AE254</f>
        <v>5000000</v>
      </c>
      <c r="AD72" s="228">
        <f>Расчет!AF254</f>
        <v>0</v>
      </c>
      <c r="AE72" s="228">
        <f>Расчет!AG254</f>
        <v>0</v>
      </c>
      <c r="AF72" s="228">
        <f>Расчет!AH254</f>
        <v>0</v>
      </c>
      <c r="AG72" s="228">
        <f>Расчет!AI254</f>
        <v>0</v>
      </c>
      <c r="AH72" s="228">
        <f>Расчет!AJ254</f>
        <v>0</v>
      </c>
      <c r="AI72" s="228">
        <f>Расчет!AK254</f>
        <v>0</v>
      </c>
      <c r="AJ72" s="228">
        <f>Расчет!AL254</f>
        <v>0</v>
      </c>
      <c r="AK72" s="228">
        <f>Расчет!AM254</f>
        <v>0</v>
      </c>
      <c r="AL72" s="228">
        <f>Расчет!AN254</f>
        <v>0</v>
      </c>
      <c r="AM72" s="228">
        <f>Расчет!AO254</f>
        <v>0</v>
      </c>
      <c r="AN72" s="228">
        <f>Расчет!AP254</f>
        <v>0</v>
      </c>
      <c r="AO72" s="228">
        <f>Расчет!AQ254</f>
        <v>0</v>
      </c>
      <c r="AP72" s="228">
        <f>Расчет!AR254</f>
        <v>0</v>
      </c>
      <c r="AQ72" s="228">
        <f>Расчет!AS254</f>
        <v>0</v>
      </c>
      <c r="AR72" s="228">
        <f>Расчет!AT254</f>
        <v>0</v>
      </c>
      <c r="AS72" s="228">
        <f>Расчет!AU254</f>
        <v>0</v>
      </c>
      <c r="AT72" s="228">
        <f>Расчет!AV254</f>
        <v>0</v>
      </c>
      <c r="AU72" s="228">
        <f>Расчет!AW254</f>
        <v>0</v>
      </c>
      <c r="AV72" s="228">
        <f>Расчет!AX254</f>
        <v>0</v>
      </c>
      <c r="AW72" s="228">
        <f>Расчет!AY254</f>
        <v>0</v>
      </c>
      <c r="AX72" s="228">
        <f>Расчет!AZ254</f>
        <v>0</v>
      </c>
      <c r="AY72" s="228">
        <f>Расчет!BA254</f>
        <v>0</v>
      </c>
      <c r="AZ72" s="228">
        <f>Расчет!BB254</f>
        <v>0</v>
      </c>
      <c r="BA72" s="228">
        <f>Расчет!BC254</f>
        <v>0</v>
      </c>
      <c r="BB72" s="228">
        <f>Расчет!BD254</f>
        <v>0</v>
      </c>
      <c r="BC72" s="228">
        <f>Расчет!BE254</f>
        <v>0</v>
      </c>
      <c r="BD72" s="228">
        <f>Расчет!BF254</f>
        <v>0</v>
      </c>
      <c r="BE72" s="228">
        <f>Расчет!BG254</f>
        <v>0</v>
      </c>
      <c r="BF72" s="228">
        <f>Расчет!BH254</f>
        <v>0</v>
      </c>
      <c r="BG72" s="228">
        <f>Расчет!BI254</f>
        <v>0</v>
      </c>
      <c r="BH72" s="228">
        <f>Расчет!BJ254</f>
        <v>0</v>
      </c>
      <c r="BI72" s="228">
        <f>Расчет!BK254</f>
        <v>0</v>
      </c>
      <c r="BJ72" s="228">
        <f>Расчет!BL254</f>
        <v>0</v>
      </c>
      <c r="BK72" s="228">
        <f>Расчет!BM254</f>
        <v>0</v>
      </c>
      <c r="BL72" s="228">
        <f>Расчет!BN254</f>
        <v>0</v>
      </c>
      <c r="BM72" s="228">
        <f>Расчет!BO254</f>
        <v>0</v>
      </c>
      <c r="BN72" s="228">
        <f>Расчет!BP254</f>
        <v>0</v>
      </c>
      <c r="BO72" s="228">
        <f>Расчет!BQ254</f>
        <v>0</v>
      </c>
      <c r="BP72" s="228">
        <f>Расчет!BR254</f>
        <v>0</v>
      </c>
      <c r="BQ72" s="228">
        <f>Расчет!BS254</f>
        <v>0</v>
      </c>
      <c r="BR72" s="228">
        <f>Расчет!BT254</f>
        <v>0</v>
      </c>
      <c r="BS72" s="228">
        <f>Расчет!BU254</f>
        <v>0</v>
      </c>
      <c r="BT72" s="228">
        <f>Расчет!BV254</f>
        <v>0</v>
      </c>
      <c r="BU72" s="228">
        <f>Расчет!BW254</f>
        <v>0</v>
      </c>
      <c r="BV72" s="228">
        <f>Расчет!BX254</f>
        <v>0</v>
      </c>
      <c r="BW72" s="228">
        <f>Расчет!BY254</f>
        <v>0</v>
      </c>
      <c r="BX72" s="228">
        <f>Расчет!BZ254</f>
        <v>0</v>
      </c>
      <c r="BY72" s="228">
        <f>Расчет!CA254</f>
        <v>0</v>
      </c>
      <c r="BZ72" s="228">
        <f>Расчет!CB254</f>
        <v>0</v>
      </c>
      <c r="CA72" s="228">
        <f>Расчет!CC254</f>
        <v>0</v>
      </c>
      <c r="CB72" s="42"/>
      <c r="CC72" s="111"/>
    </row>
    <row r="73" spans="1:81" ht="15" customHeight="1" x14ac:dyDescent="0.3">
      <c r="A73" s="51"/>
      <c r="D73" s="131"/>
      <c r="I73" s="31"/>
      <c r="J73" s="31"/>
      <c r="K73" s="2"/>
      <c r="L73" s="191"/>
      <c r="M73" s="139"/>
      <c r="N73" s="191"/>
      <c r="O73" s="191"/>
      <c r="P73" s="191"/>
      <c r="Q73" s="191"/>
      <c r="R73" s="191"/>
      <c r="S73" s="139"/>
      <c r="T73" s="237"/>
      <c r="U73" s="237"/>
      <c r="V73" s="237"/>
      <c r="W73" s="237"/>
      <c r="X73" s="237"/>
      <c r="Y73" s="237"/>
      <c r="Z73" s="237"/>
      <c r="AA73" s="237"/>
      <c r="AB73" s="237"/>
      <c r="AC73" s="237"/>
      <c r="AD73" s="237"/>
      <c r="AE73" s="237"/>
      <c r="AF73" s="237"/>
      <c r="AG73" s="237"/>
      <c r="AH73" s="237"/>
      <c r="AI73" s="237"/>
      <c r="AJ73" s="237"/>
      <c r="AK73" s="237"/>
      <c r="AL73" s="237"/>
      <c r="AM73" s="237"/>
      <c r="AN73" s="237"/>
      <c r="AO73" s="237"/>
      <c r="AP73" s="237"/>
      <c r="AQ73" s="237"/>
      <c r="AR73" s="237"/>
      <c r="AS73" s="237"/>
      <c r="AT73" s="237"/>
      <c r="AU73" s="237"/>
      <c r="AV73" s="237"/>
      <c r="AW73" s="237"/>
      <c r="AX73" s="237"/>
      <c r="AY73" s="237"/>
      <c r="AZ73" s="237"/>
      <c r="BA73" s="237"/>
      <c r="BB73" s="237"/>
      <c r="BC73" s="237"/>
      <c r="BD73" s="237"/>
      <c r="BE73" s="237"/>
      <c r="BF73" s="237"/>
      <c r="BG73" s="237"/>
      <c r="BH73" s="237"/>
      <c r="BI73" s="237"/>
      <c r="BJ73" s="237"/>
      <c r="BK73" s="237"/>
      <c r="BL73" s="237"/>
      <c r="BM73" s="237"/>
      <c r="BN73" s="237"/>
      <c r="BO73" s="237"/>
      <c r="BP73" s="237"/>
      <c r="BQ73" s="237"/>
      <c r="BR73" s="237"/>
      <c r="BS73" s="237"/>
      <c r="BT73" s="237"/>
      <c r="BU73" s="237"/>
      <c r="BV73" s="237"/>
      <c r="BW73" s="237"/>
      <c r="BX73" s="237"/>
      <c r="BY73" s="237"/>
      <c r="BZ73" s="237"/>
      <c r="CA73" s="237"/>
      <c r="CB73" s="42"/>
      <c r="CC73" s="111"/>
    </row>
    <row r="74" spans="1:81" s="65" customFormat="1" ht="15" customHeight="1" x14ac:dyDescent="0.3">
      <c r="A74" s="66"/>
      <c r="D74" s="169" t="s">
        <v>110</v>
      </c>
      <c r="E74" s="60"/>
      <c r="F74" s="60"/>
      <c r="G74" s="60"/>
      <c r="H74" s="60"/>
      <c r="I74" s="6" t="str">
        <f>Ввод!$M$12</f>
        <v>руб</v>
      </c>
      <c r="J74" s="6"/>
      <c r="K74" s="49"/>
      <c r="L74" s="225">
        <f ca="1">SUM(N74:R74)</f>
        <v>75235030.865700364</v>
      </c>
      <c r="M74" s="227"/>
      <c r="N74" s="225">
        <f ca="1">SUMIF($T$4:$EI$4,N$4,$T74:$EI74)</f>
        <v>0</v>
      </c>
      <c r="O74" s="225">
        <f ca="1">SUMIF($T$4:$EI$4,O$4,$T74:$EI74)</f>
        <v>2346280.7963684895</v>
      </c>
      <c r="P74" s="225">
        <f ca="1">SUMIF($T$4:$EI$4,P$4,$T74:$EI74)</f>
        <v>13008930.432978818</v>
      </c>
      <c r="Q74" s="225">
        <f ca="1">SUMIF($T$4:$EI$4,Q$4,$T74:$EI74)</f>
        <v>24326738.761158384</v>
      </c>
      <c r="R74" s="225">
        <f ca="1">SUMIF($T$4:$EI$4,R$4,$T74:$EI74)</f>
        <v>35553080.875194676</v>
      </c>
      <c r="S74" s="227"/>
      <c r="T74" s="236">
        <f ca="1">T55+T63+T66</f>
        <v>0</v>
      </c>
      <c r="U74" s="236">
        <f ca="1">U55+U63+U66</f>
        <v>0</v>
      </c>
      <c r="V74" s="236">
        <f t="shared" ref="V74:AY74" ca="1" si="44">V55+V63+V66</f>
        <v>0</v>
      </c>
      <c r="W74" s="236">
        <f t="shared" ca="1" si="44"/>
        <v>0</v>
      </c>
      <c r="X74" s="236">
        <f t="shared" ca="1" si="44"/>
        <v>0</v>
      </c>
      <c r="Y74" s="236">
        <f t="shared" ca="1" si="44"/>
        <v>0</v>
      </c>
      <c r="Z74" s="236">
        <f t="shared" ca="1" si="44"/>
        <v>0</v>
      </c>
      <c r="AA74" s="236">
        <f ca="1">AA55+AA63+AA66</f>
        <v>0</v>
      </c>
      <c r="AB74" s="236">
        <f ca="1">AB55+AB63+AB66</f>
        <v>0</v>
      </c>
      <c r="AC74" s="236">
        <f t="shared" ca="1" si="44"/>
        <v>0</v>
      </c>
      <c r="AD74" s="236">
        <f t="shared" ca="1" si="44"/>
        <v>0</v>
      </c>
      <c r="AE74" s="236">
        <f t="shared" ca="1" si="44"/>
        <v>0</v>
      </c>
      <c r="AF74" s="236">
        <f t="shared" ca="1" si="44"/>
        <v>0</v>
      </c>
      <c r="AG74" s="236">
        <f t="shared" ca="1" si="44"/>
        <v>0</v>
      </c>
      <c r="AH74" s="236">
        <f t="shared" ca="1" si="44"/>
        <v>0</v>
      </c>
      <c r="AI74" s="236">
        <f t="shared" ca="1" si="44"/>
        <v>0</v>
      </c>
      <c r="AJ74" s="236">
        <f t="shared" ca="1" si="44"/>
        <v>15608.512233972084</v>
      </c>
      <c r="AK74" s="236">
        <f t="shared" ca="1" si="44"/>
        <v>95020.755054732785</v>
      </c>
      <c r="AL74" s="236">
        <f t="shared" ca="1" si="44"/>
        <v>174395.62964878837</v>
      </c>
      <c r="AM74" s="236">
        <f t="shared" ca="1" si="44"/>
        <v>253732.60663292604</v>
      </c>
      <c r="AN74" s="236">
        <f t="shared" ca="1" si="44"/>
        <v>333031.14912433852</v>
      </c>
      <c r="AO74" s="236">
        <f t="shared" ca="1" si="44"/>
        <v>412290.71263437998</v>
      </c>
      <c r="AP74" s="236">
        <f t="shared" ca="1" si="44"/>
        <v>491510.74496081355</v>
      </c>
      <c r="AQ74" s="236">
        <f t="shared" ca="1" si="44"/>
        <v>570690.68607853819</v>
      </c>
      <c r="AR74" s="236">
        <f t="shared" ca="1" si="44"/>
        <v>649829.96802876424</v>
      </c>
      <c r="AS74" s="236">
        <f t="shared" ca="1" si="44"/>
        <v>728928.01480661798</v>
      </c>
      <c r="AT74" s="236">
        <f t="shared" ca="1" si="44"/>
        <v>807984.2422471582</v>
      </c>
      <c r="AU74" s="236">
        <f t="shared" ca="1" si="44"/>
        <v>886998.05790977273</v>
      </c>
      <c r="AV74" s="236">
        <f t="shared" ca="1" si="44"/>
        <v>965968.8609609413</v>
      </c>
      <c r="AW74" s="236">
        <f t="shared" ca="1" si="44"/>
        <v>1044896.0420553344</v>
      </c>
      <c r="AX74" s="236">
        <f t="shared" ca="1" si="44"/>
        <v>1123778.9832152314</v>
      </c>
      <c r="AY74" s="236">
        <f t="shared" ca="1" si="44"/>
        <v>1202617.0577082271</v>
      </c>
      <c r="AZ74" s="236">
        <f t="shared" ref="AZ74:CA74" ca="1" si="45">AZ55+AZ63+AZ66</f>
        <v>1281409.6299232068</v>
      </c>
      <c r="BA74" s="236">
        <f t="shared" ca="1" si="45"/>
        <v>1360156.0552445655</v>
      </c>
      <c r="BB74" s="236">
        <f t="shared" ca="1" si="45"/>
        <v>1438855.6799246427</v>
      </c>
      <c r="BC74" s="236">
        <f t="shared" ca="1" si="45"/>
        <v>1517507.8409543554</v>
      </c>
      <c r="BD74" s="236">
        <f t="shared" ca="1" si="45"/>
        <v>1596111.8659319887</v>
      </c>
      <c r="BE74" s="236">
        <f t="shared" ca="1" si="45"/>
        <v>1674667.0729301381</v>
      </c>
      <c r="BF74" s="236">
        <f t="shared" ca="1" si="45"/>
        <v>1753172.7703607618</v>
      </c>
      <c r="BG74" s="236">
        <f t="shared" ca="1" si="45"/>
        <v>1831628.2568383184</v>
      </c>
      <c r="BH74" s="236">
        <f t="shared" ca="1" si="45"/>
        <v>1910032.8210409749</v>
      </c>
      <c r="BI74" s="236">
        <f t="shared" ca="1" si="45"/>
        <v>1988385.7415698352</v>
      </c>
      <c r="BJ74" s="236">
        <f t="shared" ca="1" si="45"/>
        <v>2066686.2868061876</v>
      </c>
      <c r="BK74" s="236">
        <f t="shared" ca="1" si="45"/>
        <v>2144933.7147667212</v>
      </c>
      <c r="BL74" s="236">
        <f t="shared" ca="1" si="45"/>
        <v>2223127.2729566963</v>
      </c>
      <c r="BM74" s="236">
        <f t="shared" ca="1" si="45"/>
        <v>2301266.1982210297</v>
      </c>
      <c r="BN74" s="236">
        <f t="shared" ca="1" si="45"/>
        <v>2379349.7165932744</v>
      </c>
      <c r="BO74" s="236">
        <f t="shared" ca="1" si="45"/>
        <v>2457377.0431424584</v>
      </c>
      <c r="BP74" s="236">
        <f t="shared" ca="1" si="45"/>
        <v>2535347.3818177567</v>
      </c>
      <c r="BQ74" s="236">
        <f t="shared" ca="1" si="45"/>
        <v>2613259.9252909543</v>
      </c>
      <c r="BR74" s="236">
        <f t="shared" ca="1" si="45"/>
        <v>2691113.8547966899</v>
      </c>
      <c r="BS74" s="236">
        <f t="shared" ca="1" si="45"/>
        <v>2768908.3399704229</v>
      </c>
      <c r="BT74" s="236">
        <f t="shared" ca="1" si="45"/>
        <v>2846642.5386841241</v>
      </c>
      <c r="BU74" s="236">
        <f t="shared" ca="1" si="45"/>
        <v>2924315.5968795884</v>
      </c>
      <c r="BV74" s="236">
        <f t="shared" ca="1" si="45"/>
        <v>3001926.6483994946</v>
      </c>
      <c r="BW74" s="236">
        <f t="shared" ca="1" si="45"/>
        <v>3079474.8148159347</v>
      </c>
      <c r="BX74" s="236">
        <f t="shared" ca="1" si="45"/>
        <v>3156959.2052566074</v>
      </c>
      <c r="BY74" s="236">
        <f t="shared" ca="1" si="45"/>
        <v>3234378.9162285216</v>
      </c>
      <c r="BZ74" s="236">
        <f t="shared" ca="1" si="45"/>
        <v>3311733.0314392056</v>
      </c>
      <c r="CA74" s="236">
        <f t="shared" ca="1" si="45"/>
        <v>3389020.6216153745</v>
      </c>
      <c r="CB74" s="43"/>
      <c r="CC74" s="111"/>
    </row>
    <row r="75" spans="1:81" ht="15" customHeight="1" x14ac:dyDescent="0.3">
      <c r="A75" s="51"/>
      <c r="D75" s="132"/>
      <c r="I75" s="31"/>
      <c r="J75" s="31"/>
      <c r="K75" s="2"/>
      <c r="L75" s="191"/>
      <c r="M75" s="139"/>
      <c r="N75" s="191"/>
      <c r="O75" s="191"/>
      <c r="P75" s="191"/>
      <c r="Q75" s="191"/>
      <c r="R75" s="191"/>
      <c r="S75" s="139"/>
      <c r="T75" s="237"/>
      <c r="U75" s="237"/>
      <c r="V75" s="237"/>
      <c r="W75" s="237"/>
      <c r="X75" s="237"/>
      <c r="Y75" s="237"/>
      <c r="Z75" s="237"/>
      <c r="AA75" s="237"/>
      <c r="AB75" s="237"/>
      <c r="AC75" s="237"/>
      <c r="AD75" s="237"/>
      <c r="AE75" s="237"/>
      <c r="AF75" s="237"/>
      <c r="AG75" s="237"/>
      <c r="AH75" s="237"/>
      <c r="AI75" s="237"/>
      <c r="AJ75" s="237"/>
      <c r="AK75" s="237"/>
      <c r="AL75" s="237"/>
      <c r="AM75" s="237"/>
      <c r="AN75" s="237"/>
      <c r="AO75" s="237"/>
      <c r="AP75" s="237"/>
      <c r="AQ75" s="237"/>
      <c r="AR75" s="237"/>
      <c r="AS75" s="237"/>
      <c r="AT75" s="237"/>
      <c r="AU75" s="237"/>
      <c r="AV75" s="237"/>
      <c r="AW75" s="237"/>
      <c r="AX75" s="237"/>
      <c r="AY75" s="237"/>
      <c r="AZ75" s="237"/>
      <c r="BA75" s="237"/>
      <c r="BB75" s="237"/>
      <c r="BC75" s="237"/>
      <c r="BD75" s="237"/>
      <c r="BE75" s="237"/>
      <c r="BF75" s="237"/>
      <c r="BG75" s="237"/>
      <c r="BH75" s="237"/>
      <c r="BI75" s="237"/>
      <c r="BJ75" s="237"/>
      <c r="BK75" s="237"/>
      <c r="BL75" s="237"/>
      <c r="BM75" s="237"/>
      <c r="BN75" s="237"/>
      <c r="BO75" s="237"/>
      <c r="BP75" s="237"/>
      <c r="BQ75" s="237"/>
      <c r="BR75" s="237"/>
      <c r="BS75" s="237"/>
      <c r="BT75" s="237"/>
      <c r="BU75" s="237"/>
      <c r="BV75" s="237"/>
      <c r="BW75" s="237"/>
      <c r="BX75" s="237"/>
      <c r="BY75" s="237"/>
      <c r="BZ75" s="237"/>
      <c r="CA75" s="237"/>
      <c r="CB75" s="42"/>
      <c r="CC75" s="111"/>
    </row>
    <row r="76" spans="1:81" s="65" customFormat="1" ht="15" customHeight="1" x14ac:dyDescent="0.3">
      <c r="A76" s="66"/>
      <c r="D76" s="169" t="s">
        <v>179</v>
      </c>
      <c r="E76" s="60"/>
      <c r="F76" s="60"/>
      <c r="G76" s="60"/>
      <c r="H76" s="60"/>
      <c r="I76" s="6" t="str">
        <f>Ввод!$M$12</f>
        <v>руб</v>
      </c>
      <c r="J76" s="6"/>
      <c r="K76" s="49"/>
      <c r="L76" s="238"/>
      <c r="M76" s="227"/>
      <c r="N76" s="225">
        <f ca="1">SUMIFS($T76:$CA76,$T$4:$CA$4,N$4,$T$6:$CA$6,12)</f>
        <v>0</v>
      </c>
      <c r="O76" s="225">
        <f ca="1">SUMIFS($T76:$CA76,$T$4:$CA$4,O$4,$T$6:$CA$6,12)</f>
        <v>2346280.7963684895</v>
      </c>
      <c r="P76" s="225">
        <f ca="1">SUMIFS($T76:$CA76,$T$4:$CA$4,P$4,$T$6:$CA$6,12)</f>
        <v>15355211.229347305</v>
      </c>
      <c r="Q76" s="225">
        <f ca="1">SUMIFS($T76:$CA76,$T$4:$CA$4,Q$4,$T$6:$CA$6,12)</f>
        <v>39681949.990505695</v>
      </c>
      <c r="R76" s="225">
        <f ca="1">SUMIFS($T76:$CA76,$T$4:$CA$4,R$4,$T$6:$CA$6,12)</f>
        <v>75235030.865700379</v>
      </c>
      <c r="S76" s="227"/>
      <c r="T76" s="236">
        <f t="shared" ref="T76:AY76" ca="1" si="46">T53+T74</f>
        <v>0</v>
      </c>
      <c r="U76" s="236">
        <f t="shared" ca="1" si="46"/>
        <v>0</v>
      </c>
      <c r="V76" s="236">
        <f t="shared" ca="1" si="46"/>
        <v>0</v>
      </c>
      <c r="W76" s="236">
        <f t="shared" ca="1" si="46"/>
        <v>0</v>
      </c>
      <c r="X76" s="236">
        <f t="shared" ca="1" si="46"/>
        <v>0</v>
      </c>
      <c r="Y76" s="236">
        <f t="shared" ca="1" si="46"/>
        <v>0</v>
      </c>
      <c r="Z76" s="236">
        <f t="shared" ca="1" si="46"/>
        <v>0</v>
      </c>
      <c r="AA76" s="236">
        <f t="shared" ca="1" si="46"/>
        <v>0</v>
      </c>
      <c r="AB76" s="236">
        <f ca="1">AB53+AB74</f>
        <v>0</v>
      </c>
      <c r="AC76" s="236">
        <f t="shared" ca="1" si="46"/>
        <v>0</v>
      </c>
      <c r="AD76" s="236">
        <f t="shared" ca="1" si="46"/>
        <v>0</v>
      </c>
      <c r="AE76" s="236">
        <f t="shared" ca="1" si="46"/>
        <v>0</v>
      </c>
      <c r="AF76" s="236">
        <f t="shared" ca="1" si="46"/>
        <v>0</v>
      </c>
      <c r="AG76" s="236">
        <f t="shared" ca="1" si="46"/>
        <v>0</v>
      </c>
      <c r="AH76" s="236">
        <f t="shared" ca="1" si="46"/>
        <v>0</v>
      </c>
      <c r="AI76" s="236">
        <f t="shared" ca="1" si="46"/>
        <v>0</v>
      </c>
      <c r="AJ76" s="236">
        <f t="shared" ca="1" si="46"/>
        <v>15608.512233972084</v>
      </c>
      <c r="AK76" s="236">
        <f t="shared" ca="1" si="46"/>
        <v>110629.26728870487</v>
      </c>
      <c r="AL76" s="236">
        <f t="shared" ca="1" si="46"/>
        <v>285024.89693749323</v>
      </c>
      <c r="AM76" s="236">
        <f t="shared" ca="1" si="46"/>
        <v>538757.50357041927</v>
      </c>
      <c r="AN76" s="236">
        <f t="shared" ca="1" si="46"/>
        <v>871788.65269475779</v>
      </c>
      <c r="AO76" s="236">
        <f t="shared" ca="1" si="46"/>
        <v>1284079.3653291378</v>
      </c>
      <c r="AP76" s="236">
        <f t="shared" ca="1" si="46"/>
        <v>1775590.1102899513</v>
      </c>
      <c r="AQ76" s="236">
        <f t="shared" ca="1" si="46"/>
        <v>2346280.7963684895</v>
      </c>
      <c r="AR76" s="236">
        <f t="shared" ca="1" si="46"/>
        <v>2996110.7643972537</v>
      </c>
      <c r="AS76" s="236">
        <f t="shared" ca="1" si="46"/>
        <v>3725038.7792038717</v>
      </c>
      <c r="AT76" s="236">
        <f t="shared" ca="1" si="46"/>
        <v>4533023.0214510299</v>
      </c>
      <c r="AU76" s="236">
        <f t="shared" ca="1" si="46"/>
        <v>5420021.0793608027</v>
      </c>
      <c r="AV76" s="236">
        <f t="shared" ca="1" si="46"/>
        <v>6385989.9403217435</v>
      </c>
      <c r="AW76" s="236">
        <f t="shared" ca="1" si="46"/>
        <v>7430885.9823770784</v>
      </c>
      <c r="AX76" s="236">
        <f t="shared" ca="1" si="46"/>
        <v>8554664.9655923098</v>
      </c>
      <c r="AY76" s="236">
        <f t="shared" ca="1" si="46"/>
        <v>9757282.023300536</v>
      </c>
      <c r="AZ76" s="236">
        <f t="shared" ref="AZ76:CA76" ca="1" si="47">AZ53+AZ74</f>
        <v>11038691.653223742</v>
      </c>
      <c r="BA76" s="236">
        <f t="shared" ca="1" si="47"/>
        <v>12398847.708468307</v>
      </c>
      <c r="BB76" s="236">
        <f t="shared" ca="1" si="47"/>
        <v>13837703.388392949</v>
      </c>
      <c r="BC76" s="236">
        <f t="shared" ca="1" si="47"/>
        <v>15355211.229347305</v>
      </c>
      <c r="BD76" s="236">
        <f t="shared" ca="1" si="47"/>
        <v>16951323.095279295</v>
      </c>
      <c r="BE76" s="236">
        <f t="shared" ca="1" si="47"/>
        <v>18625990.168209434</v>
      </c>
      <c r="BF76" s="236">
        <f t="shared" ca="1" si="47"/>
        <v>20379162.938570194</v>
      </c>
      <c r="BG76" s="236">
        <f t="shared" ca="1" si="47"/>
        <v>22210791.195408512</v>
      </c>
      <c r="BH76" s="236">
        <f t="shared" ca="1" si="47"/>
        <v>24120824.016449489</v>
      </c>
      <c r="BI76" s="236">
        <f t="shared" ca="1" si="47"/>
        <v>26109209.758019324</v>
      </c>
      <c r="BJ76" s="236">
        <f t="shared" ca="1" si="47"/>
        <v>28175896.044825513</v>
      </c>
      <c r="BK76" s="236">
        <f t="shared" ca="1" si="47"/>
        <v>30320829.759592235</v>
      </c>
      <c r="BL76" s="236">
        <f t="shared" ca="1" si="47"/>
        <v>32543957.03254893</v>
      </c>
      <c r="BM76" s="236">
        <f t="shared" ca="1" si="47"/>
        <v>34845223.230769962</v>
      </c>
      <c r="BN76" s="236">
        <f t="shared" ca="1" si="47"/>
        <v>37224572.947363235</v>
      </c>
      <c r="BO76" s="236">
        <f t="shared" ca="1" si="47"/>
        <v>39681949.990505695</v>
      </c>
      <c r="BP76" s="236">
        <f t="shared" ca="1" si="47"/>
        <v>42217297.372323453</v>
      </c>
      <c r="BQ76" s="236">
        <f t="shared" ca="1" si="47"/>
        <v>44830557.297614411</v>
      </c>
      <c r="BR76" s="236">
        <f t="shared" ca="1" si="47"/>
        <v>47521671.152411103</v>
      </c>
      <c r="BS76" s="236">
        <f t="shared" ca="1" si="47"/>
        <v>50290579.492381528</v>
      </c>
      <c r="BT76" s="236">
        <f t="shared" ca="1" si="47"/>
        <v>53137222.03106565</v>
      </c>
      <c r="BU76" s="236">
        <f t="shared" ca="1" si="47"/>
        <v>56061537.627945237</v>
      </c>
      <c r="BV76" s="236">
        <f t="shared" ca="1" si="47"/>
        <v>59063464.276344731</v>
      </c>
      <c r="BW76" s="236">
        <f t="shared" ca="1" si="47"/>
        <v>62142939.09116067</v>
      </c>
      <c r="BX76" s="236">
        <f t="shared" ca="1" si="47"/>
        <v>65299898.296417281</v>
      </c>
      <c r="BY76" s="236">
        <f t="shared" ca="1" si="47"/>
        <v>68534277.212645799</v>
      </c>
      <c r="BZ76" s="236">
        <f t="shared" ca="1" si="47"/>
        <v>71846010.244084999</v>
      </c>
      <c r="CA76" s="236">
        <f t="shared" ca="1" si="47"/>
        <v>75235030.865700379</v>
      </c>
      <c r="CB76" s="43"/>
      <c r="CC76" s="111"/>
    </row>
    <row r="77" spans="1:81" ht="15" customHeight="1" x14ac:dyDescent="0.3">
      <c r="A77" s="51"/>
      <c r="D77" s="132"/>
      <c r="I77" s="31"/>
      <c r="J77" s="31"/>
      <c r="K77" s="2"/>
      <c r="L77" s="191"/>
      <c r="M77" s="139"/>
      <c r="N77" s="191"/>
      <c r="O77" s="191"/>
      <c r="P77" s="191"/>
      <c r="Q77" s="191"/>
      <c r="R77" s="191"/>
      <c r="S77" s="139"/>
      <c r="T77" s="237"/>
      <c r="U77" s="237"/>
      <c r="V77" s="237"/>
      <c r="W77" s="237"/>
      <c r="X77" s="237"/>
      <c r="Y77" s="237"/>
      <c r="Z77" s="237"/>
      <c r="AA77" s="237"/>
      <c r="AB77" s="237"/>
      <c r="AC77" s="237"/>
      <c r="AD77" s="237"/>
      <c r="AE77" s="237"/>
      <c r="AF77" s="237"/>
      <c r="AG77" s="237"/>
      <c r="AH77" s="237"/>
      <c r="AI77" s="237"/>
      <c r="AJ77" s="237"/>
      <c r="AK77" s="237"/>
      <c r="AL77" s="237"/>
      <c r="AM77" s="237"/>
      <c r="AN77" s="237"/>
      <c r="AO77" s="237"/>
      <c r="AP77" s="237"/>
      <c r="AQ77" s="237"/>
      <c r="AR77" s="237"/>
      <c r="AS77" s="237"/>
      <c r="AT77" s="237"/>
      <c r="AU77" s="237"/>
      <c r="AV77" s="237"/>
      <c r="AW77" s="237"/>
      <c r="AX77" s="237"/>
      <c r="AY77" s="237"/>
      <c r="AZ77" s="237"/>
      <c r="BA77" s="237"/>
      <c r="BB77" s="237"/>
      <c r="BC77" s="237"/>
      <c r="BD77" s="237"/>
      <c r="BE77" s="237"/>
      <c r="BF77" s="237"/>
      <c r="BG77" s="237"/>
      <c r="BH77" s="237"/>
      <c r="BI77" s="237"/>
      <c r="BJ77" s="237"/>
      <c r="BK77" s="237"/>
      <c r="BL77" s="237"/>
      <c r="BM77" s="237"/>
      <c r="BN77" s="237"/>
      <c r="BO77" s="237"/>
      <c r="BP77" s="237"/>
      <c r="BQ77" s="237"/>
      <c r="BR77" s="237"/>
      <c r="BS77" s="237"/>
      <c r="BT77" s="237"/>
      <c r="BU77" s="237"/>
      <c r="BV77" s="237"/>
      <c r="BW77" s="237"/>
      <c r="BX77" s="237"/>
      <c r="BY77" s="237"/>
      <c r="BZ77" s="237"/>
      <c r="CA77" s="237"/>
      <c r="CB77" s="42"/>
      <c r="CC77" s="111"/>
    </row>
    <row r="78" spans="1:81" s="23" customFormat="1" ht="15" customHeight="1" x14ac:dyDescent="0.3">
      <c r="A78" s="111"/>
      <c r="B78" s="110"/>
      <c r="C78" s="110"/>
      <c r="D78" s="133" t="s">
        <v>149</v>
      </c>
      <c r="E78" s="123"/>
      <c r="F78" s="123"/>
      <c r="G78" s="123"/>
      <c r="H78" s="123"/>
      <c r="I78" s="124"/>
      <c r="J78" s="124"/>
      <c r="K78" s="125"/>
      <c r="L78" s="126"/>
      <c r="M78" s="172"/>
      <c r="N78" s="126"/>
      <c r="O78" s="126"/>
      <c r="P78" s="126"/>
      <c r="Q78" s="126"/>
      <c r="R78" s="126"/>
      <c r="S78" s="97"/>
      <c r="T78" s="126"/>
      <c r="U78" s="126"/>
      <c r="V78" s="126"/>
      <c r="W78" s="126"/>
      <c r="X78" s="126"/>
      <c r="Y78" s="126"/>
      <c r="Z78" s="126"/>
      <c r="AA78" s="126"/>
      <c r="AB78" s="126"/>
      <c r="AC78" s="126"/>
      <c r="AD78" s="126"/>
      <c r="AE78" s="126"/>
      <c r="AF78" s="126"/>
      <c r="AG78" s="126"/>
      <c r="AH78" s="126"/>
      <c r="AI78" s="126"/>
      <c r="AJ78" s="126"/>
      <c r="AK78" s="126"/>
      <c r="AL78" s="126"/>
      <c r="AM78" s="126"/>
      <c r="AN78" s="126"/>
      <c r="AO78" s="126"/>
      <c r="AP78" s="126"/>
      <c r="AQ78" s="126"/>
      <c r="AR78" s="126"/>
      <c r="AS78" s="126"/>
      <c r="AT78" s="126"/>
      <c r="AU78" s="126"/>
      <c r="AV78" s="126"/>
      <c r="AW78" s="126"/>
      <c r="AX78" s="126"/>
      <c r="AY78" s="126"/>
      <c r="AZ78" s="126"/>
      <c r="BA78" s="126"/>
      <c r="BB78" s="126"/>
      <c r="BC78" s="126"/>
      <c r="BD78" s="126"/>
      <c r="BE78" s="126"/>
      <c r="BF78" s="126"/>
      <c r="BG78" s="126"/>
      <c r="BH78" s="126"/>
      <c r="BI78" s="126"/>
      <c r="BJ78" s="126"/>
      <c r="BK78" s="126"/>
      <c r="BL78" s="126"/>
      <c r="BM78" s="126"/>
      <c r="BN78" s="126"/>
      <c r="BO78" s="126"/>
      <c r="BP78" s="126"/>
      <c r="BQ78" s="126"/>
      <c r="BR78" s="126"/>
      <c r="BS78" s="126"/>
      <c r="BT78" s="126"/>
      <c r="BU78" s="126"/>
      <c r="BV78" s="126"/>
      <c r="BW78" s="126"/>
      <c r="BX78" s="126"/>
      <c r="BY78" s="126"/>
      <c r="BZ78" s="126"/>
      <c r="CA78" s="126"/>
      <c r="CB78" s="112"/>
      <c r="CC78" s="111"/>
    </row>
    <row r="79" spans="1:81" ht="15" customHeight="1" x14ac:dyDescent="0.3">
      <c r="A79" s="51"/>
      <c r="D79" s="132"/>
      <c r="I79" s="31"/>
      <c r="J79" s="31"/>
      <c r="K79" s="2"/>
      <c r="L79" s="29"/>
      <c r="M79" s="172"/>
      <c r="N79" s="29"/>
      <c r="O79" s="29"/>
      <c r="P79" s="29"/>
      <c r="Q79" s="29"/>
      <c r="R79" s="29"/>
      <c r="S79" s="97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111"/>
    </row>
    <row r="80" spans="1:81" ht="15" customHeight="1" x14ac:dyDescent="0.3">
      <c r="A80" s="51"/>
      <c r="D80" s="132" t="s">
        <v>133</v>
      </c>
      <c r="I80" s="31" t="str">
        <f>Ввод!$M$12</f>
        <v>руб</v>
      </c>
      <c r="J80" s="31"/>
      <c r="K80" s="2"/>
      <c r="L80" s="191">
        <f>SUM(N80:R80)</f>
        <v>-11000000</v>
      </c>
      <c r="M80" s="139"/>
      <c r="N80" s="191">
        <f t="shared" ref="N80:R83" si="48">SUMIF($T$4:$EI$4,N$4,$T80:$EI80)</f>
        <v>-11000000</v>
      </c>
      <c r="O80" s="191">
        <f t="shared" si="48"/>
        <v>0</v>
      </c>
      <c r="P80" s="191">
        <f t="shared" si="48"/>
        <v>0</v>
      </c>
      <c r="Q80" s="191">
        <f t="shared" si="48"/>
        <v>0</v>
      </c>
      <c r="R80" s="191">
        <f t="shared" si="48"/>
        <v>0</v>
      </c>
      <c r="S80" s="139"/>
      <c r="T80" s="239">
        <f>-T72</f>
        <v>-1000000</v>
      </c>
      <c r="U80" s="239">
        <f t="shared" ref="U80:CA80" si="49">-U72</f>
        <v>0</v>
      </c>
      <c r="V80" s="239">
        <f t="shared" si="49"/>
        <v>0</v>
      </c>
      <c r="W80" s="239">
        <f t="shared" si="49"/>
        <v>0</v>
      </c>
      <c r="X80" s="239">
        <f t="shared" si="49"/>
        <v>-5000000</v>
      </c>
      <c r="Y80" s="239">
        <f t="shared" si="49"/>
        <v>0</v>
      </c>
      <c r="Z80" s="239">
        <f t="shared" si="49"/>
        <v>0</v>
      </c>
      <c r="AA80" s="239">
        <f t="shared" si="49"/>
        <v>0</v>
      </c>
      <c r="AB80" s="239">
        <f t="shared" si="49"/>
        <v>0</v>
      </c>
      <c r="AC80" s="239">
        <f t="shared" si="49"/>
        <v>-5000000</v>
      </c>
      <c r="AD80" s="239">
        <f t="shared" si="49"/>
        <v>0</v>
      </c>
      <c r="AE80" s="239">
        <f t="shared" si="49"/>
        <v>0</v>
      </c>
      <c r="AF80" s="239">
        <f t="shared" si="49"/>
        <v>0</v>
      </c>
      <c r="AG80" s="239">
        <f t="shared" si="49"/>
        <v>0</v>
      </c>
      <c r="AH80" s="239">
        <f t="shared" si="49"/>
        <v>0</v>
      </c>
      <c r="AI80" s="239">
        <f t="shared" si="49"/>
        <v>0</v>
      </c>
      <c r="AJ80" s="239">
        <f t="shared" si="49"/>
        <v>0</v>
      </c>
      <c r="AK80" s="239">
        <f t="shared" si="49"/>
        <v>0</v>
      </c>
      <c r="AL80" s="239">
        <f t="shared" si="49"/>
        <v>0</v>
      </c>
      <c r="AM80" s="239">
        <f t="shared" si="49"/>
        <v>0</v>
      </c>
      <c r="AN80" s="239">
        <f t="shared" si="49"/>
        <v>0</v>
      </c>
      <c r="AO80" s="239">
        <f t="shared" si="49"/>
        <v>0</v>
      </c>
      <c r="AP80" s="239">
        <f t="shared" si="49"/>
        <v>0</v>
      </c>
      <c r="AQ80" s="239">
        <f t="shared" si="49"/>
        <v>0</v>
      </c>
      <c r="AR80" s="239">
        <f t="shared" si="49"/>
        <v>0</v>
      </c>
      <c r="AS80" s="239">
        <f t="shared" si="49"/>
        <v>0</v>
      </c>
      <c r="AT80" s="239">
        <f t="shared" si="49"/>
        <v>0</v>
      </c>
      <c r="AU80" s="239">
        <f t="shared" si="49"/>
        <v>0</v>
      </c>
      <c r="AV80" s="239">
        <f t="shared" si="49"/>
        <v>0</v>
      </c>
      <c r="AW80" s="239">
        <f t="shared" si="49"/>
        <v>0</v>
      </c>
      <c r="AX80" s="239">
        <f t="shared" si="49"/>
        <v>0</v>
      </c>
      <c r="AY80" s="239">
        <f t="shared" si="49"/>
        <v>0</v>
      </c>
      <c r="AZ80" s="239">
        <f t="shared" si="49"/>
        <v>0</v>
      </c>
      <c r="BA80" s="239">
        <f t="shared" si="49"/>
        <v>0</v>
      </c>
      <c r="BB80" s="239">
        <f t="shared" si="49"/>
        <v>0</v>
      </c>
      <c r="BC80" s="239">
        <f t="shared" si="49"/>
        <v>0</v>
      </c>
      <c r="BD80" s="239">
        <f t="shared" si="49"/>
        <v>0</v>
      </c>
      <c r="BE80" s="239">
        <f t="shared" si="49"/>
        <v>0</v>
      </c>
      <c r="BF80" s="239">
        <f t="shared" si="49"/>
        <v>0</v>
      </c>
      <c r="BG80" s="239">
        <f t="shared" si="49"/>
        <v>0</v>
      </c>
      <c r="BH80" s="239">
        <f t="shared" si="49"/>
        <v>0</v>
      </c>
      <c r="BI80" s="239">
        <f t="shared" si="49"/>
        <v>0</v>
      </c>
      <c r="BJ80" s="239">
        <f t="shared" si="49"/>
        <v>0</v>
      </c>
      <c r="BK80" s="239">
        <f t="shared" si="49"/>
        <v>0</v>
      </c>
      <c r="BL80" s="239">
        <f t="shared" si="49"/>
        <v>0</v>
      </c>
      <c r="BM80" s="239">
        <f t="shared" si="49"/>
        <v>0</v>
      </c>
      <c r="BN80" s="239">
        <f t="shared" si="49"/>
        <v>0</v>
      </c>
      <c r="BO80" s="239">
        <f t="shared" si="49"/>
        <v>0</v>
      </c>
      <c r="BP80" s="239">
        <f t="shared" si="49"/>
        <v>0</v>
      </c>
      <c r="BQ80" s="239">
        <f t="shared" si="49"/>
        <v>0</v>
      </c>
      <c r="BR80" s="239">
        <f t="shared" si="49"/>
        <v>0</v>
      </c>
      <c r="BS80" s="239">
        <f t="shared" si="49"/>
        <v>0</v>
      </c>
      <c r="BT80" s="239">
        <f t="shared" si="49"/>
        <v>0</v>
      </c>
      <c r="BU80" s="239">
        <f t="shared" si="49"/>
        <v>0</v>
      </c>
      <c r="BV80" s="239">
        <f t="shared" si="49"/>
        <v>0</v>
      </c>
      <c r="BW80" s="239">
        <f t="shared" si="49"/>
        <v>0</v>
      </c>
      <c r="BX80" s="239">
        <f t="shared" si="49"/>
        <v>0</v>
      </c>
      <c r="BY80" s="239">
        <f t="shared" si="49"/>
        <v>0</v>
      </c>
      <c r="BZ80" s="239">
        <f t="shared" si="49"/>
        <v>0</v>
      </c>
      <c r="CA80" s="239">
        <f t="shared" si="49"/>
        <v>0</v>
      </c>
      <c r="CB80" s="22"/>
      <c r="CC80" s="111"/>
    </row>
    <row r="81" spans="1:83" ht="15" customHeight="1" x14ac:dyDescent="0.3">
      <c r="A81" s="51"/>
      <c r="D81" s="132" t="s">
        <v>110</v>
      </c>
      <c r="I81" s="31" t="str">
        <f>Ввод!$M$12</f>
        <v>руб</v>
      </c>
      <c r="J81" s="31"/>
      <c r="K81" s="2"/>
      <c r="L81" s="191">
        <f ca="1">SUM(N81:R81)</f>
        <v>75235030.865700364</v>
      </c>
      <c r="M81" s="139"/>
      <c r="N81" s="191">
        <f t="shared" ca="1" si="48"/>
        <v>0</v>
      </c>
      <c r="O81" s="191">
        <f t="shared" ca="1" si="48"/>
        <v>2346280.7963684895</v>
      </c>
      <c r="P81" s="191">
        <f t="shared" ca="1" si="48"/>
        <v>13008930.432978818</v>
      </c>
      <c r="Q81" s="191">
        <f t="shared" ca="1" si="48"/>
        <v>24326738.761158384</v>
      </c>
      <c r="R81" s="191">
        <f t="shared" ca="1" si="48"/>
        <v>35553080.875194676</v>
      </c>
      <c r="S81" s="139"/>
      <c r="T81" s="239">
        <f ca="1">T74</f>
        <v>0</v>
      </c>
      <c r="U81" s="239">
        <f t="shared" ref="U81:AY81" ca="1" si="50">U74</f>
        <v>0</v>
      </c>
      <c r="V81" s="239">
        <f t="shared" ca="1" si="50"/>
        <v>0</v>
      </c>
      <c r="W81" s="239">
        <f t="shared" ca="1" si="50"/>
        <v>0</v>
      </c>
      <c r="X81" s="239">
        <f t="shared" ca="1" si="50"/>
        <v>0</v>
      </c>
      <c r="Y81" s="239">
        <f t="shared" ca="1" si="50"/>
        <v>0</v>
      </c>
      <c r="Z81" s="239">
        <f t="shared" ca="1" si="50"/>
        <v>0</v>
      </c>
      <c r="AA81" s="239">
        <f t="shared" ca="1" si="50"/>
        <v>0</v>
      </c>
      <c r="AB81" s="239">
        <f t="shared" ca="1" si="50"/>
        <v>0</v>
      </c>
      <c r="AC81" s="239">
        <f t="shared" ca="1" si="50"/>
        <v>0</v>
      </c>
      <c r="AD81" s="239">
        <f t="shared" ca="1" si="50"/>
        <v>0</v>
      </c>
      <c r="AE81" s="239">
        <f t="shared" ca="1" si="50"/>
        <v>0</v>
      </c>
      <c r="AF81" s="239">
        <f t="shared" ca="1" si="50"/>
        <v>0</v>
      </c>
      <c r="AG81" s="239">
        <f t="shared" ca="1" si="50"/>
        <v>0</v>
      </c>
      <c r="AH81" s="239">
        <f t="shared" ca="1" si="50"/>
        <v>0</v>
      </c>
      <c r="AI81" s="239">
        <f t="shared" ca="1" si="50"/>
        <v>0</v>
      </c>
      <c r="AJ81" s="239">
        <f t="shared" ca="1" si="50"/>
        <v>15608.512233972084</v>
      </c>
      <c r="AK81" s="239">
        <f t="shared" ca="1" si="50"/>
        <v>95020.755054732785</v>
      </c>
      <c r="AL81" s="239">
        <f t="shared" ca="1" si="50"/>
        <v>174395.62964878837</v>
      </c>
      <c r="AM81" s="239">
        <f t="shared" ca="1" si="50"/>
        <v>253732.60663292604</v>
      </c>
      <c r="AN81" s="239">
        <f t="shared" ca="1" si="50"/>
        <v>333031.14912433852</v>
      </c>
      <c r="AO81" s="239">
        <f t="shared" ca="1" si="50"/>
        <v>412290.71263437998</v>
      </c>
      <c r="AP81" s="239">
        <f t="shared" ca="1" si="50"/>
        <v>491510.74496081355</v>
      </c>
      <c r="AQ81" s="239">
        <f t="shared" ca="1" si="50"/>
        <v>570690.68607853819</v>
      </c>
      <c r="AR81" s="239">
        <f t="shared" ca="1" si="50"/>
        <v>649829.96802876424</v>
      </c>
      <c r="AS81" s="239">
        <f t="shared" ca="1" si="50"/>
        <v>728928.01480661798</v>
      </c>
      <c r="AT81" s="239">
        <f t="shared" ca="1" si="50"/>
        <v>807984.2422471582</v>
      </c>
      <c r="AU81" s="239">
        <f t="shared" ca="1" si="50"/>
        <v>886998.05790977273</v>
      </c>
      <c r="AV81" s="239">
        <f t="shared" ca="1" si="50"/>
        <v>965968.8609609413</v>
      </c>
      <c r="AW81" s="239">
        <f t="shared" ca="1" si="50"/>
        <v>1044896.0420553344</v>
      </c>
      <c r="AX81" s="239">
        <f t="shared" ca="1" si="50"/>
        <v>1123778.9832152314</v>
      </c>
      <c r="AY81" s="239">
        <f t="shared" ca="1" si="50"/>
        <v>1202617.0577082271</v>
      </c>
      <c r="AZ81" s="239">
        <f t="shared" ref="AZ81:CA81" ca="1" si="51">AZ74</f>
        <v>1281409.6299232068</v>
      </c>
      <c r="BA81" s="239">
        <f t="shared" ca="1" si="51"/>
        <v>1360156.0552445655</v>
      </c>
      <c r="BB81" s="239">
        <f t="shared" ca="1" si="51"/>
        <v>1438855.6799246427</v>
      </c>
      <c r="BC81" s="239">
        <f t="shared" ca="1" si="51"/>
        <v>1517507.8409543554</v>
      </c>
      <c r="BD81" s="239">
        <f t="shared" ca="1" si="51"/>
        <v>1596111.8659319887</v>
      </c>
      <c r="BE81" s="239">
        <f t="shared" ca="1" si="51"/>
        <v>1674667.0729301381</v>
      </c>
      <c r="BF81" s="239">
        <f t="shared" ca="1" si="51"/>
        <v>1753172.7703607618</v>
      </c>
      <c r="BG81" s="239">
        <f t="shared" ca="1" si="51"/>
        <v>1831628.2568383184</v>
      </c>
      <c r="BH81" s="239">
        <f t="shared" ca="1" si="51"/>
        <v>1910032.8210409749</v>
      </c>
      <c r="BI81" s="239">
        <f t="shared" ca="1" si="51"/>
        <v>1988385.7415698352</v>
      </c>
      <c r="BJ81" s="239">
        <f t="shared" ca="1" si="51"/>
        <v>2066686.2868061876</v>
      </c>
      <c r="BK81" s="239">
        <f t="shared" ca="1" si="51"/>
        <v>2144933.7147667212</v>
      </c>
      <c r="BL81" s="239">
        <f t="shared" ca="1" si="51"/>
        <v>2223127.2729566963</v>
      </c>
      <c r="BM81" s="239">
        <f t="shared" ca="1" si="51"/>
        <v>2301266.1982210297</v>
      </c>
      <c r="BN81" s="239">
        <f t="shared" ca="1" si="51"/>
        <v>2379349.7165932744</v>
      </c>
      <c r="BO81" s="239">
        <f t="shared" ca="1" si="51"/>
        <v>2457377.0431424584</v>
      </c>
      <c r="BP81" s="239">
        <f t="shared" ca="1" si="51"/>
        <v>2535347.3818177567</v>
      </c>
      <c r="BQ81" s="239">
        <f t="shared" ca="1" si="51"/>
        <v>2613259.9252909543</v>
      </c>
      <c r="BR81" s="239">
        <f t="shared" ca="1" si="51"/>
        <v>2691113.8547966899</v>
      </c>
      <c r="BS81" s="239">
        <f t="shared" ca="1" si="51"/>
        <v>2768908.3399704229</v>
      </c>
      <c r="BT81" s="239">
        <f t="shared" ca="1" si="51"/>
        <v>2846642.5386841241</v>
      </c>
      <c r="BU81" s="239">
        <f t="shared" ca="1" si="51"/>
        <v>2924315.5968795884</v>
      </c>
      <c r="BV81" s="239">
        <f t="shared" ca="1" si="51"/>
        <v>3001926.6483994946</v>
      </c>
      <c r="BW81" s="239">
        <f t="shared" ca="1" si="51"/>
        <v>3079474.8148159347</v>
      </c>
      <c r="BX81" s="239">
        <f t="shared" ca="1" si="51"/>
        <v>3156959.2052566074</v>
      </c>
      <c r="BY81" s="239">
        <f t="shared" ca="1" si="51"/>
        <v>3234378.9162285216</v>
      </c>
      <c r="BZ81" s="239">
        <f t="shared" ca="1" si="51"/>
        <v>3311733.0314392056</v>
      </c>
      <c r="CA81" s="239">
        <f t="shared" ca="1" si="51"/>
        <v>3389020.6216153745</v>
      </c>
      <c r="CB81" s="22"/>
      <c r="CC81" s="111"/>
    </row>
    <row r="82" spans="1:83" ht="15" customHeight="1" x14ac:dyDescent="0.3">
      <c r="A82" s="51"/>
      <c r="D82" s="132"/>
      <c r="I82" s="31"/>
      <c r="J82" s="31"/>
      <c r="K82" s="2"/>
      <c r="L82" s="191"/>
      <c r="M82" s="139"/>
      <c r="N82" s="191"/>
      <c r="O82" s="191"/>
      <c r="P82" s="191"/>
      <c r="Q82" s="191"/>
      <c r="R82" s="191"/>
      <c r="S82" s="139"/>
      <c r="T82" s="239"/>
      <c r="U82" s="239"/>
      <c r="V82" s="239"/>
      <c r="W82" s="239"/>
      <c r="X82" s="239"/>
      <c r="Y82" s="239"/>
      <c r="Z82" s="239"/>
      <c r="AA82" s="239"/>
      <c r="AB82" s="239"/>
      <c r="AC82" s="239"/>
      <c r="AD82" s="239"/>
      <c r="AE82" s="239"/>
      <c r="AF82" s="239"/>
      <c r="AG82" s="239"/>
      <c r="AH82" s="239"/>
      <c r="AI82" s="239"/>
      <c r="AJ82" s="239"/>
      <c r="AK82" s="239"/>
      <c r="AL82" s="239"/>
      <c r="AM82" s="239"/>
      <c r="AN82" s="239"/>
      <c r="AO82" s="239"/>
      <c r="AP82" s="239"/>
      <c r="AQ82" s="239"/>
      <c r="AR82" s="239"/>
      <c r="AS82" s="239"/>
      <c r="AT82" s="239"/>
      <c r="AU82" s="239"/>
      <c r="AV82" s="239"/>
      <c r="AW82" s="239"/>
      <c r="AX82" s="239"/>
      <c r="AY82" s="239"/>
      <c r="AZ82" s="239"/>
      <c r="BA82" s="239"/>
      <c r="BB82" s="239"/>
      <c r="BC82" s="239"/>
      <c r="BD82" s="239"/>
      <c r="BE82" s="239"/>
      <c r="BF82" s="239"/>
      <c r="BG82" s="239"/>
      <c r="BH82" s="239"/>
      <c r="BI82" s="239"/>
      <c r="BJ82" s="239"/>
      <c r="BK82" s="239"/>
      <c r="BL82" s="239"/>
      <c r="BM82" s="239"/>
      <c r="BN82" s="239"/>
      <c r="BO82" s="239"/>
      <c r="BP82" s="239"/>
      <c r="BQ82" s="239"/>
      <c r="BR82" s="239"/>
      <c r="BS82" s="239"/>
      <c r="BT82" s="239"/>
      <c r="BU82" s="239"/>
      <c r="BV82" s="239"/>
      <c r="BW82" s="239"/>
      <c r="BX82" s="239"/>
      <c r="BY82" s="239"/>
      <c r="BZ82" s="239"/>
      <c r="CA82" s="239"/>
      <c r="CB82" s="22"/>
      <c r="CC82" s="111"/>
    </row>
    <row r="83" spans="1:83" ht="15" customHeight="1" x14ac:dyDescent="0.3">
      <c r="A83" s="51"/>
      <c r="D83" s="132" t="s">
        <v>111</v>
      </c>
      <c r="I83" s="31" t="str">
        <f>Ввод!$M$12</f>
        <v>руб</v>
      </c>
      <c r="J83" s="31"/>
      <c r="K83" s="2"/>
      <c r="L83" s="191">
        <f ca="1">SUM(N83:R83)</f>
        <v>64235030.865700364</v>
      </c>
      <c r="M83" s="139"/>
      <c r="N83" s="191">
        <f ca="1">SUMIF($T$4:$EI$4,N$4,$T83:$EI83)</f>
        <v>-11000000</v>
      </c>
      <c r="O83" s="191">
        <f t="shared" ca="1" si="48"/>
        <v>2346280.7963684895</v>
      </c>
      <c r="P83" s="191">
        <f t="shared" ca="1" si="48"/>
        <v>13008930.432978818</v>
      </c>
      <c r="Q83" s="191">
        <f t="shared" ca="1" si="48"/>
        <v>24326738.761158384</v>
      </c>
      <c r="R83" s="191">
        <f t="shared" ca="1" si="48"/>
        <v>35553080.875194676</v>
      </c>
      <c r="S83" s="139"/>
      <c r="T83" s="239">
        <f ca="1">T80+T81</f>
        <v>-1000000</v>
      </c>
      <c r="U83" s="239">
        <f t="shared" ref="U83:CA83" ca="1" si="52">U80+U81</f>
        <v>0</v>
      </c>
      <c r="V83" s="239">
        <f t="shared" ca="1" si="52"/>
        <v>0</v>
      </c>
      <c r="W83" s="239">
        <f t="shared" ca="1" si="52"/>
        <v>0</v>
      </c>
      <c r="X83" s="239">
        <f t="shared" ca="1" si="52"/>
        <v>-5000000</v>
      </c>
      <c r="Y83" s="239">
        <f t="shared" ca="1" si="52"/>
        <v>0</v>
      </c>
      <c r="Z83" s="239">
        <f t="shared" ca="1" si="52"/>
        <v>0</v>
      </c>
      <c r="AA83" s="239">
        <f t="shared" ca="1" si="52"/>
        <v>0</v>
      </c>
      <c r="AB83" s="239">
        <f t="shared" ca="1" si="52"/>
        <v>0</v>
      </c>
      <c r="AC83" s="239">
        <f t="shared" ca="1" si="52"/>
        <v>-5000000</v>
      </c>
      <c r="AD83" s="239">
        <f t="shared" ca="1" si="52"/>
        <v>0</v>
      </c>
      <c r="AE83" s="239">
        <f t="shared" ca="1" si="52"/>
        <v>0</v>
      </c>
      <c r="AF83" s="239">
        <f t="shared" ca="1" si="52"/>
        <v>0</v>
      </c>
      <c r="AG83" s="239">
        <f t="shared" ca="1" si="52"/>
        <v>0</v>
      </c>
      <c r="AH83" s="239">
        <f t="shared" ca="1" si="52"/>
        <v>0</v>
      </c>
      <c r="AI83" s="239">
        <f t="shared" ca="1" si="52"/>
        <v>0</v>
      </c>
      <c r="AJ83" s="239">
        <f t="shared" ca="1" si="52"/>
        <v>15608.512233972084</v>
      </c>
      <c r="AK83" s="239">
        <f t="shared" ca="1" si="52"/>
        <v>95020.755054732785</v>
      </c>
      <c r="AL83" s="239">
        <f t="shared" ca="1" si="52"/>
        <v>174395.62964878837</v>
      </c>
      <c r="AM83" s="239">
        <f t="shared" ca="1" si="52"/>
        <v>253732.60663292604</v>
      </c>
      <c r="AN83" s="239">
        <f t="shared" ca="1" si="52"/>
        <v>333031.14912433852</v>
      </c>
      <c r="AO83" s="239">
        <f t="shared" ca="1" si="52"/>
        <v>412290.71263437998</v>
      </c>
      <c r="AP83" s="239">
        <f t="shared" ca="1" si="52"/>
        <v>491510.74496081355</v>
      </c>
      <c r="AQ83" s="239">
        <f t="shared" ca="1" si="52"/>
        <v>570690.68607853819</v>
      </c>
      <c r="AR83" s="239">
        <f t="shared" ca="1" si="52"/>
        <v>649829.96802876424</v>
      </c>
      <c r="AS83" s="239">
        <f t="shared" ca="1" si="52"/>
        <v>728928.01480661798</v>
      </c>
      <c r="AT83" s="239">
        <f t="shared" ca="1" si="52"/>
        <v>807984.2422471582</v>
      </c>
      <c r="AU83" s="239">
        <f t="shared" ca="1" si="52"/>
        <v>886998.05790977273</v>
      </c>
      <c r="AV83" s="239">
        <f t="shared" ca="1" si="52"/>
        <v>965968.8609609413</v>
      </c>
      <c r="AW83" s="239">
        <f t="shared" ca="1" si="52"/>
        <v>1044896.0420553344</v>
      </c>
      <c r="AX83" s="239">
        <f t="shared" ca="1" si="52"/>
        <v>1123778.9832152314</v>
      </c>
      <c r="AY83" s="239">
        <f t="shared" ca="1" si="52"/>
        <v>1202617.0577082271</v>
      </c>
      <c r="AZ83" s="239">
        <f t="shared" ca="1" si="52"/>
        <v>1281409.6299232068</v>
      </c>
      <c r="BA83" s="239">
        <f t="shared" ca="1" si="52"/>
        <v>1360156.0552445655</v>
      </c>
      <c r="BB83" s="239">
        <f t="shared" ca="1" si="52"/>
        <v>1438855.6799246427</v>
      </c>
      <c r="BC83" s="239">
        <f t="shared" ca="1" si="52"/>
        <v>1517507.8409543554</v>
      </c>
      <c r="BD83" s="239">
        <f t="shared" ca="1" si="52"/>
        <v>1596111.8659319887</v>
      </c>
      <c r="BE83" s="239">
        <f t="shared" ca="1" si="52"/>
        <v>1674667.0729301381</v>
      </c>
      <c r="BF83" s="239">
        <f t="shared" ca="1" si="52"/>
        <v>1753172.7703607618</v>
      </c>
      <c r="BG83" s="239">
        <f t="shared" ca="1" si="52"/>
        <v>1831628.2568383184</v>
      </c>
      <c r="BH83" s="239">
        <f t="shared" ca="1" si="52"/>
        <v>1910032.8210409749</v>
      </c>
      <c r="BI83" s="239">
        <f t="shared" ca="1" si="52"/>
        <v>1988385.7415698352</v>
      </c>
      <c r="BJ83" s="239">
        <f t="shared" ca="1" si="52"/>
        <v>2066686.2868061876</v>
      </c>
      <c r="BK83" s="239">
        <f t="shared" ca="1" si="52"/>
        <v>2144933.7147667212</v>
      </c>
      <c r="BL83" s="239">
        <f t="shared" ca="1" si="52"/>
        <v>2223127.2729566963</v>
      </c>
      <c r="BM83" s="239">
        <f t="shared" ca="1" si="52"/>
        <v>2301266.1982210297</v>
      </c>
      <c r="BN83" s="239">
        <f t="shared" ca="1" si="52"/>
        <v>2379349.7165932744</v>
      </c>
      <c r="BO83" s="239">
        <f t="shared" ca="1" si="52"/>
        <v>2457377.0431424584</v>
      </c>
      <c r="BP83" s="239">
        <f t="shared" ca="1" si="52"/>
        <v>2535347.3818177567</v>
      </c>
      <c r="BQ83" s="239">
        <f t="shared" ca="1" si="52"/>
        <v>2613259.9252909543</v>
      </c>
      <c r="BR83" s="239">
        <f t="shared" ca="1" si="52"/>
        <v>2691113.8547966899</v>
      </c>
      <c r="BS83" s="239">
        <f t="shared" ca="1" si="52"/>
        <v>2768908.3399704229</v>
      </c>
      <c r="BT83" s="239">
        <f t="shared" ca="1" si="52"/>
        <v>2846642.5386841241</v>
      </c>
      <c r="BU83" s="239">
        <f t="shared" ca="1" si="52"/>
        <v>2924315.5968795884</v>
      </c>
      <c r="BV83" s="239">
        <f t="shared" ca="1" si="52"/>
        <v>3001926.6483994946</v>
      </c>
      <c r="BW83" s="239">
        <f t="shared" ca="1" si="52"/>
        <v>3079474.8148159347</v>
      </c>
      <c r="BX83" s="239">
        <f t="shared" ca="1" si="52"/>
        <v>3156959.2052566074</v>
      </c>
      <c r="BY83" s="239">
        <f t="shared" ca="1" si="52"/>
        <v>3234378.9162285216</v>
      </c>
      <c r="BZ83" s="239">
        <f t="shared" ca="1" si="52"/>
        <v>3311733.0314392056</v>
      </c>
      <c r="CA83" s="239">
        <f t="shared" ca="1" si="52"/>
        <v>3389020.6216153745</v>
      </c>
      <c r="CB83" s="22"/>
      <c r="CC83" s="111"/>
    </row>
    <row r="84" spans="1:83" ht="15" customHeight="1" x14ac:dyDescent="0.3">
      <c r="A84" s="51"/>
      <c r="D84" s="132" t="s">
        <v>148</v>
      </c>
      <c r="I84" s="31" t="str">
        <f>Ввод!$M$12</f>
        <v>руб</v>
      </c>
      <c r="J84" s="31"/>
      <c r="K84" s="2"/>
      <c r="L84" s="191"/>
      <c r="M84" s="139"/>
      <c r="N84" s="191">
        <f ca="1">SUMIFS($T84:$CA84,$T$4:$CA$4,N$4,$T$6:$CA$6,12)</f>
        <v>-11000000</v>
      </c>
      <c r="O84" s="191">
        <f ca="1">SUMIFS($T84:$CA84,$T$4:$CA$4,O$4,$T$6:$CA$6,12)</f>
        <v>-8653719.2036315091</v>
      </c>
      <c r="P84" s="191">
        <f ca="1">SUMIFS($T84:$CA84,$T$4:$CA$4,P$4,$T$6:$CA$6,12)</f>
        <v>4355211.2293473091</v>
      </c>
      <c r="Q84" s="191">
        <f ca="1">SUMIFS($T84:$CA84,$T$4:$CA$4,Q$4,$T$6:$CA$6,12)</f>
        <v>28681949.990505695</v>
      </c>
      <c r="R84" s="191">
        <f ca="1">SUMIFS($T84:$CA84,$T$4:$CA$4,R$4,$T$6:$CA$6,12)</f>
        <v>64235030.865700379</v>
      </c>
      <c r="S84" s="139"/>
      <c r="T84" s="239">
        <f ca="1">SUM($T$83:T83)</f>
        <v>-1000000</v>
      </c>
      <c r="U84" s="239">
        <f ca="1">SUM($T$83:U83)</f>
        <v>-1000000</v>
      </c>
      <c r="V84" s="239">
        <f ca="1">SUM($T$83:V83)</f>
        <v>-1000000</v>
      </c>
      <c r="W84" s="239">
        <f ca="1">SUM($T$83:W83)</f>
        <v>-1000000</v>
      </c>
      <c r="X84" s="239">
        <f ca="1">SUM($T$83:X83)</f>
        <v>-6000000</v>
      </c>
      <c r="Y84" s="239">
        <f ca="1">SUM($T$83:Y83)</f>
        <v>-6000000</v>
      </c>
      <c r="Z84" s="239">
        <f ca="1">SUM($T$83:Z83)</f>
        <v>-6000000</v>
      </c>
      <c r="AA84" s="239">
        <f ca="1">SUM($T$83:AA83)</f>
        <v>-6000000</v>
      </c>
      <c r="AB84" s="239">
        <f ca="1">SUM($T$83:AB83)</f>
        <v>-6000000</v>
      </c>
      <c r="AC84" s="239">
        <f ca="1">SUM($T$83:AC83)</f>
        <v>-11000000</v>
      </c>
      <c r="AD84" s="239">
        <f ca="1">SUM($T$83:AD83)</f>
        <v>-11000000</v>
      </c>
      <c r="AE84" s="239">
        <f ca="1">SUM($T$83:AE83)</f>
        <v>-11000000</v>
      </c>
      <c r="AF84" s="239">
        <f ca="1">SUM($T$83:AF83)</f>
        <v>-11000000</v>
      </c>
      <c r="AG84" s="239">
        <f ca="1">SUM($T$83:AG83)</f>
        <v>-11000000</v>
      </c>
      <c r="AH84" s="239">
        <f ca="1">SUM($T$83:AH83)</f>
        <v>-11000000</v>
      </c>
      <c r="AI84" s="239">
        <f ca="1">SUM($T$83:AI83)</f>
        <v>-11000000</v>
      </c>
      <c r="AJ84" s="239">
        <f ca="1">SUM($T$83:AJ83)</f>
        <v>-10984391.487766027</v>
      </c>
      <c r="AK84" s="239">
        <f ca="1">SUM($T$83:AK83)</f>
        <v>-10889370.732711295</v>
      </c>
      <c r="AL84" s="239">
        <f ca="1">SUM($T$83:AL83)</f>
        <v>-10714975.103062507</v>
      </c>
      <c r="AM84" s="239">
        <f ca="1">SUM($T$83:AM83)</f>
        <v>-10461242.496429581</v>
      </c>
      <c r="AN84" s="239">
        <f ca="1">SUM($T$83:AN83)</f>
        <v>-10128211.347305242</v>
      </c>
      <c r="AO84" s="239">
        <f ca="1">SUM($T$83:AO83)</f>
        <v>-9715920.6346708611</v>
      </c>
      <c r="AP84" s="239">
        <f ca="1">SUM($T$83:AP83)</f>
        <v>-9224409.8897100482</v>
      </c>
      <c r="AQ84" s="239">
        <f ca="1">SUM($T$83:AQ83)</f>
        <v>-8653719.2036315091</v>
      </c>
      <c r="AR84" s="239">
        <f ca="1">SUM($T$83:AR83)</f>
        <v>-8003889.2356027449</v>
      </c>
      <c r="AS84" s="239">
        <f ca="1">SUM($T$83:AS83)</f>
        <v>-7274961.2207961269</v>
      </c>
      <c r="AT84" s="239">
        <f ca="1">SUM($T$83:AT83)</f>
        <v>-6466976.9785489682</v>
      </c>
      <c r="AU84" s="239">
        <f ca="1">SUM($T$83:AU83)</f>
        <v>-5579978.9206391955</v>
      </c>
      <c r="AV84" s="239">
        <f ca="1">SUM($T$83:AV83)</f>
        <v>-4614010.0596782546</v>
      </c>
      <c r="AW84" s="239">
        <f ca="1">SUM($T$83:AW83)</f>
        <v>-3569114.0176229202</v>
      </c>
      <c r="AX84" s="239">
        <f ca="1">SUM($T$83:AX83)</f>
        <v>-2445335.0344076888</v>
      </c>
      <c r="AY84" s="239">
        <f ca="1">SUM($T$83:AY83)</f>
        <v>-1242717.9766994617</v>
      </c>
      <c r="AZ84" s="239">
        <f ca="1">SUM($T$83:AZ83)</f>
        <v>38691.653223745059</v>
      </c>
      <c r="BA84" s="239">
        <f ca="1">SUM($T$83:BA83)</f>
        <v>1398847.7084683105</v>
      </c>
      <c r="BB84" s="239">
        <f ca="1">SUM($T$83:BB83)</f>
        <v>2837703.3883929532</v>
      </c>
      <c r="BC84" s="239">
        <f ca="1">SUM($T$83:BC83)</f>
        <v>4355211.2293473091</v>
      </c>
      <c r="BD84" s="239">
        <f ca="1">SUM($T$83:BD83)</f>
        <v>5951323.0952792978</v>
      </c>
      <c r="BE84" s="239">
        <f ca="1">SUM($T$83:BE83)</f>
        <v>7625990.1682094354</v>
      </c>
      <c r="BF84" s="239">
        <f ca="1">SUM($T$83:BF83)</f>
        <v>9379162.9385701977</v>
      </c>
      <c r="BG84" s="239">
        <f ca="1">SUM($T$83:BG83)</f>
        <v>11210791.195408516</v>
      </c>
      <c r="BH84" s="239">
        <f ca="1">SUM($T$83:BH83)</f>
        <v>13120824.016449491</v>
      </c>
      <c r="BI84" s="239">
        <f ca="1">SUM($T$83:BI83)</f>
        <v>15109209.758019326</v>
      </c>
      <c r="BJ84" s="239">
        <f ca="1">SUM($T$83:BJ83)</f>
        <v>17175896.044825513</v>
      </c>
      <c r="BK84" s="239">
        <f ca="1">SUM($T$83:BK83)</f>
        <v>19320829.759592235</v>
      </c>
      <c r="BL84" s="239">
        <f ca="1">SUM($T$83:BL83)</f>
        <v>21543957.03254893</v>
      </c>
      <c r="BM84" s="239">
        <f ca="1">SUM($T$83:BM83)</f>
        <v>23845223.230769962</v>
      </c>
      <c r="BN84" s="239">
        <f ca="1">SUM($T$83:BN83)</f>
        <v>26224572.947363235</v>
      </c>
      <c r="BO84" s="239">
        <f ca="1">SUM($T$83:BO83)</f>
        <v>28681949.990505695</v>
      </c>
      <c r="BP84" s="239">
        <f ca="1">SUM($T$83:BP83)</f>
        <v>31217297.372323453</v>
      </c>
      <c r="BQ84" s="239">
        <f ca="1">SUM($T$83:BQ83)</f>
        <v>33830557.297614411</v>
      </c>
      <c r="BR84" s="239">
        <f ca="1">SUM($T$83:BR83)</f>
        <v>36521671.152411103</v>
      </c>
      <c r="BS84" s="239">
        <f ca="1">SUM($T$83:BS83)</f>
        <v>39290579.492381528</v>
      </c>
      <c r="BT84" s="239">
        <f ca="1">SUM($T$83:BT83)</f>
        <v>42137222.03106565</v>
      </c>
      <c r="BU84" s="239">
        <f ca="1">SUM($T$83:BU83)</f>
        <v>45061537.627945237</v>
      </c>
      <c r="BV84" s="239">
        <f ca="1">SUM($T$83:BV83)</f>
        <v>48063464.276344731</v>
      </c>
      <c r="BW84" s="239">
        <f ca="1">SUM($T$83:BW83)</f>
        <v>51142939.09116067</v>
      </c>
      <c r="BX84" s="239">
        <f ca="1">SUM($T$83:BX83)</f>
        <v>54299898.296417281</v>
      </c>
      <c r="BY84" s="239">
        <f ca="1">SUM($T$83:BY83)</f>
        <v>57534277.212645799</v>
      </c>
      <c r="BZ84" s="239">
        <f ca="1">SUM($T$83:BZ83)</f>
        <v>60846010.244085006</v>
      </c>
      <c r="CA84" s="239">
        <f ca="1">SUM($T$83:CA83)</f>
        <v>64235030.865700379</v>
      </c>
      <c r="CB84" s="22"/>
      <c r="CC84" s="111"/>
    </row>
    <row r="85" spans="1:83" ht="15" customHeight="1" x14ac:dyDescent="0.3">
      <c r="A85" s="51"/>
      <c r="D85" s="132"/>
      <c r="I85" s="31"/>
      <c r="J85" s="31"/>
      <c r="K85" s="2"/>
      <c r="L85" s="29"/>
      <c r="M85" s="97"/>
      <c r="N85" s="128"/>
      <c r="O85" s="128"/>
      <c r="P85" s="128"/>
      <c r="Q85" s="128"/>
      <c r="R85" s="128"/>
      <c r="S85" s="97"/>
      <c r="T85" s="175"/>
      <c r="U85" s="175"/>
      <c r="V85" s="175"/>
      <c r="W85" s="175"/>
      <c r="X85" s="175"/>
      <c r="Y85" s="175"/>
      <c r="Z85" s="175"/>
      <c r="AA85" s="175"/>
      <c r="AB85" s="175"/>
      <c r="AC85" s="175"/>
      <c r="AD85" s="175"/>
      <c r="AE85" s="175"/>
      <c r="AF85" s="175"/>
      <c r="AG85" s="175"/>
      <c r="AH85" s="175"/>
      <c r="AI85" s="175"/>
      <c r="AJ85" s="175"/>
      <c r="AK85" s="175"/>
      <c r="AL85" s="175"/>
      <c r="AM85" s="175"/>
      <c r="AN85" s="175"/>
      <c r="AO85" s="175"/>
      <c r="AP85" s="175"/>
      <c r="AQ85" s="175"/>
      <c r="AR85" s="175"/>
      <c r="AS85" s="175"/>
      <c r="AT85" s="175"/>
      <c r="AU85" s="175"/>
      <c r="AV85" s="175"/>
      <c r="AW85" s="175"/>
      <c r="AX85" s="175"/>
      <c r="AY85" s="175"/>
      <c r="AZ85" s="175"/>
      <c r="BA85" s="175"/>
      <c r="BB85" s="175"/>
      <c r="BC85" s="175"/>
      <c r="BD85" s="175"/>
      <c r="BE85" s="175"/>
      <c r="BF85" s="175"/>
      <c r="BG85" s="175"/>
      <c r="BH85" s="175"/>
      <c r="BI85" s="175"/>
      <c r="BJ85" s="175"/>
      <c r="BK85" s="175"/>
      <c r="BL85" s="175"/>
      <c r="BM85" s="175"/>
      <c r="BN85" s="175"/>
      <c r="BO85" s="175"/>
      <c r="BP85" s="175"/>
      <c r="BQ85" s="175"/>
      <c r="BR85" s="175"/>
      <c r="BS85" s="175"/>
      <c r="BT85" s="175"/>
      <c r="BU85" s="175"/>
      <c r="BV85" s="175"/>
      <c r="BW85" s="175"/>
      <c r="BX85" s="175"/>
      <c r="BY85" s="175"/>
      <c r="BZ85" s="175"/>
      <c r="CA85" s="175"/>
      <c r="CB85" s="22"/>
      <c r="CC85" s="111"/>
    </row>
    <row r="86" spans="1:83" s="65" customFormat="1" ht="15" customHeight="1" x14ac:dyDescent="0.3">
      <c r="A86" s="66"/>
      <c r="D86" s="60" t="s">
        <v>112</v>
      </c>
      <c r="E86" s="60"/>
      <c r="F86" s="60"/>
      <c r="G86" s="60"/>
      <c r="H86" s="60"/>
      <c r="I86" s="6" t="s">
        <v>36</v>
      </c>
      <c r="J86" s="6"/>
      <c r="K86" s="49"/>
      <c r="L86" s="223">
        <f ca="1">IFERROR(((1+IRR(T83:CA83))^12-1),0)</f>
        <v>0.89190127765534299</v>
      </c>
      <c r="M86" s="59"/>
      <c r="N86" s="159"/>
      <c r="O86" s="159"/>
      <c r="P86" s="159"/>
      <c r="Q86" s="159"/>
      <c r="R86" s="159"/>
      <c r="S86" s="59"/>
      <c r="T86" s="190"/>
      <c r="U86" s="190"/>
      <c r="V86" s="190"/>
      <c r="W86" s="190"/>
      <c r="X86" s="190"/>
      <c r="Y86" s="190"/>
      <c r="Z86" s="190"/>
      <c r="AA86" s="190"/>
      <c r="AB86" s="190"/>
      <c r="AC86" s="190"/>
      <c r="AD86" s="190"/>
      <c r="AE86" s="190"/>
      <c r="AF86" s="190"/>
      <c r="AG86" s="190"/>
      <c r="AH86" s="190"/>
      <c r="AI86" s="190"/>
      <c r="AJ86" s="190"/>
      <c r="AK86" s="190"/>
      <c r="AL86" s="190"/>
      <c r="AM86" s="190"/>
      <c r="AN86" s="190"/>
      <c r="AO86" s="190"/>
      <c r="AP86" s="190"/>
      <c r="AQ86" s="190"/>
      <c r="AR86" s="190"/>
      <c r="AS86" s="190"/>
      <c r="AT86" s="190"/>
      <c r="AU86" s="190"/>
      <c r="AV86" s="190"/>
      <c r="AW86" s="190"/>
      <c r="AX86" s="190"/>
      <c r="AY86" s="190"/>
      <c r="AZ86" s="190"/>
      <c r="BA86" s="190"/>
      <c r="BB86" s="190"/>
      <c r="BC86" s="190"/>
      <c r="BD86" s="190"/>
      <c r="BE86" s="190"/>
      <c r="BF86" s="190"/>
      <c r="BG86" s="190"/>
      <c r="BH86" s="190"/>
      <c r="BI86" s="190"/>
      <c r="BJ86" s="190"/>
      <c r="BK86" s="190"/>
      <c r="BL86" s="190"/>
      <c r="BM86" s="190"/>
      <c r="BN86" s="190"/>
      <c r="BO86" s="190"/>
      <c r="BP86" s="190"/>
      <c r="BQ86" s="190"/>
      <c r="BR86" s="190"/>
      <c r="BS86" s="190"/>
      <c r="BT86" s="190"/>
      <c r="BU86" s="190"/>
      <c r="BV86" s="190"/>
      <c r="BW86" s="190"/>
      <c r="BX86" s="190"/>
      <c r="BY86" s="190"/>
      <c r="BZ86" s="190"/>
      <c r="CA86" s="190"/>
      <c r="CC86" s="74"/>
    </row>
    <row r="87" spans="1:83" s="65" customFormat="1" ht="15" customHeight="1" x14ac:dyDescent="0.3">
      <c r="A87" s="66"/>
      <c r="D87" s="169" t="s">
        <v>113</v>
      </c>
      <c r="E87" s="60"/>
      <c r="F87" s="60"/>
      <c r="G87" s="60"/>
      <c r="H87" s="60"/>
      <c r="I87" s="6" t="s">
        <v>114</v>
      </c>
      <c r="J87" s="6"/>
      <c r="K87" s="49"/>
      <c r="L87" s="241">
        <f ca="1">SUM(N87:R87)/12</f>
        <v>2.6666666666666665</v>
      </c>
      <c r="M87" s="227"/>
      <c r="N87" s="191">
        <f t="shared" ref="N87:R87" ca="1" si="53">SUMIF($T$4:$EI$4,N$4,$T87:$EI87)</f>
        <v>12</v>
      </c>
      <c r="O87" s="191">
        <f t="shared" ca="1" si="53"/>
        <v>12</v>
      </c>
      <c r="P87" s="191">
        <f t="shared" ca="1" si="53"/>
        <v>8</v>
      </c>
      <c r="Q87" s="191">
        <f t="shared" ca="1" si="53"/>
        <v>0</v>
      </c>
      <c r="R87" s="191">
        <f t="shared" ca="1" si="53"/>
        <v>0</v>
      </c>
      <c r="S87" s="240"/>
      <c r="T87" s="239">
        <f ca="1">--(AND(COUNTIF($T$84:T$84,"&gt;0")&lt;1,COUNTIF($T$84:T$84,"&lt;&gt;0")&gt;0))</f>
        <v>1</v>
      </c>
      <c r="U87" s="239">
        <f ca="1">--(AND(COUNTIF($T$84:U$84,"&gt;0")&lt;1,COUNTIF($T$84:U$84,"&lt;&gt;0")&gt;0))</f>
        <v>1</v>
      </c>
      <c r="V87" s="239">
        <f ca="1">--(AND(COUNTIF($T$84:V$84,"&gt;0")&lt;1,COUNTIF($T$84:V$84,"&lt;&gt;0")&gt;0))</f>
        <v>1</v>
      </c>
      <c r="W87" s="239">
        <f ca="1">--(AND(COUNTIF($T$84:W$84,"&gt;0")&lt;1,COUNTIF($T$84:W$84,"&lt;&gt;0")&gt;0))</f>
        <v>1</v>
      </c>
      <c r="X87" s="239">
        <f ca="1">--(AND(COUNTIF($T$84:X$84,"&gt;0")&lt;1,COUNTIF($T$84:X$84,"&lt;&gt;0")&gt;0))</f>
        <v>1</v>
      </c>
      <c r="Y87" s="239">
        <f ca="1">--(AND(COUNTIF($T$84:Y$84,"&gt;0")&lt;1,COUNTIF($T$84:Y$84,"&lt;&gt;0")&gt;0))</f>
        <v>1</v>
      </c>
      <c r="Z87" s="239">
        <f ca="1">--(AND(COUNTIF($T$84:Z$84,"&gt;0")&lt;1,COUNTIF($T$84:Z$84,"&lt;&gt;0")&gt;0))</f>
        <v>1</v>
      </c>
      <c r="AA87" s="239">
        <f ca="1">--(AND(COUNTIF($T$84:AA$84,"&gt;0")&lt;1,COUNTIF($T$84:AA$84,"&lt;&gt;0")&gt;0))</f>
        <v>1</v>
      </c>
      <c r="AB87" s="239">
        <f ca="1">--(AND(COUNTIF($T$84:AB$84,"&gt;0")&lt;1,COUNTIF($T$84:AB$84,"&lt;&gt;0")&gt;0))</f>
        <v>1</v>
      </c>
      <c r="AC87" s="239">
        <f ca="1">--(AND(COUNTIF($T$84:AC$84,"&gt;0")&lt;1,COUNTIF($T$84:AC$84,"&lt;&gt;0")&gt;0))</f>
        <v>1</v>
      </c>
      <c r="AD87" s="239">
        <f ca="1">--(AND(COUNTIF($T$84:AD$84,"&gt;0")&lt;1,COUNTIF($T$84:AD$84,"&lt;&gt;0")&gt;0))</f>
        <v>1</v>
      </c>
      <c r="AE87" s="239">
        <f ca="1">--(AND(COUNTIF($T$84:AE$84,"&gt;0")&lt;1,COUNTIF($T$84:AE$84,"&lt;&gt;0")&gt;0))</f>
        <v>1</v>
      </c>
      <c r="AF87" s="239">
        <f ca="1">--(AND(COUNTIF($T$84:AF$84,"&gt;0")&lt;1,COUNTIF($T$84:AF$84,"&lt;&gt;0")&gt;0))</f>
        <v>1</v>
      </c>
      <c r="AG87" s="239">
        <f ca="1">--(AND(COUNTIF($T$84:AG$84,"&gt;0")&lt;1,COUNTIF($T$84:AG$84,"&lt;&gt;0")&gt;0))</f>
        <v>1</v>
      </c>
      <c r="AH87" s="239">
        <f ca="1">--(AND(COUNTIF($T$84:AH$84,"&gt;0")&lt;1,COUNTIF($T$84:AH$84,"&lt;&gt;0")&gt;0))</f>
        <v>1</v>
      </c>
      <c r="AI87" s="239">
        <f ca="1">--(AND(COUNTIF($T$84:AI$84,"&gt;0")&lt;1,COUNTIF($T$84:AI$84,"&lt;&gt;0")&gt;0))</f>
        <v>1</v>
      </c>
      <c r="AJ87" s="239">
        <f ca="1">--(AND(COUNTIF($T$84:AJ$84,"&gt;0")&lt;1,COUNTIF($T$84:AJ$84,"&lt;&gt;0")&gt;0))</f>
        <v>1</v>
      </c>
      <c r="AK87" s="239">
        <f ca="1">--(AND(COUNTIF($T$84:AK$84,"&gt;0")&lt;1,COUNTIF($T$84:AK$84,"&lt;&gt;0")&gt;0))</f>
        <v>1</v>
      </c>
      <c r="AL87" s="239">
        <f ca="1">--(AND(COUNTIF($T$84:AL$84,"&gt;0")&lt;1,COUNTIF($T$84:AL$84,"&lt;&gt;0")&gt;0))</f>
        <v>1</v>
      </c>
      <c r="AM87" s="239">
        <f ca="1">--(AND(COUNTIF($T$84:AM$84,"&gt;0")&lt;1,COUNTIF($T$84:AM$84,"&lt;&gt;0")&gt;0))</f>
        <v>1</v>
      </c>
      <c r="AN87" s="239">
        <f ca="1">--(AND(COUNTIF($T$84:AN$84,"&gt;0")&lt;1,COUNTIF($T$84:AN$84,"&lt;&gt;0")&gt;0))</f>
        <v>1</v>
      </c>
      <c r="AO87" s="239">
        <f ca="1">--(AND(COUNTIF($T$84:AO$84,"&gt;0")&lt;1,COUNTIF($T$84:AO$84,"&lt;&gt;0")&gt;0))</f>
        <v>1</v>
      </c>
      <c r="AP87" s="239">
        <f ca="1">--(AND(COUNTIF($T$84:AP$84,"&gt;0")&lt;1,COUNTIF($T$84:AP$84,"&lt;&gt;0")&gt;0))</f>
        <v>1</v>
      </c>
      <c r="AQ87" s="239">
        <f ca="1">--(AND(COUNTIF($T$84:AQ$84,"&gt;0")&lt;1,COUNTIF($T$84:AQ$84,"&lt;&gt;0")&gt;0))</f>
        <v>1</v>
      </c>
      <c r="AR87" s="239">
        <f ca="1">--(AND(COUNTIF($T$84:AR$84,"&gt;0")&lt;1,COUNTIF($T$84:AR$84,"&lt;&gt;0")&gt;0))</f>
        <v>1</v>
      </c>
      <c r="AS87" s="239">
        <f ca="1">--(AND(COUNTIF($T$84:AS$84,"&gt;0")&lt;1,COUNTIF($T$84:AS$84,"&lt;&gt;0")&gt;0))</f>
        <v>1</v>
      </c>
      <c r="AT87" s="239">
        <f ca="1">--(AND(COUNTIF($T$84:AT$84,"&gt;0")&lt;1,COUNTIF($T$84:AT$84,"&lt;&gt;0")&gt;0))</f>
        <v>1</v>
      </c>
      <c r="AU87" s="239">
        <f ca="1">--(AND(COUNTIF($T$84:AU$84,"&gt;0")&lt;1,COUNTIF($T$84:AU$84,"&lt;&gt;0")&gt;0))</f>
        <v>1</v>
      </c>
      <c r="AV87" s="239">
        <f ca="1">--(AND(COUNTIF($T$84:AV$84,"&gt;0")&lt;1,COUNTIF($T$84:AV$84,"&lt;&gt;0")&gt;0))</f>
        <v>1</v>
      </c>
      <c r="AW87" s="239">
        <f ca="1">--(AND(COUNTIF($T$84:AW$84,"&gt;0")&lt;1,COUNTIF($T$84:AW$84,"&lt;&gt;0")&gt;0))</f>
        <v>1</v>
      </c>
      <c r="AX87" s="239">
        <f ca="1">--(AND(COUNTIF($T$84:AX$84,"&gt;0")&lt;1,COUNTIF($T$84:AX$84,"&lt;&gt;0")&gt;0))</f>
        <v>1</v>
      </c>
      <c r="AY87" s="239">
        <f ca="1">--(AND(COUNTIF($T$84:AY$84,"&gt;0")&lt;1,COUNTIF($T$84:AY$84,"&lt;&gt;0")&gt;0))</f>
        <v>1</v>
      </c>
      <c r="AZ87" s="239">
        <f ca="1">--(AND(COUNTIF($T$84:AZ$84,"&gt;0")&lt;1,COUNTIF($T$84:AZ$84,"&lt;&gt;0")&gt;0))</f>
        <v>0</v>
      </c>
      <c r="BA87" s="239">
        <f ca="1">--(AND(COUNTIF($T$84:BA$84,"&gt;0")&lt;1,COUNTIF($T$84:BA$84,"&lt;&gt;0")&gt;0))</f>
        <v>0</v>
      </c>
      <c r="BB87" s="239">
        <f ca="1">--(AND(COUNTIF($T$84:BB$84,"&gt;0")&lt;1,COUNTIF($T$84:BB$84,"&lt;&gt;0")&gt;0))</f>
        <v>0</v>
      </c>
      <c r="BC87" s="239">
        <f ca="1">--(AND(COUNTIF($T$84:BC$84,"&gt;0")&lt;1,COUNTIF($T$84:BC$84,"&lt;&gt;0")&gt;0))</f>
        <v>0</v>
      </c>
      <c r="BD87" s="239">
        <f ca="1">--(AND(COUNTIF($T$84:BD$84,"&gt;0")&lt;1,COUNTIF($T$84:BD$84,"&lt;&gt;0")&gt;0))</f>
        <v>0</v>
      </c>
      <c r="BE87" s="239">
        <f ca="1">--(AND(COUNTIF($T$84:BE$84,"&gt;0")&lt;1,COUNTIF($T$84:BE$84,"&lt;&gt;0")&gt;0))</f>
        <v>0</v>
      </c>
      <c r="BF87" s="239">
        <f ca="1">--(AND(COUNTIF($T$84:BF$84,"&gt;0")&lt;1,COUNTIF($T$84:BF$84,"&lt;&gt;0")&gt;0))</f>
        <v>0</v>
      </c>
      <c r="BG87" s="239">
        <f ca="1">--(AND(COUNTIF($T$84:BG$84,"&gt;0")&lt;1,COUNTIF($T$84:BG$84,"&lt;&gt;0")&gt;0))</f>
        <v>0</v>
      </c>
      <c r="BH87" s="239">
        <f ca="1">--(AND(COUNTIF($T$84:BH$84,"&gt;0")&lt;1,COUNTIF($T$84:BH$84,"&lt;&gt;0")&gt;0))</f>
        <v>0</v>
      </c>
      <c r="BI87" s="239">
        <f ca="1">--(AND(COUNTIF($T$84:BI$84,"&gt;0")&lt;1,COUNTIF($T$84:BI$84,"&lt;&gt;0")&gt;0))</f>
        <v>0</v>
      </c>
      <c r="BJ87" s="239">
        <f ca="1">--(AND(COUNTIF($T$84:BJ$84,"&gt;0")&lt;1,COUNTIF($T$84:BJ$84,"&lt;&gt;0")&gt;0))</f>
        <v>0</v>
      </c>
      <c r="BK87" s="239">
        <f ca="1">--(AND(COUNTIF($T$84:BK$84,"&gt;0")&lt;1,COUNTIF($T$84:BK$84,"&lt;&gt;0")&gt;0))</f>
        <v>0</v>
      </c>
      <c r="BL87" s="239">
        <f ca="1">--(AND(COUNTIF($T$84:BL$84,"&gt;0")&lt;1,COUNTIF($T$84:BL$84,"&lt;&gt;0")&gt;0))</f>
        <v>0</v>
      </c>
      <c r="BM87" s="239">
        <f ca="1">--(AND(COUNTIF($T$84:BM$84,"&gt;0")&lt;1,COUNTIF($T$84:BM$84,"&lt;&gt;0")&gt;0))</f>
        <v>0</v>
      </c>
      <c r="BN87" s="239">
        <f ca="1">--(AND(COUNTIF($T$84:BN$84,"&gt;0")&lt;1,COUNTIF($T$84:BN$84,"&lt;&gt;0")&gt;0))</f>
        <v>0</v>
      </c>
      <c r="BO87" s="239">
        <f ca="1">--(AND(COUNTIF($T$84:BO$84,"&gt;0")&lt;1,COUNTIF($T$84:BO$84,"&lt;&gt;0")&gt;0))</f>
        <v>0</v>
      </c>
      <c r="BP87" s="239">
        <f ca="1">--(AND(COUNTIF($T$84:BP$84,"&gt;0")&lt;1,COUNTIF($T$84:BP$84,"&lt;&gt;0")&gt;0))</f>
        <v>0</v>
      </c>
      <c r="BQ87" s="239">
        <f ca="1">--(AND(COUNTIF($T$84:BQ$84,"&gt;0")&lt;1,COUNTIF($T$84:BQ$84,"&lt;&gt;0")&gt;0))</f>
        <v>0</v>
      </c>
      <c r="BR87" s="239">
        <f ca="1">--(AND(COUNTIF($T$84:BR$84,"&gt;0")&lt;1,COUNTIF($T$84:BR$84,"&lt;&gt;0")&gt;0))</f>
        <v>0</v>
      </c>
      <c r="BS87" s="239">
        <f ca="1">--(AND(COUNTIF($T$84:BS$84,"&gt;0")&lt;1,COUNTIF($T$84:BS$84,"&lt;&gt;0")&gt;0))</f>
        <v>0</v>
      </c>
      <c r="BT87" s="239">
        <f ca="1">--(AND(COUNTIF($T$84:BT$84,"&gt;0")&lt;1,COUNTIF($T$84:BT$84,"&lt;&gt;0")&gt;0))</f>
        <v>0</v>
      </c>
      <c r="BU87" s="239">
        <f ca="1">--(AND(COUNTIF($T$84:BU$84,"&gt;0")&lt;1,COUNTIF($T$84:BU$84,"&lt;&gt;0")&gt;0))</f>
        <v>0</v>
      </c>
      <c r="BV87" s="239">
        <f ca="1">--(AND(COUNTIF($T$84:BV$84,"&gt;0")&lt;1,COUNTIF($T$84:BV$84,"&lt;&gt;0")&gt;0))</f>
        <v>0</v>
      </c>
      <c r="BW87" s="239">
        <f ca="1">--(AND(COUNTIF($T$84:BW$84,"&gt;0")&lt;1,COUNTIF($T$84:BW$84,"&lt;&gt;0")&gt;0))</f>
        <v>0</v>
      </c>
      <c r="BX87" s="239">
        <f ca="1">--(AND(COUNTIF($T$84:BX$84,"&gt;0")&lt;1,COUNTIF($T$84:BX$84,"&lt;&gt;0")&gt;0))</f>
        <v>0</v>
      </c>
      <c r="BY87" s="239">
        <f ca="1">--(AND(COUNTIF($T$84:BY$84,"&gt;0")&lt;1,COUNTIF($T$84:BY$84,"&lt;&gt;0")&gt;0))</f>
        <v>0</v>
      </c>
      <c r="BZ87" s="239">
        <f ca="1">--(AND(COUNTIF($T$84:BZ$84,"&gt;0")&lt;1,COUNTIF($T$84:BZ$84,"&lt;&gt;0")&gt;0))</f>
        <v>0</v>
      </c>
      <c r="CA87" s="239">
        <f ca="1">--(AND(COUNTIF($T$84:CA$84,"&gt;0")&lt;1,COUNTIF($T$84:CA$84,"&lt;&gt;0")&gt;0))</f>
        <v>0</v>
      </c>
      <c r="CC87" s="74"/>
    </row>
    <row r="88" spans="1:83" ht="15" customHeight="1" x14ac:dyDescent="0.3">
      <c r="A88" s="51"/>
      <c r="D88" s="132"/>
      <c r="I88" s="31"/>
      <c r="J88" s="31"/>
      <c r="K88" s="2"/>
      <c r="L88" s="29"/>
      <c r="M88" s="97"/>
      <c r="N88" s="29"/>
      <c r="O88" s="29"/>
      <c r="P88" s="29"/>
      <c r="Q88" s="29"/>
      <c r="R88" s="29"/>
      <c r="S88" s="97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111"/>
    </row>
    <row r="89" spans="1:83" s="45" customFormat="1" ht="15" customHeight="1" x14ac:dyDescent="0.3">
      <c r="A89" s="111"/>
      <c r="B89" s="30"/>
      <c r="C89" s="110"/>
      <c r="D89" s="215"/>
      <c r="E89" s="28"/>
      <c r="F89" s="28"/>
      <c r="G89" s="28"/>
      <c r="H89" s="28"/>
      <c r="I89" s="31"/>
      <c r="J89" s="6"/>
      <c r="K89" s="49"/>
      <c r="L89" s="128"/>
      <c r="M89" s="158"/>
      <c r="N89" s="128"/>
      <c r="O89" s="128"/>
      <c r="P89" s="128"/>
      <c r="Q89" s="128"/>
      <c r="R89" s="128"/>
      <c r="S89" s="158"/>
      <c r="T89" s="173"/>
      <c r="U89" s="173"/>
      <c r="V89" s="173"/>
      <c r="W89" s="173"/>
      <c r="X89" s="173"/>
      <c r="Y89" s="173"/>
      <c r="Z89" s="173"/>
      <c r="AA89" s="173"/>
      <c r="AB89" s="173"/>
      <c r="AC89" s="173"/>
      <c r="AD89" s="173"/>
      <c r="AE89" s="173"/>
      <c r="AF89" s="173"/>
      <c r="AG89" s="173"/>
      <c r="AH89" s="173"/>
      <c r="AI89" s="173"/>
      <c r="AJ89" s="173"/>
      <c r="AK89" s="173"/>
      <c r="AL89" s="173"/>
      <c r="AM89" s="173"/>
      <c r="AN89" s="173"/>
      <c r="AO89" s="173"/>
      <c r="AP89" s="173"/>
      <c r="AQ89" s="173"/>
      <c r="AR89" s="173"/>
      <c r="AS89" s="173"/>
      <c r="AT89" s="173"/>
      <c r="AU89" s="173"/>
      <c r="AV89" s="173"/>
      <c r="AW89" s="173"/>
      <c r="AX89" s="173"/>
      <c r="AY89" s="173"/>
      <c r="AZ89" s="173"/>
      <c r="BA89" s="173"/>
      <c r="BB89" s="173"/>
      <c r="BC89" s="173"/>
      <c r="BD89" s="173"/>
      <c r="BE89" s="173"/>
      <c r="BF89" s="173"/>
      <c r="BG89" s="173"/>
      <c r="BH89" s="173"/>
      <c r="BI89" s="173"/>
      <c r="BJ89" s="173"/>
      <c r="BK89" s="173"/>
      <c r="BL89" s="173"/>
      <c r="BM89" s="173"/>
      <c r="BN89" s="173"/>
      <c r="BO89" s="173"/>
      <c r="BP89" s="173"/>
      <c r="BQ89" s="173"/>
      <c r="BR89" s="173"/>
      <c r="BS89" s="173"/>
      <c r="BT89" s="173"/>
      <c r="BU89" s="173"/>
      <c r="BV89" s="173"/>
      <c r="BW89" s="173"/>
      <c r="BX89" s="173"/>
      <c r="BY89" s="173"/>
      <c r="BZ89" s="173"/>
      <c r="CA89" s="173"/>
      <c r="CC89" s="111"/>
      <c r="CD89" s="30"/>
      <c r="CE89" s="111"/>
    </row>
    <row r="90" spans="1:83" s="25" customFormat="1" ht="15" customHeight="1" x14ac:dyDescent="0.3">
      <c r="A90" s="111"/>
      <c r="B90" s="111"/>
      <c r="C90" s="111"/>
      <c r="D90" s="118"/>
      <c r="E90" s="118"/>
      <c r="F90" s="118"/>
      <c r="G90" s="118"/>
      <c r="H90" s="118"/>
      <c r="I90" s="118"/>
      <c r="J90" s="118"/>
      <c r="K90" s="118"/>
      <c r="L90" s="118"/>
      <c r="M90" s="111"/>
      <c r="N90" s="111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  <c r="AG90" s="109"/>
      <c r="AH90" s="109"/>
      <c r="AI90" s="109"/>
      <c r="AJ90" s="109"/>
      <c r="AK90" s="109"/>
      <c r="AL90" s="109"/>
      <c r="AM90" s="109"/>
      <c r="AN90" s="109"/>
      <c r="AO90" s="109"/>
      <c r="AP90" s="109"/>
      <c r="AQ90" s="109"/>
      <c r="AR90" s="109"/>
      <c r="AS90" s="109"/>
      <c r="AT90" s="109"/>
      <c r="AU90" s="109"/>
      <c r="AV90" s="109"/>
      <c r="AW90" s="109"/>
      <c r="AX90" s="109"/>
      <c r="AY90" s="109"/>
      <c r="AZ90" s="109"/>
      <c r="BA90" s="109"/>
      <c r="BB90" s="109"/>
      <c r="BC90" s="109"/>
      <c r="BD90" s="109"/>
      <c r="BE90" s="109"/>
      <c r="BF90" s="109"/>
      <c r="BG90" s="109"/>
      <c r="BH90" s="109"/>
      <c r="BI90" s="109"/>
      <c r="BJ90" s="109"/>
      <c r="BK90" s="109"/>
      <c r="BL90" s="109"/>
      <c r="BM90" s="109"/>
      <c r="BN90" s="109"/>
      <c r="BO90" s="109"/>
      <c r="BP90" s="109"/>
      <c r="BQ90" s="109"/>
      <c r="BR90" s="109"/>
      <c r="BS90" s="109"/>
      <c r="BT90" s="109"/>
      <c r="BU90" s="109"/>
      <c r="BV90" s="109"/>
      <c r="BW90" s="109"/>
      <c r="BX90" s="109"/>
      <c r="BY90" s="109"/>
      <c r="BZ90" s="109"/>
      <c r="CA90" s="109"/>
      <c r="CB90" s="109"/>
      <c r="CC90" s="109"/>
      <c r="CD90" s="111"/>
      <c r="CE90" s="111"/>
    </row>
    <row r="91" spans="1:83" s="51" customFormat="1" ht="15" customHeight="1" x14ac:dyDescent="0.3">
      <c r="D91" s="67"/>
      <c r="E91" s="67"/>
      <c r="F91" s="67"/>
      <c r="G91" s="67"/>
      <c r="H91" s="67"/>
      <c r="I91" s="67"/>
      <c r="J91" s="67"/>
      <c r="M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5"/>
    </row>
  </sheetData>
  <protectedRanges>
    <protectedRange sqref="N48:R48 N42:N43" name="allow_2_1"/>
    <protectedRange sqref="N48:R48 N42:N43" name="allow_1"/>
    <protectedRange sqref="N55 T63:CA63 N63:R64" name="allow_2_1_1"/>
    <protectedRange sqref="N55 T63:CA63 N63:R64" name="allow_1_2"/>
  </protectedRanges>
  <conditionalFormatting sqref="D68:H70">
    <cfRule type="duplicateValues" dxfId="0" priority="1"/>
  </conditionalFormatting>
  <hyperlinks>
    <hyperlink ref="D5" location="Ввод!D5" display="Ввод" xr:uid="{88D0553B-059B-4F40-AB07-E70678E82411}"/>
    <hyperlink ref="E5" location="Расчет!E5" display="Расчет" xr:uid="{8EA77AF9-DBD8-468F-BDA7-48B89972C065}"/>
    <hyperlink ref="F5" location="Отчетность!F5" display="Отчетность" xr:uid="{C4BBF7F7-7B45-4722-9430-AFD79C812DB8}"/>
    <hyperlink ref="G5" location="Результат!G5" display="Результат" xr:uid="{34176F68-D1AC-41C4-B0B2-D58F1BEB1F6F}"/>
  </hyperlinks>
  <pageMargins left="0.23622047244094488" right="0.23622047244094488" top="0.74803149606299213" bottom="0.74803149606299213" header="0.31496062992125984" footer="0.31496062992125984"/>
  <pageSetup paperSize="9" scale="66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BF741-B6E1-43E8-AFBA-324631C1B05E}">
  <sheetPr codeName="Лист12">
    <tabColor rgb="FF8FD299"/>
    <pageSetUpPr fitToPage="1"/>
  </sheetPr>
  <dimension ref="A1:CY106"/>
  <sheetViews>
    <sheetView showGridLines="0" topLeftCell="A34" zoomScaleNormal="100" workbookViewId="0">
      <selection activeCell="K30" sqref="K30"/>
    </sheetView>
  </sheetViews>
  <sheetFormatPr defaultColWidth="0" defaultRowHeight="15" customHeight="1" zeroHeight="1" x14ac:dyDescent="0.3"/>
  <cols>
    <col min="1" max="1" width="2.6640625" style="354" customWidth="1"/>
    <col min="2" max="3" width="2.6640625" style="301" customWidth="1"/>
    <col min="4" max="9" width="11.6640625" style="344" customWidth="1"/>
    <col min="10" max="10" width="13.109375" style="301" bestFit="1" customWidth="1"/>
    <col min="11" max="11" width="2.6640625" style="355" customWidth="1"/>
    <col min="12" max="14" width="11.6640625" style="301" customWidth="1"/>
    <col min="15" max="15" width="12.109375" style="301" customWidth="1"/>
    <col min="16" max="16" width="12.33203125" style="301" customWidth="1"/>
    <col min="17" max="18" width="2.6640625" style="355" customWidth="1"/>
    <col min="19" max="19" width="2.6640625" style="301" customWidth="1"/>
    <col min="20" max="21" width="12.33203125" style="301" hidden="1" customWidth="1"/>
    <col min="22" max="16384" width="11.6640625" style="301" hidden="1"/>
  </cols>
  <sheetData>
    <row r="1" spans="1:26" s="299" customFormat="1" ht="15" customHeight="1" x14ac:dyDescent="0.3">
      <c r="A1" s="298"/>
      <c r="T1" s="300"/>
    </row>
    <row r="2" spans="1:26" s="303" customFormat="1" ht="15" customHeight="1" x14ac:dyDescent="0.3">
      <c r="A2" s="299"/>
      <c r="B2" s="301"/>
      <c r="C2" s="301"/>
      <c r="D2" s="302"/>
      <c r="E2" s="302"/>
      <c r="F2" s="302"/>
      <c r="G2" s="302"/>
      <c r="H2" s="302"/>
      <c r="I2" s="301"/>
      <c r="J2" s="301"/>
      <c r="K2" s="301"/>
      <c r="L2" s="301"/>
      <c r="M2" s="301"/>
      <c r="N2" s="301"/>
      <c r="O2" s="301"/>
      <c r="P2" s="301"/>
      <c r="Q2" s="301"/>
      <c r="R2" s="301"/>
      <c r="T2" s="304"/>
    </row>
    <row r="3" spans="1:26" s="303" customFormat="1" ht="15" customHeight="1" x14ac:dyDescent="0.3">
      <c r="A3" s="299"/>
      <c r="B3" s="301"/>
      <c r="C3" s="301"/>
      <c r="D3" s="305"/>
      <c r="E3" s="306"/>
      <c r="F3" s="306"/>
      <c r="G3" s="306"/>
      <c r="H3" s="307"/>
      <c r="I3" s="302"/>
      <c r="J3" s="301"/>
      <c r="K3" s="301"/>
      <c r="L3" s="301"/>
      <c r="M3" s="301"/>
      <c r="N3" s="301"/>
      <c r="O3" s="301"/>
      <c r="P3" s="301"/>
      <c r="Q3" s="301"/>
      <c r="R3" s="301"/>
      <c r="T3" s="304"/>
    </row>
    <row r="4" spans="1:26" s="303" customFormat="1" ht="15" customHeight="1" x14ac:dyDescent="0.3">
      <c r="A4" s="299"/>
      <c r="B4" s="301"/>
      <c r="C4" s="301"/>
      <c r="D4" s="308"/>
      <c r="E4" s="308"/>
      <c r="F4" s="308"/>
      <c r="G4" s="309"/>
      <c r="H4" s="307"/>
      <c r="I4" s="302"/>
      <c r="J4" s="301"/>
      <c r="K4" s="301"/>
      <c r="L4" s="301"/>
      <c r="M4" s="301"/>
      <c r="N4" s="301"/>
      <c r="O4" s="301"/>
      <c r="P4" s="301"/>
      <c r="Q4" s="301"/>
      <c r="R4" s="301"/>
      <c r="T4" s="304"/>
    </row>
    <row r="5" spans="1:26" s="303" customFormat="1" ht="15" customHeight="1" x14ac:dyDescent="0.3">
      <c r="A5" s="299"/>
      <c r="B5" s="301"/>
      <c r="C5" s="301"/>
      <c r="D5" s="310" t="s">
        <v>21</v>
      </c>
      <c r="E5" s="310" t="s">
        <v>5</v>
      </c>
      <c r="F5" s="310" t="s">
        <v>18</v>
      </c>
      <c r="G5" s="311" t="s">
        <v>19</v>
      </c>
      <c r="H5" s="307"/>
      <c r="I5" s="307"/>
      <c r="J5" s="307"/>
      <c r="K5" s="301"/>
      <c r="L5" s="301"/>
      <c r="M5" s="301"/>
      <c r="N5" s="301"/>
      <c r="O5" s="301"/>
      <c r="P5" s="206"/>
      <c r="Q5" s="301"/>
      <c r="R5" s="301"/>
      <c r="T5" s="304"/>
    </row>
    <row r="6" spans="1:26" s="303" customFormat="1" ht="15" customHeight="1" x14ac:dyDescent="0.3">
      <c r="A6" s="299"/>
      <c r="B6" s="301"/>
      <c r="C6" s="301"/>
      <c r="D6" s="302"/>
      <c r="E6" s="302"/>
      <c r="F6" s="302"/>
      <c r="G6" s="302"/>
      <c r="H6" s="307"/>
      <c r="I6" s="301"/>
      <c r="J6" s="301"/>
      <c r="K6" s="301"/>
      <c r="L6" s="301"/>
      <c r="M6" s="301"/>
      <c r="N6" s="301"/>
      <c r="O6" s="301"/>
      <c r="P6" s="301"/>
      <c r="Q6" s="301"/>
      <c r="R6" s="301"/>
      <c r="T6" s="304"/>
    </row>
    <row r="7" spans="1:26" s="303" customFormat="1" ht="15" customHeight="1" x14ac:dyDescent="0.3">
      <c r="A7" s="299"/>
      <c r="B7" s="301"/>
      <c r="C7" s="301"/>
      <c r="D7" s="302"/>
      <c r="E7" s="302"/>
      <c r="F7" s="302"/>
      <c r="G7" s="302"/>
      <c r="H7" s="302"/>
      <c r="I7" s="301"/>
      <c r="J7" s="301"/>
      <c r="K7" s="301"/>
      <c r="L7" s="301"/>
      <c r="M7" s="301"/>
      <c r="N7" s="301"/>
      <c r="O7" s="301"/>
      <c r="P7" s="301"/>
      <c r="Q7" s="301"/>
      <c r="R7" s="301"/>
      <c r="T7" s="304"/>
    </row>
    <row r="8" spans="1:26" s="303" customFormat="1" ht="20.100000000000001" customHeight="1" x14ac:dyDescent="0.3">
      <c r="A8" s="299"/>
      <c r="B8" s="301"/>
      <c r="C8" s="312"/>
      <c r="D8" s="313"/>
      <c r="E8" s="313"/>
      <c r="F8" s="313"/>
      <c r="G8" s="313"/>
      <c r="H8" s="313"/>
      <c r="I8" s="313" t="s">
        <v>25</v>
      </c>
      <c r="J8" s="314" t="s">
        <v>26</v>
      </c>
      <c r="K8" s="301"/>
      <c r="L8" s="315">
        <f>Ввод!P8</f>
        <v>44197</v>
      </c>
      <c r="M8" s="315">
        <f>Ввод!Q8</f>
        <v>44562</v>
      </c>
      <c r="N8" s="315">
        <f>Ввод!R8</f>
        <v>44927</v>
      </c>
      <c r="O8" s="315">
        <f>Ввод!S8</f>
        <v>45292</v>
      </c>
      <c r="P8" s="315">
        <f>Ввод!T8</f>
        <v>45658</v>
      </c>
      <c r="Q8" s="312"/>
      <c r="R8" s="301"/>
      <c r="T8" s="304"/>
    </row>
    <row r="9" spans="1:26" s="320" customFormat="1" ht="15" customHeight="1" x14ac:dyDescent="0.3">
      <c r="A9" s="299"/>
      <c r="B9" s="301"/>
      <c r="C9" s="301"/>
      <c r="D9" s="316" t="s">
        <v>115</v>
      </c>
      <c r="E9" s="316"/>
      <c r="F9" s="316"/>
      <c r="G9" s="316"/>
      <c r="H9" s="316"/>
      <c r="I9" s="317"/>
      <c r="J9" s="317"/>
      <c r="K9" s="301"/>
      <c r="L9" s="317"/>
      <c r="M9" s="317"/>
      <c r="N9" s="317"/>
      <c r="O9" s="317"/>
      <c r="P9" s="317"/>
      <c r="Q9" s="318"/>
      <c r="R9" s="318"/>
      <c r="S9" s="319"/>
      <c r="T9" s="319"/>
      <c r="U9" s="319"/>
      <c r="V9" s="319"/>
      <c r="W9" s="319"/>
      <c r="X9" s="319"/>
      <c r="Y9" s="319"/>
      <c r="Z9" s="319"/>
    </row>
    <row r="10" spans="1:26" s="320" customFormat="1" ht="15" customHeight="1" x14ac:dyDescent="0.3">
      <c r="A10" s="299"/>
      <c r="B10" s="301"/>
      <c r="C10" s="301"/>
      <c r="D10" s="321"/>
      <c r="E10" s="321"/>
      <c r="F10" s="321"/>
      <c r="G10" s="321"/>
      <c r="H10" s="321"/>
      <c r="I10" s="322"/>
      <c r="J10" s="323"/>
      <c r="K10" s="301"/>
      <c r="L10" s="323"/>
      <c r="M10" s="323"/>
      <c r="N10" s="323"/>
      <c r="O10" s="323"/>
      <c r="P10" s="323"/>
      <c r="Q10" s="318"/>
      <c r="R10" s="318"/>
      <c r="S10" s="319"/>
      <c r="T10" s="324"/>
      <c r="U10" s="319"/>
      <c r="V10" s="319"/>
      <c r="W10" s="319"/>
      <c r="X10" s="319"/>
      <c r="Y10" s="319"/>
      <c r="Z10" s="319"/>
    </row>
    <row r="11" spans="1:26" s="303" customFormat="1" ht="15" customHeight="1" x14ac:dyDescent="0.3">
      <c r="A11" s="299"/>
      <c r="B11" s="301"/>
      <c r="C11" s="301"/>
      <c r="D11" s="305" t="s">
        <v>6</v>
      </c>
      <c r="E11" s="305"/>
      <c r="F11" s="305"/>
      <c r="G11" s="305"/>
      <c r="H11" s="305"/>
      <c r="I11" s="325" t="str">
        <f>Ввод!$M$12</f>
        <v>руб</v>
      </c>
      <c r="J11" s="326">
        <f>Отчетность!L11</f>
        <v>635000000</v>
      </c>
      <c r="K11" s="301"/>
      <c r="L11" s="326">
        <f>Отчетность!N11</f>
        <v>44600000</v>
      </c>
      <c r="M11" s="326">
        <f>Отчетность!O11</f>
        <v>104400000</v>
      </c>
      <c r="N11" s="326">
        <f>Отчетность!P11</f>
        <v>133200000</v>
      </c>
      <c r="O11" s="326">
        <f>Отчетность!Q11</f>
        <v>162000000</v>
      </c>
      <c r="P11" s="326">
        <f>Отчетность!R11</f>
        <v>190800000</v>
      </c>
      <c r="Q11" s="318"/>
      <c r="R11" s="318"/>
      <c r="T11" s="327"/>
      <c r="U11" s="328"/>
      <c r="V11" s="328"/>
      <c r="W11" s="328"/>
      <c r="X11" s="328"/>
      <c r="Y11" s="328"/>
    </row>
    <row r="12" spans="1:26" s="303" customFormat="1" ht="15" customHeight="1" x14ac:dyDescent="0.3">
      <c r="A12" s="299"/>
      <c r="B12" s="301"/>
      <c r="C12" s="301"/>
      <c r="D12" s="305" t="s">
        <v>7</v>
      </c>
      <c r="E12" s="305"/>
      <c r="F12" s="305"/>
      <c r="G12" s="305"/>
      <c r="H12" s="305"/>
      <c r="I12" s="325" t="str">
        <f>Ввод!$M$12</f>
        <v>руб</v>
      </c>
      <c r="J12" s="326">
        <f>Отчетность!L13</f>
        <v>-266700000</v>
      </c>
      <c r="K12" s="329"/>
      <c r="L12" s="326">
        <f>Отчетность!N13</f>
        <v>-18732000</v>
      </c>
      <c r="M12" s="326">
        <f>Отчетность!O13</f>
        <v>-43848000</v>
      </c>
      <c r="N12" s="326">
        <f>Отчетность!P13</f>
        <v>-55944000</v>
      </c>
      <c r="O12" s="326">
        <f>Отчетность!Q13</f>
        <v>-68040000</v>
      </c>
      <c r="P12" s="326">
        <f>Отчетность!R13</f>
        <v>-80136000</v>
      </c>
      <c r="Q12" s="318"/>
      <c r="R12" s="318"/>
      <c r="T12" s="304"/>
    </row>
    <row r="13" spans="1:26" s="335" customFormat="1" ht="15" customHeight="1" x14ac:dyDescent="0.3">
      <c r="A13" s="330"/>
      <c r="B13" s="331"/>
      <c r="C13" s="331"/>
      <c r="D13" s="332" t="s">
        <v>91</v>
      </c>
      <c r="E13" s="332"/>
      <c r="F13" s="332"/>
      <c r="G13" s="332"/>
      <c r="H13" s="332"/>
      <c r="I13" s="333" t="str">
        <f>Ввод!$M$12</f>
        <v>руб</v>
      </c>
      <c r="J13" s="334">
        <f>Отчетность!L19</f>
        <v>368300000</v>
      </c>
      <c r="K13" s="329"/>
      <c r="L13" s="334">
        <f>Отчетность!N19</f>
        <v>25868000</v>
      </c>
      <c r="M13" s="334">
        <f>Отчетность!O19</f>
        <v>60552000</v>
      </c>
      <c r="N13" s="334">
        <f>Отчетность!P19</f>
        <v>77256000</v>
      </c>
      <c r="O13" s="334">
        <f>Отчетность!Q19</f>
        <v>93960000</v>
      </c>
      <c r="P13" s="334">
        <f>Отчетность!R19</f>
        <v>110664000</v>
      </c>
      <c r="Q13" s="323"/>
      <c r="R13" s="323"/>
      <c r="T13" s="336"/>
    </row>
    <row r="14" spans="1:26" s="303" customFormat="1" ht="15" customHeight="1" x14ac:dyDescent="0.3">
      <c r="A14" s="299"/>
      <c r="B14" s="301"/>
      <c r="C14" s="301"/>
      <c r="D14" s="337" t="s">
        <v>92</v>
      </c>
      <c r="E14" s="337"/>
      <c r="F14" s="337"/>
      <c r="G14" s="337"/>
      <c r="H14" s="337"/>
      <c r="I14" s="338" t="s">
        <v>36</v>
      </c>
      <c r="J14" s="339">
        <f>Отчетность!L20</f>
        <v>0.57999999999999996</v>
      </c>
      <c r="K14" s="340"/>
      <c r="L14" s="339">
        <f>Отчетность!N20</f>
        <v>0.57999999999999996</v>
      </c>
      <c r="M14" s="339">
        <f>Отчетность!O20</f>
        <v>0.57999999999999996</v>
      </c>
      <c r="N14" s="339">
        <f>Отчетность!P20</f>
        <v>0.57999999999999996</v>
      </c>
      <c r="O14" s="339">
        <f>Отчетность!Q20</f>
        <v>0.57999999999999996</v>
      </c>
      <c r="P14" s="339">
        <f>Отчетность!R20</f>
        <v>0.57999999999999996</v>
      </c>
      <c r="Q14" s="318"/>
      <c r="R14" s="318"/>
      <c r="T14" s="304"/>
    </row>
    <row r="15" spans="1:26" s="303" customFormat="1" ht="15" customHeight="1" x14ac:dyDescent="0.3">
      <c r="A15" s="299"/>
      <c r="B15" s="301"/>
      <c r="C15" s="301"/>
      <c r="D15" s="305"/>
      <c r="E15" s="305"/>
      <c r="F15" s="305"/>
      <c r="G15" s="305"/>
      <c r="H15" s="305"/>
      <c r="I15" s="325"/>
      <c r="J15" s="341"/>
      <c r="K15" s="342"/>
      <c r="L15" s="341"/>
      <c r="M15" s="341"/>
      <c r="N15" s="341"/>
      <c r="O15" s="341"/>
      <c r="P15" s="341"/>
      <c r="Q15" s="318"/>
      <c r="R15" s="318"/>
      <c r="T15" s="304"/>
    </row>
    <row r="16" spans="1:26" s="303" customFormat="1" ht="15" customHeight="1" x14ac:dyDescent="0.3">
      <c r="A16" s="299"/>
      <c r="B16" s="301"/>
      <c r="C16" s="301"/>
      <c r="D16" s="305" t="s">
        <v>47</v>
      </c>
      <c r="E16" s="305"/>
      <c r="F16" s="305"/>
      <c r="G16" s="305"/>
      <c r="H16" s="305"/>
      <c r="I16" s="325" t="str">
        <f>Ввод!$M$12</f>
        <v>руб</v>
      </c>
      <c r="J16" s="326">
        <f>Отчетность!L22</f>
        <v>-20955000</v>
      </c>
      <c r="K16" s="343"/>
      <c r="L16" s="326">
        <f>Отчетность!N22</f>
        <v>-1471800</v>
      </c>
      <c r="M16" s="326">
        <f>Отчетность!O22</f>
        <v>-3445200</v>
      </c>
      <c r="N16" s="326">
        <f>Отчетность!P22</f>
        <v>-4395600</v>
      </c>
      <c r="O16" s="326">
        <f>Отчетность!Q22</f>
        <v>-5346000</v>
      </c>
      <c r="P16" s="326">
        <f>Отчетность!R22</f>
        <v>-6296400</v>
      </c>
      <c r="Q16" s="318"/>
      <c r="R16" s="318"/>
      <c r="T16" s="304"/>
    </row>
    <row r="17" spans="1:20" s="303" customFormat="1" ht="15" customHeight="1" x14ac:dyDescent="0.3">
      <c r="A17" s="299"/>
      <c r="B17" s="301"/>
      <c r="C17" s="301"/>
      <c r="D17" s="305" t="s">
        <v>48</v>
      </c>
      <c r="E17" s="305"/>
      <c r="F17" s="305"/>
      <c r="G17" s="305"/>
      <c r="H17" s="305"/>
      <c r="I17" s="325" t="str">
        <f>Ввод!$M$12</f>
        <v>руб</v>
      </c>
      <c r="J17" s="326">
        <f>Отчетность!L28</f>
        <v>-28800000</v>
      </c>
      <c r="K17" s="343"/>
      <c r="L17" s="326">
        <f>Отчетность!N28</f>
        <v>-4800000</v>
      </c>
      <c r="M17" s="326">
        <f>Отчетность!O28</f>
        <v>-6000000</v>
      </c>
      <c r="N17" s="326">
        <f>Отчетность!P28</f>
        <v>-6000000</v>
      </c>
      <c r="O17" s="326">
        <f>Отчетность!Q28</f>
        <v>-6000000</v>
      </c>
      <c r="P17" s="326">
        <f>Отчетность!R28</f>
        <v>-6000000</v>
      </c>
      <c r="Q17" s="318"/>
      <c r="R17" s="318"/>
      <c r="T17" s="304"/>
    </row>
    <row r="18" spans="1:20" s="303" customFormat="1" ht="15" customHeight="1" x14ac:dyDescent="0.3">
      <c r="A18" s="299"/>
      <c r="B18" s="301"/>
      <c r="C18" s="301"/>
      <c r="D18" s="305" t="s">
        <v>49</v>
      </c>
      <c r="E18" s="305"/>
      <c r="F18" s="305"/>
      <c r="G18" s="305"/>
      <c r="H18" s="305"/>
      <c r="I18" s="325" t="str">
        <f>Ввод!$M$12</f>
        <v>руб</v>
      </c>
      <c r="J18" s="326">
        <f>Отчетность!L34</f>
        <v>-145740000</v>
      </c>
      <c r="K18" s="343"/>
      <c r="L18" s="326">
        <f>Отчетность!N34</f>
        <v>-20940000</v>
      </c>
      <c r="M18" s="326">
        <f>Отчетность!O34</f>
        <v>-31200000</v>
      </c>
      <c r="N18" s="326">
        <f>Отчетность!P34</f>
        <v>-31200000</v>
      </c>
      <c r="O18" s="326">
        <f>Отчетность!Q34</f>
        <v>-31200000</v>
      </c>
      <c r="P18" s="326">
        <f>Отчетность!R34</f>
        <v>-31200000</v>
      </c>
      <c r="Q18" s="318"/>
      <c r="R18" s="318"/>
      <c r="T18" s="304"/>
    </row>
    <row r="19" spans="1:20" s="335" customFormat="1" ht="15" customHeight="1" x14ac:dyDescent="0.3">
      <c r="A19" s="330"/>
      <c r="B19" s="331"/>
      <c r="C19" s="331"/>
      <c r="D19" s="332" t="s">
        <v>93</v>
      </c>
      <c r="E19" s="332"/>
      <c r="F19" s="332"/>
      <c r="G19" s="332"/>
      <c r="H19" s="332"/>
      <c r="I19" s="333" t="str">
        <f>Ввод!$M$12</f>
        <v>руб</v>
      </c>
      <c r="J19" s="334">
        <f>Отчетность!L39</f>
        <v>172805000</v>
      </c>
      <c r="K19" s="329"/>
      <c r="L19" s="334">
        <f>Отчетность!N39</f>
        <v>-1343800</v>
      </c>
      <c r="M19" s="334">
        <f>Отчетность!O39</f>
        <v>19906800</v>
      </c>
      <c r="N19" s="334">
        <f>Отчетность!P39</f>
        <v>35660400</v>
      </c>
      <c r="O19" s="334">
        <f>Отчетность!Q39</f>
        <v>51414000</v>
      </c>
      <c r="P19" s="334">
        <f>Отчетность!R39</f>
        <v>67167600</v>
      </c>
      <c r="Q19" s="323"/>
      <c r="R19" s="323"/>
      <c r="T19" s="336"/>
    </row>
    <row r="20" spans="1:20" s="303" customFormat="1" ht="15" customHeight="1" x14ac:dyDescent="0.3">
      <c r="A20" s="299"/>
      <c r="B20" s="301"/>
      <c r="C20" s="301"/>
      <c r="D20" s="337" t="s">
        <v>94</v>
      </c>
      <c r="E20" s="337"/>
      <c r="F20" s="337"/>
      <c r="G20" s="337"/>
      <c r="H20" s="337"/>
      <c r="I20" s="338" t="s">
        <v>36</v>
      </c>
      <c r="J20" s="339">
        <f>Отчетность!L40</f>
        <v>0.27213385826771652</v>
      </c>
      <c r="K20" s="340"/>
      <c r="L20" s="339">
        <f>Отчетность!N40</f>
        <v>-3.0130044843049326E-2</v>
      </c>
      <c r="M20" s="339">
        <f>Отчетность!O40</f>
        <v>0.19067816091954023</v>
      </c>
      <c r="N20" s="339">
        <f>Отчетность!P40</f>
        <v>0.26772072072072073</v>
      </c>
      <c r="O20" s="339">
        <f>Отчетность!Q40</f>
        <v>0.31737037037037036</v>
      </c>
      <c r="P20" s="339">
        <f>Отчетность!R40</f>
        <v>0.35203144654088048</v>
      </c>
      <c r="Q20" s="318"/>
      <c r="R20" s="318"/>
      <c r="T20" s="304"/>
    </row>
    <row r="21" spans="1:20" s="303" customFormat="1" ht="15" customHeight="1" x14ac:dyDescent="0.3">
      <c r="A21" s="299"/>
      <c r="B21" s="301"/>
      <c r="C21" s="301"/>
      <c r="D21" s="305"/>
      <c r="E21" s="305"/>
      <c r="F21" s="305"/>
      <c r="G21" s="305"/>
      <c r="H21" s="305"/>
      <c r="I21" s="325"/>
      <c r="J21" s="341"/>
      <c r="K21" s="342"/>
      <c r="L21" s="341"/>
      <c r="M21" s="341"/>
      <c r="N21" s="341"/>
      <c r="O21" s="341"/>
      <c r="P21" s="341"/>
      <c r="Q21" s="318"/>
      <c r="R21" s="318"/>
      <c r="T21" s="304"/>
    </row>
    <row r="22" spans="1:20" s="303" customFormat="1" ht="15" customHeight="1" x14ac:dyDescent="0.3">
      <c r="A22" s="299"/>
      <c r="B22" s="301"/>
      <c r="C22" s="301"/>
      <c r="D22" s="305" t="s">
        <v>74</v>
      </c>
      <c r="E22" s="305"/>
      <c r="F22" s="305"/>
      <c r="G22" s="305"/>
      <c r="H22" s="305"/>
      <c r="I22" s="325" t="str">
        <f>Ввод!$M$12</f>
        <v>руб</v>
      </c>
      <c r="J22" s="326">
        <f ca="1">Отчетность!L42</f>
        <v>-26195355.191256821</v>
      </c>
      <c r="K22" s="329"/>
      <c r="L22" s="326">
        <f ca="1">Отчетность!N42</f>
        <v>-3244535.5191256823</v>
      </c>
      <c r="M22" s="326">
        <f ca="1">Отчетность!O42</f>
        <v>-5737704.9180327849</v>
      </c>
      <c r="N22" s="326">
        <f ca="1">Отчетность!P42</f>
        <v>-5737704.9180327849</v>
      </c>
      <c r="O22" s="326">
        <f ca="1">Отчетность!Q42</f>
        <v>-5737704.9180327849</v>
      </c>
      <c r="P22" s="326">
        <f ca="1">Отчетность!R42</f>
        <v>-5737704.9180327849</v>
      </c>
      <c r="Q22" s="318"/>
      <c r="R22" s="318"/>
      <c r="T22" s="304"/>
    </row>
    <row r="23" spans="1:20" s="303" customFormat="1" ht="15" customHeight="1" x14ac:dyDescent="0.3">
      <c r="A23" s="299"/>
      <c r="B23" s="301"/>
      <c r="C23" s="301"/>
      <c r="D23" s="169" t="s">
        <v>200</v>
      </c>
      <c r="E23" s="305"/>
      <c r="F23" s="305"/>
      <c r="G23" s="305"/>
      <c r="H23" s="305"/>
      <c r="I23" s="325" t="str">
        <f>Ввод!$M$12</f>
        <v>руб</v>
      </c>
      <c r="J23" s="326">
        <f ca="1">Отчетность!L43</f>
        <v>146609644.80874315</v>
      </c>
      <c r="K23" s="329"/>
      <c r="L23" s="326">
        <f ca="1">Отчетность!N43</f>
        <v>-4588335.5191256823</v>
      </c>
      <c r="M23" s="326">
        <f ca="1">Отчетность!O43</f>
        <v>14169095.081967212</v>
      </c>
      <c r="N23" s="326">
        <f ca="1">Отчетность!P43</f>
        <v>29922695.081967209</v>
      </c>
      <c r="O23" s="326">
        <f ca="1">Отчетность!Q43</f>
        <v>45676295.081967212</v>
      </c>
      <c r="P23" s="326">
        <f ca="1">Отчетность!R43</f>
        <v>61429895.081967212</v>
      </c>
      <c r="Q23" s="318"/>
      <c r="R23" s="318"/>
      <c r="T23" s="304"/>
    </row>
    <row r="24" spans="1:20" s="303" customFormat="1" ht="15" customHeight="1" x14ac:dyDescent="0.3">
      <c r="A24" s="299"/>
      <c r="B24" s="301"/>
      <c r="C24" s="301"/>
      <c r="D24" s="305" t="s">
        <v>193</v>
      </c>
      <c r="E24" s="305"/>
      <c r="F24" s="305"/>
      <c r="G24" s="305"/>
      <c r="H24" s="305"/>
      <c r="I24" s="325" t="str">
        <f>Ввод!$M$12</f>
        <v>руб</v>
      </c>
      <c r="J24" s="326">
        <f>Отчетность!L44</f>
        <v>-27332824.159631554</v>
      </c>
      <c r="K24" s="329"/>
      <c r="L24" s="326">
        <f>Отчетность!N44</f>
        <v>-8877394.1125792488</v>
      </c>
      <c r="M24" s="326">
        <f>Отчетность!O44</f>
        <v>-7457896.9516664082</v>
      </c>
      <c r="N24" s="326">
        <f>Отчетность!P44</f>
        <v>-5777366.0046014078</v>
      </c>
      <c r="O24" s="326">
        <f>Отчетность!Q44</f>
        <v>-3787799.3173196781</v>
      </c>
      <c r="P24" s="326">
        <f>Отчетность!R44</f>
        <v>-1432367.7734648113</v>
      </c>
      <c r="Q24" s="318"/>
      <c r="R24" s="318"/>
      <c r="T24" s="304"/>
    </row>
    <row r="25" spans="1:20" s="303" customFormat="1" ht="15" customHeight="1" x14ac:dyDescent="0.3">
      <c r="A25" s="299"/>
      <c r="B25" s="301"/>
      <c r="C25" s="301"/>
      <c r="D25" s="332" t="s">
        <v>194</v>
      </c>
      <c r="E25" s="305"/>
      <c r="F25" s="305"/>
      <c r="G25" s="305"/>
      <c r="H25" s="305"/>
      <c r="I25" s="325" t="str">
        <f>Ввод!$M$12</f>
        <v>руб</v>
      </c>
      <c r="J25" s="326">
        <f ca="1">Отчетность!L45</f>
        <v>119276820.64911163</v>
      </c>
      <c r="K25" s="329"/>
      <c r="L25" s="326">
        <f ca="1">Отчетность!N45</f>
        <v>-13465729.631704932</v>
      </c>
      <c r="M25" s="326">
        <f ca="1">Отчетность!O45</f>
        <v>6711198.1303008059</v>
      </c>
      <c r="N25" s="326">
        <f ca="1">Отчетность!P45</f>
        <v>24145329.077365804</v>
      </c>
      <c r="O25" s="326">
        <f ca="1">Отчетность!Q45</f>
        <v>41888495.764647536</v>
      </c>
      <c r="P25" s="326">
        <f ca="1">Отчетность!R45</f>
        <v>59997527.308502406</v>
      </c>
      <c r="Q25" s="318"/>
      <c r="R25" s="318"/>
      <c r="T25" s="304"/>
    </row>
    <row r="26" spans="1:20" s="303" customFormat="1" ht="15" customHeight="1" x14ac:dyDescent="0.3">
      <c r="A26" s="299"/>
      <c r="B26" s="301"/>
      <c r="C26" s="301"/>
      <c r="D26" s="305" t="s">
        <v>40</v>
      </c>
      <c r="E26" s="305"/>
      <c r="F26" s="305"/>
      <c r="G26" s="305"/>
      <c r="H26" s="305"/>
      <c r="I26" s="325" t="str">
        <f>Ввод!$M$12</f>
        <v>руб</v>
      </c>
      <c r="J26" s="368">
        <f ca="1">Отчетность!L46</f>
        <v>33210628.534698792</v>
      </c>
      <c r="K26" s="329"/>
      <c r="L26" s="326">
        <f ca="1">Отчетность!N46</f>
        <v>0</v>
      </c>
      <c r="M26" s="326">
        <f ca="1">Отчетность!O46</f>
        <v>1702790.4970698641</v>
      </c>
      <c r="N26" s="326">
        <f ca="1">Отчетность!P46</f>
        <v>6036332.2693414502</v>
      </c>
      <c r="O26" s="326">
        <f ca="1">Отчетность!Q46</f>
        <v>10472123.94116188</v>
      </c>
      <c r="P26" s="326">
        <f ca="1">Отчетность!R46</f>
        <v>14999381.827125598</v>
      </c>
      <c r="Q26" s="318"/>
      <c r="R26" s="318"/>
      <c r="T26" s="304"/>
    </row>
    <row r="27" spans="1:20" s="335" customFormat="1" ht="15" customHeight="1" x14ac:dyDescent="0.3">
      <c r="A27" s="330"/>
      <c r="B27" s="331"/>
      <c r="C27" s="331"/>
      <c r="D27" s="332" t="s">
        <v>205</v>
      </c>
      <c r="E27" s="332"/>
      <c r="F27" s="332"/>
      <c r="G27" s="332"/>
      <c r="H27" s="332"/>
      <c r="I27" s="333" t="str">
        <f>Ввод!$M$12</f>
        <v>руб</v>
      </c>
      <c r="J27" s="369">
        <f ca="1">Отчетность!L48</f>
        <v>86066192.114412829</v>
      </c>
      <c r="K27" s="329"/>
      <c r="L27" s="334">
        <f ca="1">Отчетность!N48</f>
        <v>-13465729.631704932</v>
      </c>
      <c r="M27" s="334">
        <f ca="1">Отчетность!O48</f>
        <v>5008407.6332309414</v>
      </c>
      <c r="N27" s="334">
        <f ca="1">Отчетность!P48</f>
        <v>18108996.808024358</v>
      </c>
      <c r="O27" s="334">
        <f ca="1">Отчетность!Q48</f>
        <v>31416371.823485658</v>
      </c>
      <c r="P27" s="334">
        <f ca="1">Отчетность!R48</f>
        <v>44998145.481376804</v>
      </c>
      <c r="Q27" s="323"/>
      <c r="R27" s="323"/>
      <c r="T27" s="336"/>
    </row>
    <row r="28" spans="1:20" s="303" customFormat="1" ht="15" customHeight="1" x14ac:dyDescent="0.3">
      <c r="A28" s="299"/>
      <c r="B28" s="301"/>
      <c r="C28" s="301"/>
      <c r="D28" s="337" t="s">
        <v>96</v>
      </c>
      <c r="E28" s="337"/>
      <c r="F28" s="337"/>
      <c r="G28" s="337"/>
      <c r="H28" s="337"/>
      <c r="I28" s="338" t="s">
        <v>36</v>
      </c>
      <c r="J28" s="339">
        <f ca="1">Отчетность!L49</f>
        <v>0.13553731041639816</v>
      </c>
      <c r="K28" s="340"/>
      <c r="L28" s="339">
        <f ca="1">Отчетность!N49</f>
        <v>-0.30192218905168011</v>
      </c>
      <c r="M28" s="339">
        <f ca="1">Отчетность!O49</f>
        <v>4.7973253191867252E-2</v>
      </c>
      <c r="N28" s="339">
        <f ca="1">Отчетность!P49</f>
        <v>0.13595342948967234</v>
      </c>
      <c r="O28" s="339">
        <f ca="1">Отчетность!Q49</f>
        <v>0.1939282211326275</v>
      </c>
      <c r="P28" s="339">
        <f ca="1">Отчетность!R49</f>
        <v>0.23583933690449058</v>
      </c>
      <c r="Q28" s="318"/>
      <c r="R28" s="318"/>
      <c r="T28" s="304"/>
    </row>
    <row r="29" spans="1:20" s="303" customFormat="1" ht="15" customHeight="1" x14ac:dyDescent="0.3">
      <c r="A29" s="299"/>
      <c r="B29" s="301"/>
      <c r="C29" s="301"/>
      <c r="D29" s="344"/>
      <c r="E29" s="344"/>
      <c r="F29" s="344"/>
      <c r="G29" s="344"/>
      <c r="H29" s="344"/>
      <c r="I29" s="325"/>
      <c r="J29" s="345"/>
      <c r="K29" s="318"/>
      <c r="L29" s="345"/>
      <c r="M29" s="345"/>
      <c r="N29" s="345"/>
      <c r="O29" s="345"/>
      <c r="P29" s="345"/>
      <c r="Q29" s="318"/>
      <c r="R29" s="318"/>
      <c r="T29" s="327"/>
    </row>
    <row r="30" spans="1:20" s="303" customFormat="1" ht="15" customHeight="1" x14ac:dyDescent="0.3">
      <c r="A30" s="299"/>
      <c r="B30" s="301"/>
      <c r="C30" s="301"/>
      <c r="D30" s="344"/>
      <c r="E30" s="344"/>
      <c r="F30" s="344"/>
      <c r="G30" s="344"/>
      <c r="H30" s="344"/>
      <c r="I30" s="325"/>
      <c r="J30" s="345"/>
      <c r="K30" s="318"/>
      <c r="L30" s="345"/>
      <c r="M30" s="345"/>
      <c r="N30" s="345"/>
      <c r="O30" s="345"/>
      <c r="P30" s="345"/>
      <c r="Q30" s="318"/>
      <c r="R30" s="318"/>
      <c r="T30" s="327"/>
    </row>
    <row r="31" spans="1:20" s="303" customFormat="1" ht="15" customHeight="1" x14ac:dyDescent="0.3">
      <c r="A31" s="299"/>
      <c r="B31" s="301"/>
      <c r="C31" s="301"/>
      <c r="D31" s="346" t="s">
        <v>116</v>
      </c>
      <c r="E31" s="346"/>
      <c r="F31" s="346"/>
      <c r="G31" s="346"/>
      <c r="H31" s="346"/>
      <c r="I31" s="347"/>
      <c r="J31" s="347"/>
      <c r="K31" s="347"/>
      <c r="L31" s="347"/>
      <c r="M31" s="347"/>
      <c r="N31" s="347"/>
      <c r="O31" s="347"/>
      <c r="P31" s="347"/>
      <c r="Q31" s="318"/>
      <c r="R31" s="318"/>
      <c r="T31" s="327"/>
    </row>
    <row r="32" spans="1:20" s="303" customFormat="1" ht="15" customHeight="1" x14ac:dyDescent="0.3">
      <c r="A32" s="299"/>
      <c r="B32" s="301"/>
      <c r="C32" s="301"/>
      <c r="D32" s="344"/>
      <c r="E32" s="344"/>
      <c r="F32" s="344"/>
      <c r="G32" s="344"/>
      <c r="H32" s="344"/>
      <c r="I32" s="344"/>
      <c r="J32" s="344"/>
      <c r="K32" s="345"/>
      <c r="L32" s="344"/>
      <c r="M32" s="344"/>
      <c r="N32" s="344"/>
      <c r="O32" s="344"/>
      <c r="P32" s="344"/>
      <c r="Q32" s="318"/>
      <c r="R32" s="318"/>
      <c r="T32" s="327"/>
    </row>
    <row r="33" spans="1:20" s="303" customFormat="1" ht="15" customHeight="1" x14ac:dyDescent="0.3">
      <c r="A33" s="299"/>
      <c r="B33" s="301"/>
      <c r="C33" s="301"/>
      <c r="D33" s="344"/>
      <c r="E33" s="344"/>
      <c r="F33" s="344"/>
      <c r="G33" s="344"/>
      <c r="H33" s="344"/>
      <c r="I33" s="344"/>
      <c r="J33" s="344"/>
      <c r="K33" s="345"/>
      <c r="L33" s="344"/>
      <c r="M33" s="344"/>
      <c r="N33" s="344"/>
      <c r="O33" s="344"/>
      <c r="P33" s="344"/>
      <c r="Q33" s="318"/>
      <c r="R33" s="318"/>
      <c r="T33" s="327"/>
    </row>
    <row r="34" spans="1:20" s="303" customFormat="1" ht="15" customHeight="1" x14ac:dyDescent="0.3">
      <c r="A34" s="299"/>
      <c r="B34" s="301"/>
      <c r="C34" s="301"/>
      <c r="D34" s="344"/>
      <c r="E34" s="344"/>
      <c r="F34" s="344"/>
      <c r="G34" s="344"/>
      <c r="H34" s="344"/>
      <c r="I34" s="344"/>
      <c r="J34" s="344"/>
      <c r="K34" s="344"/>
      <c r="L34" s="344"/>
      <c r="M34" s="344"/>
      <c r="N34" s="344"/>
      <c r="O34" s="344"/>
      <c r="P34" s="344"/>
      <c r="Q34" s="318"/>
      <c r="R34" s="318"/>
      <c r="T34" s="327"/>
    </row>
    <row r="35" spans="1:20" s="303" customFormat="1" ht="15" customHeight="1" x14ac:dyDescent="0.3">
      <c r="A35" s="299"/>
      <c r="B35" s="301"/>
      <c r="C35" s="301"/>
      <c r="D35" s="344"/>
      <c r="E35" s="344"/>
      <c r="F35" s="344"/>
      <c r="G35" s="344"/>
      <c r="H35" s="344"/>
      <c r="I35" s="325"/>
      <c r="J35" s="345"/>
      <c r="K35" s="318"/>
      <c r="L35" s="345"/>
      <c r="M35" s="345"/>
      <c r="N35" s="345"/>
      <c r="O35" s="345"/>
      <c r="P35" s="345"/>
      <c r="Q35" s="318"/>
      <c r="R35" s="318"/>
      <c r="T35" s="327"/>
    </row>
    <row r="36" spans="1:20" s="303" customFormat="1" ht="15" customHeight="1" x14ac:dyDescent="0.3">
      <c r="A36" s="299"/>
      <c r="B36" s="301"/>
      <c r="C36" s="301"/>
      <c r="D36" s="344"/>
      <c r="E36" s="344"/>
      <c r="F36" s="344"/>
      <c r="G36" s="344"/>
      <c r="H36" s="344"/>
      <c r="I36" s="325"/>
      <c r="J36" s="345"/>
      <c r="K36" s="318"/>
      <c r="L36" s="345"/>
      <c r="M36" s="345"/>
      <c r="N36" s="345"/>
      <c r="O36" s="345"/>
      <c r="P36" s="345"/>
      <c r="Q36" s="318"/>
      <c r="R36" s="318"/>
      <c r="T36" s="327"/>
    </row>
    <row r="37" spans="1:20" s="303" customFormat="1" ht="15" customHeight="1" x14ac:dyDescent="0.3">
      <c r="A37" s="299"/>
      <c r="B37" s="301"/>
      <c r="C37" s="301"/>
      <c r="D37" s="344"/>
      <c r="E37" s="344"/>
      <c r="F37" s="344"/>
      <c r="G37" s="344"/>
      <c r="H37" s="344"/>
      <c r="I37" s="325"/>
      <c r="J37" s="345"/>
      <c r="K37" s="318"/>
      <c r="L37" s="345"/>
      <c r="M37" s="345"/>
      <c r="N37" s="345"/>
      <c r="O37" s="345"/>
      <c r="P37" s="345"/>
      <c r="Q37" s="318"/>
      <c r="R37" s="318"/>
      <c r="T37" s="327"/>
    </row>
    <row r="38" spans="1:20" s="303" customFormat="1" ht="15" customHeight="1" x14ac:dyDescent="0.3">
      <c r="A38" s="299"/>
      <c r="B38" s="301"/>
      <c r="C38" s="301"/>
      <c r="D38" s="344"/>
      <c r="E38" s="344"/>
      <c r="F38" s="344"/>
      <c r="G38" s="344"/>
      <c r="H38" s="344"/>
      <c r="I38" s="325"/>
      <c r="J38" s="345"/>
      <c r="K38" s="318"/>
      <c r="L38" s="345"/>
      <c r="M38" s="345"/>
      <c r="N38" s="345"/>
      <c r="O38" s="345"/>
      <c r="P38" s="345"/>
      <c r="Q38" s="318"/>
      <c r="R38" s="318"/>
      <c r="T38" s="327"/>
    </row>
    <row r="39" spans="1:20" s="303" customFormat="1" ht="15" customHeight="1" x14ac:dyDescent="0.3">
      <c r="A39" s="299"/>
      <c r="B39" s="301"/>
      <c r="C39" s="301"/>
      <c r="D39" s="344"/>
      <c r="E39" s="344"/>
      <c r="F39" s="344"/>
      <c r="G39" s="344"/>
      <c r="H39" s="344"/>
      <c r="I39" s="325"/>
      <c r="J39" s="345"/>
      <c r="K39" s="318"/>
      <c r="L39" s="345"/>
      <c r="M39" s="345"/>
      <c r="N39" s="345"/>
      <c r="O39" s="345"/>
      <c r="P39" s="345"/>
      <c r="Q39" s="318"/>
      <c r="R39" s="318"/>
      <c r="T39" s="327"/>
    </row>
    <row r="40" spans="1:20" s="303" customFormat="1" ht="15" customHeight="1" x14ac:dyDescent="0.3">
      <c r="A40" s="299"/>
      <c r="B40" s="301"/>
      <c r="C40" s="301"/>
      <c r="D40" s="344"/>
      <c r="E40" s="344"/>
      <c r="F40" s="344"/>
      <c r="G40" s="344"/>
      <c r="H40" s="344"/>
      <c r="I40" s="325"/>
      <c r="J40" s="345"/>
      <c r="K40" s="318"/>
      <c r="L40" s="345"/>
      <c r="M40" s="345"/>
      <c r="N40" s="345"/>
      <c r="O40" s="345"/>
      <c r="P40" s="345"/>
      <c r="Q40" s="318"/>
      <c r="R40" s="318"/>
      <c r="T40" s="327"/>
    </row>
    <row r="41" spans="1:20" s="303" customFormat="1" ht="15" customHeight="1" x14ac:dyDescent="0.3">
      <c r="A41" s="299"/>
      <c r="B41" s="301"/>
      <c r="C41" s="301"/>
      <c r="D41" s="344"/>
      <c r="E41" s="344"/>
      <c r="F41" s="344"/>
      <c r="G41" s="344"/>
      <c r="H41" s="344"/>
      <c r="I41" s="325"/>
      <c r="J41" s="345"/>
      <c r="K41" s="318"/>
      <c r="L41" s="345"/>
      <c r="M41" s="345"/>
      <c r="N41" s="345"/>
      <c r="O41" s="345"/>
      <c r="P41" s="345"/>
      <c r="Q41" s="318"/>
      <c r="R41" s="318"/>
      <c r="T41" s="327"/>
    </row>
    <row r="42" spans="1:20" s="303" customFormat="1" ht="15" customHeight="1" x14ac:dyDescent="0.3">
      <c r="A42" s="299"/>
      <c r="B42" s="301"/>
      <c r="C42" s="301"/>
      <c r="D42" s="344"/>
      <c r="E42" s="344"/>
      <c r="F42" s="344"/>
      <c r="G42" s="344"/>
      <c r="H42" s="344"/>
      <c r="I42" s="325"/>
      <c r="J42" s="345"/>
      <c r="K42" s="318"/>
      <c r="L42" s="345"/>
      <c r="M42" s="345"/>
      <c r="N42" s="345"/>
      <c r="O42" s="345"/>
      <c r="P42" s="345"/>
      <c r="Q42" s="318"/>
      <c r="R42" s="318"/>
      <c r="T42" s="327"/>
    </row>
    <row r="43" spans="1:20" s="303" customFormat="1" ht="15" customHeight="1" x14ac:dyDescent="0.3">
      <c r="A43" s="299"/>
      <c r="B43" s="301"/>
      <c r="C43" s="301"/>
      <c r="D43" s="344"/>
      <c r="E43" s="344"/>
      <c r="F43" s="344"/>
      <c r="G43" s="344"/>
      <c r="H43" s="344"/>
      <c r="I43" s="325"/>
      <c r="J43" s="345"/>
      <c r="K43" s="318"/>
      <c r="L43" s="345"/>
      <c r="M43" s="345"/>
      <c r="N43" s="345"/>
      <c r="O43" s="345"/>
      <c r="P43" s="345"/>
      <c r="Q43" s="318"/>
      <c r="R43" s="318"/>
      <c r="T43" s="327"/>
    </row>
    <row r="44" spans="1:20" s="303" customFormat="1" ht="15" customHeight="1" x14ac:dyDescent="0.3">
      <c r="A44" s="299"/>
      <c r="B44" s="301"/>
      <c r="C44" s="301"/>
      <c r="D44" s="344"/>
      <c r="E44" s="344"/>
      <c r="F44" s="344"/>
      <c r="G44" s="344"/>
      <c r="H44" s="344"/>
      <c r="I44" s="325"/>
      <c r="J44" s="345"/>
      <c r="K44" s="318"/>
      <c r="L44" s="345"/>
      <c r="M44" s="345"/>
      <c r="N44" s="345"/>
      <c r="O44" s="345"/>
      <c r="P44" s="345"/>
      <c r="Q44" s="318"/>
      <c r="R44" s="318"/>
      <c r="T44" s="327"/>
    </row>
    <row r="45" spans="1:20" s="303" customFormat="1" ht="15" customHeight="1" x14ac:dyDescent="0.3">
      <c r="A45" s="299"/>
      <c r="B45" s="301"/>
      <c r="C45" s="301"/>
      <c r="D45" s="344"/>
      <c r="E45" s="344"/>
      <c r="F45" s="344"/>
      <c r="G45" s="344"/>
      <c r="H45" s="344"/>
      <c r="I45" s="325"/>
      <c r="J45" s="345"/>
      <c r="K45" s="318"/>
      <c r="L45" s="345"/>
      <c r="M45" s="345"/>
      <c r="N45" s="345"/>
      <c r="O45" s="345"/>
      <c r="P45" s="345"/>
      <c r="Q45" s="318"/>
      <c r="R45" s="318"/>
      <c r="T45" s="327"/>
    </row>
    <row r="46" spans="1:20" s="303" customFormat="1" ht="15" customHeight="1" x14ac:dyDescent="0.3">
      <c r="A46" s="299"/>
      <c r="B46" s="301"/>
      <c r="C46" s="301"/>
      <c r="D46" s="344"/>
      <c r="E46" s="344"/>
      <c r="F46" s="344"/>
      <c r="G46" s="344"/>
      <c r="H46" s="344"/>
      <c r="I46" s="325"/>
      <c r="J46" s="345"/>
      <c r="K46" s="318"/>
      <c r="L46" s="345"/>
      <c r="M46" s="345"/>
      <c r="N46" s="345"/>
      <c r="O46" s="345"/>
      <c r="P46" s="345"/>
      <c r="Q46" s="318"/>
      <c r="R46" s="318"/>
      <c r="T46" s="327"/>
    </row>
    <row r="47" spans="1:20" s="303" customFormat="1" ht="15" customHeight="1" x14ac:dyDescent="0.3">
      <c r="A47" s="299"/>
      <c r="B47" s="301"/>
      <c r="C47" s="301"/>
      <c r="D47" s="344"/>
      <c r="E47" s="344"/>
      <c r="F47" s="344"/>
      <c r="G47" s="344"/>
      <c r="H47" s="344"/>
      <c r="I47" s="325"/>
      <c r="J47" s="345"/>
      <c r="K47" s="318"/>
      <c r="L47" s="345"/>
      <c r="M47" s="345"/>
      <c r="N47" s="345"/>
      <c r="O47" s="345"/>
      <c r="P47" s="345"/>
      <c r="Q47" s="318"/>
      <c r="R47" s="318"/>
      <c r="T47" s="327"/>
    </row>
    <row r="48" spans="1:20" s="303" customFormat="1" ht="15" customHeight="1" x14ac:dyDescent="0.3">
      <c r="A48" s="299"/>
      <c r="B48" s="301"/>
      <c r="C48" s="301"/>
      <c r="D48" s="344"/>
      <c r="E48" s="344"/>
      <c r="F48" s="344"/>
      <c r="G48" s="344"/>
      <c r="H48" s="344"/>
      <c r="I48" s="325"/>
      <c r="J48" s="345"/>
      <c r="K48" s="318"/>
      <c r="L48" s="345"/>
      <c r="M48" s="345"/>
      <c r="N48" s="345"/>
      <c r="O48" s="345"/>
      <c r="P48" s="345"/>
      <c r="Q48" s="318"/>
      <c r="R48" s="318"/>
    </row>
    <row r="49" spans="1:18" s="303" customFormat="1" ht="15" customHeight="1" x14ac:dyDescent="0.3">
      <c r="A49" s="299"/>
      <c r="B49" s="301"/>
      <c r="C49" s="301"/>
      <c r="D49" s="316" t="s">
        <v>109</v>
      </c>
      <c r="E49" s="316"/>
      <c r="F49" s="316"/>
      <c r="G49" s="316"/>
      <c r="H49" s="316"/>
      <c r="I49" s="317"/>
      <c r="J49" s="317"/>
      <c r="K49" s="317"/>
      <c r="L49" s="317"/>
      <c r="M49" s="317"/>
      <c r="N49" s="317"/>
      <c r="O49" s="317"/>
      <c r="P49" s="317"/>
      <c r="Q49" s="318"/>
      <c r="R49" s="318"/>
    </row>
    <row r="50" spans="1:18" s="303" customFormat="1" ht="15" customHeight="1" x14ac:dyDescent="0.3">
      <c r="A50" s="299"/>
      <c r="B50" s="301"/>
      <c r="C50" s="301"/>
      <c r="D50" s="344"/>
      <c r="E50" s="344"/>
      <c r="F50" s="344"/>
      <c r="G50" s="344"/>
      <c r="H50" s="344"/>
      <c r="I50" s="325"/>
      <c r="J50" s="345"/>
      <c r="K50" s="318"/>
      <c r="L50" s="345"/>
      <c r="M50" s="345"/>
      <c r="N50" s="345"/>
      <c r="O50" s="345"/>
      <c r="P50" s="345"/>
      <c r="Q50" s="318"/>
      <c r="R50" s="318"/>
    </row>
    <row r="51" spans="1:18" s="335" customFormat="1" ht="15" customHeight="1" x14ac:dyDescent="0.3">
      <c r="A51" s="330"/>
      <c r="B51" s="331"/>
      <c r="C51" s="331"/>
      <c r="D51" s="348" t="s">
        <v>99</v>
      </c>
      <c r="E51" s="348"/>
      <c r="F51" s="348"/>
      <c r="G51" s="348"/>
      <c r="H51" s="348"/>
      <c r="I51" s="333" t="str">
        <f>Ввод!$M$12</f>
        <v>руб</v>
      </c>
      <c r="J51" s="334">
        <f ca="1">Отчетность!L55</f>
        <v>139430820.7803697</v>
      </c>
      <c r="K51" s="329"/>
      <c r="L51" s="334">
        <f ca="1">Отчетность!N55</f>
        <v>-1433180.8219178107</v>
      </c>
      <c r="M51" s="334">
        <f ca="1">Отчетность!O55</f>
        <v>18185467.037176713</v>
      </c>
      <c r="N51" s="334">
        <f ca="1">Отчетность!P55</f>
        <v>29605525.264905129</v>
      </c>
      <c r="O51" s="334">
        <f ca="1">Отчетность!Q55</f>
        <v>40923333.593084693</v>
      </c>
      <c r="P51" s="334">
        <f ca="1">Отчетность!R55</f>
        <v>52149675.707120985</v>
      </c>
      <c r="Q51" s="323"/>
      <c r="R51" s="323"/>
    </row>
    <row r="52" spans="1:18" s="303" customFormat="1" ht="15" customHeight="1" x14ac:dyDescent="0.3">
      <c r="A52" s="299"/>
      <c r="B52" s="301"/>
      <c r="C52" s="301"/>
      <c r="D52" s="344"/>
      <c r="E52" s="344"/>
      <c r="F52" s="344"/>
      <c r="G52" s="344"/>
      <c r="H52" s="344"/>
      <c r="I52" s="349"/>
      <c r="J52" s="326"/>
      <c r="K52" s="350"/>
      <c r="L52" s="326"/>
      <c r="M52" s="326"/>
      <c r="N52" s="326"/>
      <c r="O52" s="326"/>
      <c r="P52" s="326"/>
      <c r="Q52" s="318"/>
      <c r="R52" s="318"/>
    </row>
    <row r="53" spans="1:18" s="335" customFormat="1" ht="15" customHeight="1" x14ac:dyDescent="0.3">
      <c r="A53" s="330"/>
      <c r="B53" s="331"/>
      <c r="C53" s="331"/>
      <c r="D53" s="348" t="s">
        <v>105</v>
      </c>
      <c r="E53" s="348"/>
      <c r="F53" s="348"/>
      <c r="G53" s="348"/>
      <c r="H53" s="348"/>
      <c r="I53" s="333" t="str">
        <f>Ввод!$M$12</f>
        <v>руб</v>
      </c>
      <c r="J53" s="334">
        <f>Отчетность!L63</f>
        <v>-49180327.868852459</v>
      </c>
      <c r="K53" s="334"/>
      <c r="L53" s="334">
        <f>Отчетность!N63</f>
        <v>-49180327.868852459</v>
      </c>
      <c r="M53" s="334">
        <f>Отчетность!O63</f>
        <v>0</v>
      </c>
      <c r="N53" s="334">
        <f>Отчетность!P63</f>
        <v>0</v>
      </c>
      <c r="O53" s="334">
        <f>Отчетность!Q63</f>
        <v>0</v>
      </c>
      <c r="P53" s="334">
        <f>Отчетность!R63</f>
        <v>0</v>
      </c>
      <c r="Q53" s="323"/>
      <c r="R53" s="323"/>
    </row>
    <row r="54" spans="1:18" s="303" customFormat="1" ht="15" customHeight="1" x14ac:dyDescent="0.3">
      <c r="A54" s="299"/>
      <c r="B54" s="301"/>
      <c r="C54" s="301"/>
      <c r="D54" s="344" t="s">
        <v>57</v>
      </c>
      <c r="E54" s="344"/>
      <c r="F54" s="344"/>
      <c r="G54" s="344"/>
      <c r="H54" s="344"/>
      <c r="I54" s="325" t="str">
        <f>Ввод!$M$12</f>
        <v>руб</v>
      </c>
      <c r="J54" s="326">
        <f>Отчетность!L64</f>
        <v>-49180327.868852459</v>
      </c>
      <c r="K54" s="326"/>
      <c r="L54" s="326">
        <f>Отчетность!N64</f>
        <v>-49180327.868852459</v>
      </c>
      <c r="M54" s="326">
        <f>Отчетность!O64</f>
        <v>0</v>
      </c>
      <c r="N54" s="326">
        <f>Отчетность!P64</f>
        <v>0</v>
      </c>
      <c r="O54" s="326">
        <f>Отчетность!Q64</f>
        <v>0</v>
      </c>
      <c r="P54" s="326">
        <f>Отчетность!R64</f>
        <v>0</v>
      </c>
      <c r="Q54" s="318"/>
      <c r="R54" s="318"/>
    </row>
    <row r="55" spans="1:18" s="303" customFormat="1" ht="15" customHeight="1" x14ac:dyDescent="0.3">
      <c r="A55" s="299"/>
      <c r="B55" s="301"/>
      <c r="C55" s="301"/>
      <c r="D55" s="344"/>
      <c r="E55" s="344"/>
      <c r="F55" s="344"/>
      <c r="G55" s="344"/>
      <c r="H55" s="344"/>
      <c r="I55" s="349"/>
      <c r="J55" s="326"/>
      <c r="K55" s="350"/>
      <c r="L55" s="326"/>
      <c r="M55" s="326"/>
      <c r="N55" s="326"/>
      <c r="O55" s="326"/>
      <c r="P55" s="326"/>
      <c r="Q55" s="318"/>
      <c r="R55" s="318"/>
    </row>
    <row r="56" spans="1:18" s="335" customFormat="1" ht="15" customHeight="1" x14ac:dyDescent="0.3">
      <c r="A56" s="330"/>
      <c r="B56" s="331"/>
      <c r="C56" s="331"/>
      <c r="D56" s="348" t="s">
        <v>107</v>
      </c>
      <c r="E56" s="348"/>
      <c r="F56" s="348"/>
      <c r="G56" s="348"/>
      <c r="H56" s="348"/>
      <c r="I56" s="333" t="str">
        <f>Ввод!$M$12</f>
        <v>руб</v>
      </c>
      <c r="J56" s="334">
        <f ca="1">Отчетность!L66</f>
        <v>-15015462.045816891</v>
      </c>
      <c r="K56" s="329"/>
      <c r="L56" s="334">
        <f ca="1">Отчетность!N66</f>
        <v>50613508.690770261</v>
      </c>
      <c r="M56" s="334">
        <f ca="1">Отчетность!O66</f>
        <v>-15839186.240808224</v>
      </c>
      <c r="N56" s="334">
        <f ca="1">Отчетность!P66</f>
        <v>-16596594.831926309</v>
      </c>
      <c r="O56" s="334">
        <f ca="1">Отчетность!Q66</f>
        <v>-16596594.831926309</v>
      </c>
      <c r="P56" s="334">
        <f ca="1">Отчетность!R66</f>
        <v>-16596594.831926309</v>
      </c>
      <c r="Q56" s="323"/>
      <c r="R56" s="323"/>
    </row>
    <row r="57" spans="1:18" s="303" customFormat="1" ht="15" customHeight="1" x14ac:dyDescent="0.3">
      <c r="A57" s="299"/>
      <c r="B57" s="301"/>
      <c r="C57" s="301"/>
      <c r="D57" s="344" t="s">
        <v>117</v>
      </c>
      <c r="E57" s="344"/>
      <c r="F57" s="344"/>
      <c r="G57" s="344"/>
      <c r="H57" s="344"/>
      <c r="I57" s="325" t="str">
        <f>Ввод!$M$12</f>
        <v>руб</v>
      </c>
      <c r="J57" s="326">
        <f ca="1">Отчетность!L68</f>
        <v>56967512.113814652</v>
      </c>
      <c r="K57" s="350"/>
      <c r="L57" s="326">
        <f ca="1">Отчетность!N68</f>
        <v>56210103.52269657</v>
      </c>
      <c r="M57" s="326">
        <f ca="1">Отчетность!O68</f>
        <v>757408.59111808427</v>
      </c>
      <c r="N57" s="326">
        <f ca="1">Отчетность!P68</f>
        <v>0</v>
      </c>
      <c r="O57" s="326">
        <f ca="1">Отчетность!Q68</f>
        <v>0</v>
      </c>
      <c r="P57" s="326">
        <f ca="1">Отчетность!R68</f>
        <v>0</v>
      </c>
      <c r="Q57" s="318"/>
      <c r="R57" s="318"/>
    </row>
    <row r="58" spans="1:18" s="303" customFormat="1" ht="15" customHeight="1" x14ac:dyDescent="0.3">
      <c r="A58" s="299"/>
      <c r="B58" s="301"/>
      <c r="C58" s="301"/>
      <c r="D58" s="344" t="s">
        <v>118</v>
      </c>
      <c r="E58" s="344"/>
      <c r="F58" s="344"/>
      <c r="G58" s="344"/>
      <c r="H58" s="344"/>
      <c r="I58" s="325" t="str">
        <f>Ввод!$M$12</f>
        <v>руб</v>
      </c>
      <c r="J58" s="326">
        <f>Отчетность!L69</f>
        <v>-55650149.999999985</v>
      </c>
      <c r="K58" s="350"/>
      <c r="L58" s="326">
        <f>Отчетность!N69</f>
        <v>-7719200.7193470597</v>
      </c>
      <c r="M58" s="326">
        <f>Отчетность!O69</f>
        <v>-9138697.8802599013</v>
      </c>
      <c r="N58" s="326">
        <f>Отчетность!P69</f>
        <v>-10819228.827324901</v>
      </c>
      <c r="O58" s="326">
        <f>Отчетность!Q69</f>
        <v>-12808795.51460663</v>
      </c>
      <c r="P58" s="326">
        <f>Отчетность!R69</f>
        <v>-15164227.058461498</v>
      </c>
      <c r="Q58" s="318"/>
      <c r="R58" s="318"/>
    </row>
    <row r="59" spans="1:18" s="303" customFormat="1" ht="15" customHeight="1" x14ac:dyDescent="0.3">
      <c r="A59" s="299"/>
      <c r="B59" s="301"/>
      <c r="C59" s="301"/>
      <c r="D59" s="344" t="s">
        <v>119</v>
      </c>
      <c r="E59" s="344"/>
      <c r="F59" s="344"/>
      <c r="G59" s="344"/>
      <c r="H59" s="344"/>
      <c r="I59" s="325" t="str">
        <f>Ввод!$M$12</f>
        <v>руб</v>
      </c>
      <c r="J59" s="326">
        <f>Отчетность!L70</f>
        <v>-27332824.159631554</v>
      </c>
      <c r="K59" s="350"/>
      <c r="L59" s="326">
        <f>Отчетность!N70</f>
        <v>-8877394.1125792488</v>
      </c>
      <c r="M59" s="326">
        <f>Отчетность!O70</f>
        <v>-7457896.9516664082</v>
      </c>
      <c r="N59" s="326">
        <f>Отчетность!P70</f>
        <v>-5777366.0046014078</v>
      </c>
      <c r="O59" s="326">
        <f>Отчетность!Q70</f>
        <v>-3787799.3173196781</v>
      </c>
      <c r="P59" s="326">
        <f>Отчетность!R70</f>
        <v>-1432367.7734648113</v>
      </c>
      <c r="Q59" s="318"/>
      <c r="R59" s="318"/>
    </row>
    <row r="60" spans="1:18" s="303" customFormat="1" ht="15" customHeight="1" x14ac:dyDescent="0.3">
      <c r="A60" s="299"/>
      <c r="B60" s="301"/>
      <c r="C60" s="301"/>
      <c r="D60" s="344" t="s">
        <v>90</v>
      </c>
      <c r="E60" s="344"/>
      <c r="F60" s="344"/>
      <c r="G60" s="344"/>
      <c r="H60" s="344"/>
      <c r="I60" s="325" t="str">
        <f>Ввод!$M$12</f>
        <v>руб</v>
      </c>
      <c r="J60" s="326">
        <f>Отчетность!L72</f>
        <v>11000000</v>
      </c>
      <c r="K60" s="350"/>
      <c r="L60" s="326">
        <f>Отчетность!N72</f>
        <v>11000000</v>
      </c>
      <c r="M60" s="326">
        <f>Отчетность!O72</f>
        <v>0</v>
      </c>
      <c r="N60" s="326">
        <f>Отчетность!P72</f>
        <v>0</v>
      </c>
      <c r="O60" s="326">
        <f>Отчетность!Q72</f>
        <v>0</v>
      </c>
      <c r="P60" s="326">
        <f>Отчетность!R72</f>
        <v>0</v>
      </c>
      <c r="Q60" s="318"/>
      <c r="R60" s="318"/>
    </row>
    <row r="61" spans="1:18" s="303" customFormat="1" ht="15" customHeight="1" x14ac:dyDescent="0.3">
      <c r="A61" s="299"/>
      <c r="B61" s="301"/>
      <c r="C61" s="301"/>
      <c r="D61" s="344"/>
      <c r="E61" s="344"/>
      <c r="F61" s="344"/>
      <c r="G61" s="344"/>
      <c r="H61" s="344"/>
      <c r="I61" s="349"/>
      <c r="J61" s="326"/>
      <c r="K61" s="350"/>
      <c r="L61" s="326"/>
      <c r="M61" s="326"/>
      <c r="N61" s="326"/>
      <c r="O61" s="326"/>
      <c r="P61" s="326"/>
      <c r="Q61" s="318"/>
      <c r="R61" s="318"/>
    </row>
    <row r="62" spans="1:18" s="303" customFormat="1" ht="15" customHeight="1" x14ac:dyDescent="0.3">
      <c r="A62" s="299"/>
      <c r="B62" s="301"/>
      <c r="C62" s="301"/>
      <c r="D62" s="348" t="s">
        <v>109</v>
      </c>
      <c r="E62" s="348"/>
      <c r="F62" s="348"/>
      <c r="G62" s="348"/>
      <c r="H62" s="348"/>
      <c r="I62" s="333" t="str">
        <f>Ввод!$M$12</f>
        <v>руб</v>
      </c>
      <c r="J62" s="334">
        <f ca="1">Отчетность!L74</f>
        <v>75235030.865700364</v>
      </c>
      <c r="K62" s="329"/>
      <c r="L62" s="334">
        <f ca="1">Отчетность!N74</f>
        <v>0</v>
      </c>
      <c r="M62" s="334">
        <f ca="1">Отчетность!O74</f>
        <v>2346280.7963684895</v>
      </c>
      <c r="N62" s="334">
        <f ca="1">Отчетность!P74</f>
        <v>13008930.432978818</v>
      </c>
      <c r="O62" s="334">
        <f ca="1">Отчетность!Q74</f>
        <v>24326738.761158384</v>
      </c>
      <c r="P62" s="334">
        <f ca="1">Отчетность!R74</f>
        <v>35553080.875194676</v>
      </c>
      <c r="Q62" s="318"/>
      <c r="R62" s="318"/>
    </row>
    <row r="63" spans="1:18" s="303" customFormat="1" ht="15" customHeight="1" x14ac:dyDescent="0.3">
      <c r="A63" s="299"/>
      <c r="B63" s="301"/>
      <c r="C63" s="301"/>
      <c r="D63" s="348"/>
      <c r="E63" s="348"/>
      <c r="F63" s="348"/>
      <c r="G63" s="348"/>
      <c r="H63" s="348"/>
      <c r="I63" s="333"/>
      <c r="J63" s="334"/>
      <c r="K63" s="329"/>
      <c r="L63" s="334"/>
      <c r="M63" s="334"/>
      <c r="N63" s="334"/>
      <c r="O63" s="334"/>
      <c r="P63" s="334"/>
      <c r="Q63" s="318"/>
      <c r="R63" s="318"/>
    </row>
    <row r="64" spans="1:18" s="303" customFormat="1" ht="15" customHeight="1" x14ac:dyDescent="0.3">
      <c r="A64" s="299"/>
      <c r="B64" s="301"/>
      <c r="C64" s="301"/>
      <c r="D64" s="348" t="s">
        <v>179</v>
      </c>
      <c r="E64" s="348"/>
      <c r="F64" s="348"/>
      <c r="G64" s="348"/>
      <c r="H64" s="348"/>
      <c r="I64" s="325" t="str">
        <f>Ввод!$M$12</f>
        <v>руб</v>
      </c>
      <c r="J64" s="326"/>
      <c r="K64" s="350"/>
      <c r="L64" s="326">
        <f ca="1">Отчетность!N76</f>
        <v>0</v>
      </c>
      <c r="M64" s="326">
        <f ca="1">Отчетность!O76</f>
        <v>2346280.7963684895</v>
      </c>
      <c r="N64" s="326">
        <f ca="1">Отчетность!P76</f>
        <v>15355211.229347305</v>
      </c>
      <c r="O64" s="326">
        <f ca="1">Отчетность!Q76</f>
        <v>39681949.990505695</v>
      </c>
      <c r="P64" s="326">
        <f ca="1">Отчетность!R76</f>
        <v>75235030.865700379</v>
      </c>
      <c r="Q64" s="318"/>
      <c r="R64" s="318"/>
    </row>
    <row r="65" spans="1:103" s="303" customFormat="1" ht="15" customHeight="1" x14ac:dyDescent="0.3">
      <c r="A65" s="299"/>
      <c r="B65" s="301"/>
      <c r="C65" s="301"/>
      <c r="D65" s="344"/>
      <c r="E65" s="344"/>
      <c r="F65" s="344"/>
      <c r="G65" s="344"/>
      <c r="H65" s="344"/>
      <c r="I65" s="325"/>
      <c r="J65" s="345"/>
      <c r="K65" s="318"/>
      <c r="L65" s="345"/>
      <c r="M65" s="345"/>
      <c r="N65" s="345"/>
      <c r="O65" s="345"/>
      <c r="P65" s="345"/>
      <c r="Q65" s="318"/>
      <c r="R65" s="318"/>
    </row>
    <row r="66" spans="1:103" s="303" customFormat="1" ht="15" customHeight="1" x14ac:dyDescent="0.3">
      <c r="A66" s="299"/>
      <c r="B66" s="301"/>
      <c r="C66" s="301"/>
      <c r="D66" s="316" t="s">
        <v>149</v>
      </c>
      <c r="E66" s="316"/>
      <c r="F66" s="316"/>
      <c r="G66" s="316"/>
      <c r="H66" s="316"/>
      <c r="I66" s="317"/>
      <c r="J66" s="317"/>
      <c r="K66" s="317"/>
      <c r="L66" s="317"/>
      <c r="M66" s="317"/>
      <c r="N66" s="317"/>
      <c r="O66" s="317"/>
      <c r="P66" s="317"/>
      <c r="Q66" s="318"/>
      <c r="R66" s="318"/>
    </row>
    <row r="67" spans="1:103" s="303" customFormat="1" ht="15" customHeight="1" x14ac:dyDescent="0.3">
      <c r="A67" s="299"/>
      <c r="B67" s="301"/>
      <c r="C67" s="301"/>
      <c r="D67" s="344"/>
      <c r="E67" s="344"/>
      <c r="F67" s="344"/>
      <c r="G67" s="344"/>
      <c r="H67" s="344"/>
      <c r="I67" s="325"/>
      <c r="J67" s="345"/>
      <c r="K67" s="318"/>
      <c r="L67" s="345"/>
      <c r="M67" s="345"/>
      <c r="N67" s="345"/>
      <c r="O67" s="345"/>
      <c r="P67" s="345"/>
      <c r="Q67" s="318"/>
      <c r="R67" s="318"/>
      <c r="CC67" s="351"/>
      <c r="CD67" s="351"/>
      <c r="CE67" s="351"/>
      <c r="CF67" s="351"/>
      <c r="CG67" s="351"/>
      <c r="CH67" s="351"/>
      <c r="CI67" s="351"/>
      <c r="CJ67" s="351"/>
      <c r="CK67" s="351"/>
      <c r="CL67" s="351"/>
      <c r="CM67" s="351"/>
      <c r="CN67" s="351"/>
      <c r="CO67" s="351"/>
      <c r="CP67" s="351"/>
      <c r="CQ67" s="351"/>
      <c r="CR67" s="351"/>
      <c r="CS67" s="351"/>
      <c r="CT67" s="351"/>
      <c r="CU67" s="351"/>
      <c r="CV67" s="351"/>
      <c r="CW67" s="351"/>
      <c r="CX67" s="351"/>
      <c r="CY67" s="351"/>
    </row>
    <row r="68" spans="1:103" s="303" customFormat="1" ht="15" customHeight="1" x14ac:dyDescent="0.3">
      <c r="A68" s="299"/>
      <c r="B68" s="301"/>
      <c r="C68" s="301"/>
      <c r="D68" s="305" t="s">
        <v>133</v>
      </c>
      <c r="E68" s="344"/>
      <c r="F68" s="344"/>
      <c r="G68" s="344"/>
      <c r="H68" s="344"/>
      <c r="I68" s="325" t="str">
        <f>Ввод!$M$12</f>
        <v>руб</v>
      </c>
      <c r="J68" s="326">
        <f>Отчетность!L80</f>
        <v>-11000000</v>
      </c>
      <c r="K68" s="326"/>
      <c r="L68" s="326">
        <f>Отчетность!N80</f>
        <v>-11000000</v>
      </c>
      <c r="M68" s="326">
        <f>Отчетность!O80</f>
        <v>0</v>
      </c>
      <c r="N68" s="326">
        <f>Отчетность!P80</f>
        <v>0</v>
      </c>
      <c r="O68" s="326">
        <f>Отчетность!Q80</f>
        <v>0</v>
      </c>
      <c r="P68" s="326">
        <f>Отчетность!R80</f>
        <v>0</v>
      </c>
      <c r="Q68" s="318"/>
      <c r="R68" s="318"/>
      <c r="CC68" s="351"/>
      <c r="CD68" s="351"/>
      <c r="CE68" s="351"/>
      <c r="CF68" s="351"/>
      <c r="CG68" s="351"/>
      <c r="CH68" s="351"/>
      <c r="CI68" s="351"/>
      <c r="CJ68" s="351"/>
      <c r="CK68" s="351"/>
      <c r="CL68" s="351"/>
      <c r="CM68" s="351"/>
      <c r="CN68" s="351"/>
      <c r="CO68" s="351"/>
      <c r="CP68" s="351"/>
      <c r="CQ68" s="351"/>
      <c r="CR68" s="351"/>
      <c r="CS68" s="351"/>
      <c r="CT68" s="351"/>
      <c r="CU68" s="351"/>
      <c r="CV68" s="351"/>
      <c r="CW68" s="351"/>
      <c r="CX68" s="351"/>
      <c r="CY68" s="351"/>
    </row>
    <row r="69" spans="1:103" s="303" customFormat="1" ht="15" customHeight="1" x14ac:dyDescent="0.3">
      <c r="A69" s="299"/>
      <c r="B69" s="301"/>
      <c r="C69" s="301"/>
      <c r="D69" s="305" t="s">
        <v>110</v>
      </c>
      <c r="E69" s="344"/>
      <c r="F69" s="344"/>
      <c r="G69" s="344"/>
      <c r="H69" s="344"/>
      <c r="I69" s="325" t="str">
        <f>Ввод!$M$12</f>
        <v>руб</v>
      </c>
      <c r="J69" s="326">
        <f ca="1">Отчетность!L81</f>
        <v>75235030.865700364</v>
      </c>
      <c r="K69" s="326"/>
      <c r="L69" s="326">
        <f ca="1">Отчетность!N81</f>
        <v>0</v>
      </c>
      <c r="M69" s="326">
        <f ca="1">Отчетность!O81</f>
        <v>2346280.7963684895</v>
      </c>
      <c r="N69" s="326">
        <f ca="1">Отчетность!P81</f>
        <v>13008930.432978818</v>
      </c>
      <c r="O69" s="326">
        <f ca="1">Отчетность!Q81</f>
        <v>24326738.761158384</v>
      </c>
      <c r="P69" s="326">
        <f ca="1">Отчетность!R81</f>
        <v>35553080.875194676</v>
      </c>
      <c r="Q69" s="318"/>
      <c r="R69" s="318"/>
      <c r="CC69" s="351"/>
      <c r="CD69" s="351"/>
      <c r="CE69" s="351"/>
      <c r="CF69" s="351"/>
      <c r="CG69" s="351"/>
      <c r="CH69" s="351"/>
      <c r="CI69" s="351"/>
      <c r="CJ69" s="351"/>
      <c r="CK69" s="351"/>
      <c r="CL69" s="351"/>
      <c r="CM69" s="351"/>
      <c r="CN69" s="351"/>
      <c r="CO69" s="351"/>
      <c r="CP69" s="351"/>
      <c r="CQ69" s="351"/>
      <c r="CR69" s="351"/>
      <c r="CS69" s="351"/>
      <c r="CT69" s="351"/>
      <c r="CU69" s="351"/>
      <c r="CV69" s="351"/>
      <c r="CW69" s="351"/>
      <c r="CX69" s="351"/>
      <c r="CY69" s="351"/>
    </row>
    <row r="70" spans="1:103" s="303" customFormat="1" ht="15" customHeight="1" x14ac:dyDescent="0.3">
      <c r="A70" s="299"/>
      <c r="B70" s="301"/>
      <c r="C70" s="301"/>
      <c r="D70" s="305"/>
      <c r="E70" s="344"/>
      <c r="F70" s="344"/>
      <c r="G70" s="344"/>
      <c r="H70" s="344"/>
      <c r="I70" s="325"/>
      <c r="J70" s="345"/>
      <c r="K70" s="318"/>
      <c r="L70" s="345"/>
      <c r="M70" s="345"/>
      <c r="N70" s="345"/>
      <c r="O70" s="345"/>
      <c r="P70" s="345"/>
      <c r="Q70" s="318"/>
      <c r="R70" s="318"/>
      <c r="CC70" s="351"/>
      <c r="CD70" s="351"/>
      <c r="CE70" s="351"/>
      <c r="CF70" s="351"/>
      <c r="CG70" s="351"/>
      <c r="CH70" s="351"/>
      <c r="CI70" s="351"/>
      <c r="CJ70" s="351"/>
      <c r="CK70" s="351"/>
      <c r="CL70" s="351"/>
      <c r="CM70" s="351"/>
      <c r="CN70" s="351"/>
      <c r="CO70" s="351"/>
      <c r="CP70" s="351"/>
      <c r="CQ70" s="351"/>
      <c r="CR70" s="351"/>
      <c r="CS70" s="351"/>
      <c r="CT70" s="351"/>
      <c r="CU70" s="351"/>
      <c r="CV70" s="351"/>
      <c r="CW70" s="351"/>
      <c r="CX70" s="351"/>
      <c r="CY70" s="351"/>
    </row>
    <row r="71" spans="1:103" s="303" customFormat="1" ht="15" customHeight="1" x14ac:dyDescent="0.3">
      <c r="A71" s="299"/>
      <c r="B71" s="301"/>
      <c r="C71" s="301"/>
      <c r="D71" s="305" t="s">
        <v>111</v>
      </c>
      <c r="E71" s="344"/>
      <c r="F71" s="344"/>
      <c r="G71" s="344"/>
      <c r="H71" s="344"/>
      <c r="I71" s="325" t="str">
        <f>Ввод!$M$12</f>
        <v>руб</v>
      </c>
      <c r="J71" s="326">
        <f ca="1">Отчетность!L83</f>
        <v>64235030.865700364</v>
      </c>
      <c r="K71" s="326"/>
      <c r="L71" s="326">
        <f ca="1">Отчетность!N83</f>
        <v>-11000000</v>
      </c>
      <c r="M71" s="326">
        <f ca="1">Отчетность!O83</f>
        <v>2346280.7963684895</v>
      </c>
      <c r="N71" s="326">
        <f ca="1">Отчетность!P83</f>
        <v>13008930.432978818</v>
      </c>
      <c r="O71" s="326">
        <f ca="1">Отчетность!Q83</f>
        <v>24326738.761158384</v>
      </c>
      <c r="P71" s="326">
        <f ca="1">Отчетность!R83</f>
        <v>35553080.875194676</v>
      </c>
      <c r="Q71" s="318"/>
      <c r="R71" s="318"/>
      <c r="T71" s="327"/>
      <c r="U71" s="351"/>
      <c r="V71" s="351"/>
      <c r="W71" s="351"/>
      <c r="X71" s="351"/>
      <c r="Y71" s="351"/>
      <c r="Z71" s="351"/>
      <c r="AA71" s="351"/>
      <c r="AB71" s="351"/>
      <c r="AC71" s="351"/>
      <c r="AD71" s="351"/>
      <c r="AE71" s="351"/>
      <c r="AF71" s="351"/>
      <c r="AG71" s="351"/>
      <c r="AH71" s="351"/>
      <c r="AI71" s="351"/>
      <c r="AJ71" s="351"/>
      <c r="AK71" s="351"/>
      <c r="AL71" s="351"/>
      <c r="AM71" s="351"/>
      <c r="AN71" s="351"/>
      <c r="AO71" s="351"/>
      <c r="AP71" s="351"/>
      <c r="AQ71" s="351"/>
      <c r="AR71" s="351"/>
      <c r="AS71" s="351"/>
      <c r="AT71" s="351"/>
      <c r="AU71" s="351"/>
      <c r="AV71" s="351"/>
      <c r="AW71" s="351"/>
      <c r="AX71" s="351"/>
      <c r="AY71" s="351"/>
      <c r="AZ71" s="351"/>
      <c r="BA71" s="351"/>
      <c r="BB71" s="351"/>
      <c r="BC71" s="351"/>
      <c r="BD71" s="351"/>
      <c r="BE71" s="351"/>
      <c r="BF71" s="351"/>
      <c r="BG71" s="351"/>
      <c r="BH71" s="351"/>
      <c r="BI71" s="351"/>
      <c r="BJ71" s="351"/>
      <c r="BK71" s="351"/>
      <c r="BL71" s="351"/>
      <c r="BM71" s="351"/>
      <c r="BN71" s="351"/>
      <c r="BO71" s="351"/>
      <c r="BP71" s="351"/>
      <c r="BQ71" s="351"/>
      <c r="BR71" s="351"/>
      <c r="BS71" s="351"/>
      <c r="BT71" s="351"/>
      <c r="BU71" s="351"/>
      <c r="BV71" s="351"/>
      <c r="BW71" s="351"/>
      <c r="BX71" s="351"/>
      <c r="BY71" s="351"/>
      <c r="BZ71" s="351"/>
      <c r="CA71" s="351"/>
      <c r="CB71" s="351"/>
    </row>
    <row r="72" spans="1:103" s="303" customFormat="1" ht="15" customHeight="1" x14ac:dyDescent="0.3">
      <c r="A72" s="299"/>
      <c r="B72" s="301"/>
      <c r="C72" s="301"/>
      <c r="D72" s="344" t="s">
        <v>132</v>
      </c>
      <c r="E72" s="344"/>
      <c r="F72" s="344"/>
      <c r="G72" s="344"/>
      <c r="H72" s="344"/>
      <c r="I72" s="325" t="str">
        <f>Ввод!$M$12</f>
        <v>руб</v>
      </c>
      <c r="J72" s="326"/>
      <c r="K72" s="326"/>
      <c r="L72" s="326">
        <f ca="1">Отчетность!N84</f>
        <v>-11000000</v>
      </c>
      <c r="M72" s="326">
        <f ca="1">Отчетность!O84</f>
        <v>-8653719.2036315091</v>
      </c>
      <c r="N72" s="326">
        <f ca="1">Отчетность!P84</f>
        <v>4355211.2293473091</v>
      </c>
      <c r="O72" s="326">
        <f ca="1">Отчетность!Q84</f>
        <v>28681949.990505695</v>
      </c>
      <c r="P72" s="326">
        <f ca="1">Отчетность!R84</f>
        <v>64235030.865700379</v>
      </c>
      <c r="Q72" s="318"/>
      <c r="R72" s="318"/>
      <c r="T72" s="327"/>
      <c r="U72" s="351"/>
      <c r="V72" s="351"/>
      <c r="W72" s="351"/>
      <c r="X72" s="351"/>
      <c r="Y72" s="351"/>
      <c r="Z72" s="351"/>
      <c r="AA72" s="351"/>
      <c r="AB72" s="351"/>
      <c r="AC72" s="351"/>
      <c r="AD72" s="351"/>
      <c r="AE72" s="351"/>
      <c r="AF72" s="351"/>
      <c r="AG72" s="351"/>
      <c r="AH72" s="351"/>
      <c r="AI72" s="351"/>
      <c r="AJ72" s="351"/>
      <c r="AK72" s="351"/>
      <c r="AL72" s="351"/>
      <c r="AM72" s="351"/>
      <c r="AN72" s="351"/>
      <c r="AO72" s="351"/>
      <c r="AP72" s="351"/>
      <c r="AQ72" s="351"/>
      <c r="AR72" s="351"/>
      <c r="AS72" s="351"/>
      <c r="AT72" s="351"/>
      <c r="AU72" s="351"/>
      <c r="AV72" s="351"/>
      <c r="AW72" s="351"/>
      <c r="AX72" s="351"/>
      <c r="AY72" s="351"/>
      <c r="AZ72" s="351"/>
      <c r="BA72" s="351"/>
      <c r="BB72" s="351"/>
      <c r="BC72" s="351"/>
      <c r="BD72" s="351"/>
      <c r="BE72" s="351"/>
      <c r="BF72" s="351"/>
      <c r="BG72" s="351"/>
      <c r="BH72" s="351"/>
      <c r="BI72" s="351"/>
      <c r="BJ72" s="351"/>
      <c r="BK72" s="351"/>
      <c r="BL72" s="351"/>
      <c r="BM72" s="351"/>
      <c r="BN72" s="351"/>
      <c r="BO72" s="351"/>
      <c r="BP72" s="351"/>
      <c r="BQ72" s="351"/>
      <c r="BR72" s="351"/>
      <c r="BS72" s="351"/>
      <c r="BT72" s="351"/>
      <c r="BU72" s="351"/>
      <c r="BV72" s="351"/>
      <c r="BW72" s="351"/>
      <c r="BX72" s="351"/>
      <c r="BY72" s="351"/>
      <c r="BZ72" s="351"/>
      <c r="CA72" s="351"/>
      <c r="CB72" s="351"/>
    </row>
    <row r="73" spans="1:103" s="303" customFormat="1" ht="15" customHeight="1" x14ac:dyDescent="0.3">
      <c r="A73" s="299"/>
      <c r="B73" s="301"/>
      <c r="C73" s="301"/>
      <c r="D73" s="344"/>
      <c r="E73" s="344"/>
      <c r="F73" s="344"/>
      <c r="G73" s="344"/>
      <c r="H73" s="344"/>
      <c r="I73" s="345"/>
      <c r="J73" s="326"/>
      <c r="K73" s="326"/>
      <c r="L73" s="326"/>
      <c r="M73" s="326"/>
      <c r="N73" s="326"/>
      <c r="O73" s="326"/>
      <c r="P73" s="326"/>
      <c r="Q73" s="318"/>
      <c r="R73" s="318"/>
      <c r="T73" s="327"/>
      <c r="U73" s="351"/>
      <c r="V73" s="351"/>
      <c r="W73" s="351"/>
      <c r="X73" s="351"/>
      <c r="Y73" s="351"/>
      <c r="Z73" s="351"/>
      <c r="AA73" s="351"/>
      <c r="AB73" s="351"/>
      <c r="AC73" s="351"/>
      <c r="AD73" s="351"/>
      <c r="AE73" s="351"/>
      <c r="AF73" s="351"/>
      <c r="AG73" s="351"/>
      <c r="AH73" s="351"/>
      <c r="AI73" s="351"/>
      <c r="AJ73" s="351"/>
      <c r="AK73" s="351"/>
      <c r="AL73" s="351"/>
      <c r="AM73" s="351"/>
      <c r="AN73" s="351"/>
      <c r="AO73" s="351"/>
      <c r="AP73" s="351"/>
      <c r="AQ73" s="351"/>
      <c r="AR73" s="351"/>
      <c r="AS73" s="351"/>
      <c r="AT73" s="351"/>
      <c r="AU73" s="351"/>
      <c r="AV73" s="351"/>
      <c r="AW73" s="351"/>
      <c r="AX73" s="351"/>
      <c r="AY73" s="351"/>
      <c r="AZ73" s="351"/>
      <c r="BA73" s="351"/>
      <c r="BB73" s="351"/>
      <c r="BC73" s="351"/>
      <c r="BD73" s="351"/>
      <c r="BE73" s="351"/>
      <c r="BF73" s="351"/>
      <c r="BG73" s="351"/>
      <c r="BH73" s="351"/>
      <c r="BI73" s="351"/>
      <c r="BJ73" s="351"/>
      <c r="BK73" s="351"/>
      <c r="BL73" s="351"/>
      <c r="BM73" s="351"/>
      <c r="BN73" s="351"/>
      <c r="BO73" s="351"/>
      <c r="BP73" s="351"/>
      <c r="BQ73" s="351"/>
      <c r="BR73" s="351"/>
      <c r="BS73" s="351"/>
      <c r="BT73" s="351"/>
      <c r="BU73" s="351"/>
      <c r="BV73" s="351"/>
      <c r="BW73" s="351"/>
      <c r="BX73" s="351"/>
      <c r="BY73" s="351"/>
      <c r="BZ73" s="351"/>
      <c r="CA73" s="351"/>
      <c r="CB73" s="351"/>
    </row>
    <row r="74" spans="1:103" s="303" customFormat="1" ht="15" customHeight="1" x14ac:dyDescent="0.3">
      <c r="A74" s="299"/>
      <c r="B74" s="301"/>
      <c r="C74" s="301"/>
      <c r="D74" s="348" t="s">
        <v>112</v>
      </c>
      <c r="E74" s="348"/>
      <c r="F74" s="348"/>
      <c r="G74" s="348"/>
      <c r="H74" s="348"/>
      <c r="I74" s="333" t="s">
        <v>36</v>
      </c>
      <c r="J74" s="352">
        <f ca="1">Отчетность!L86</f>
        <v>0.89190127765534299</v>
      </c>
      <c r="K74" s="345"/>
      <c r="L74" s="345"/>
      <c r="M74" s="345"/>
      <c r="N74" s="345"/>
      <c r="O74" s="345"/>
      <c r="P74" s="345"/>
      <c r="Q74" s="318"/>
      <c r="R74" s="318"/>
      <c r="T74" s="327"/>
      <c r="U74" s="351"/>
      <c r="V74" s="351"/>
      <c r="W74" s="351"/>
      <c r="X74" s="351"/>
      <c r="Y74" s="351"/>
      <c r="Z74" s="351"/>
      <c r="AA74" s="351"/>
      <c r="AB74" s="351"/>
      <c r="AC74" s="351"/>
      <c r="AD74" s="351"/>
      <c r="AE74" s="351"/>
      <c r="AF74" s="351"/>
      <c r="AG74" s="351"/>
      <c r="AH74" s="351"/>
      <c r="AI74" s="351"/>
      <c r="AJ74" s="351"/>
      <c r="AK74" s="351"/>
      <c r="AL74" s="351"/>
      <c r="AM74" s="351"/>
      <c r="AN74" s="351"/>
      <c r="AO74" s="351"/>
      <c r="AP74" s="351"/>
      <c r="AQ74" s="351"/>
      <c r="AR74" s="351"/>
      <c r="AS74" s="351"/>
      <c r="AT74" s="351"/>
      <c r="AU74" s="351"/>
      <c r="AV74" s="351"/>
      <c r="AW74" s="351"/>
      <c r="AX74" s="351"/>
      <c r="AY74" s="351"/>
      <c r="AZ74" s="351"/>
      <c r="BA74" s="351"/>
      <c r="BB74" s="351"/>
      <c r="BC74" s="351"/>
      <c r="BD74" s="351"/>
      <c r="BE74" s="351"/>
      <c r="BF74" s="351"/>
      <c r="BG74" s="351"/>
      <c r="BH74" s="351"/>
      <c r="BI74" s="351"/>
      <c r="BJ74" s="351"/>
      <c r="BK74" s="351"/>
      <c r="BL74" s="351"/>
      <c r="BM74" s="351"/>
      <c r="BN74" s="351"/>
      <c r="BO74" s="351"/>
      <c r="BP74" s="351"/>
      <c r="BQ74" s="351"/>
      <c r="BR74" s="351"/>
      <c r="BS74" s="351"/>
      <c r="BT74" s="351"/>
      <c r="BU74" s="351"/>
      <c r="BV74" s="351"/>
      <c r="BW74" s="351"/>
      <c r="BX74" s="351"/>
      <c r="BY74" s="351"/>
      <c r="BZ74" s="351"/>
      <c r="CA74" s="351"/>
      <c r="CB74" s="351"/>
    </row>
    <row r="75" spans="1:103" s="303" customFormat="1" ht="15" customHeight="1" x14ac:dyDescent="0.3">
      <c r="A75" s="299"/>
      <c r="B75" s="301"/>
      <c r="C75" s="301"/>
      <c r="D75" s="332" t="s">
        <v>113</v>
      </c>
      <c r="E75" s="348"/>
      <c r="F75" s="348"/>
      <c r="G75" s="348"/>
      <c r="H75" s="348"/>
      <c r="I75" s="333" t="s">
        <v>114</v>
      </c>
      <c r="J75" s="353">
        <f ca="1">Отчетность!L87</f>
        <v>2.6666666666666665</v>
      </c>
      <c r="K75" s="345"/>
      <c r="L75" s="345"/>
      <c r="M75" s="345"/>
      <c r="N75" s="345"/>
      <c r="O75" s="345"/>
      <c r="P75" s="345"/>
      <c r="Q75" s="318"/>
      <c r="R75" s="318"/>
      <c r="T75" s="327"/>
      <c r="U75" s="351"/>
      <c r="V75" s="351"/>
      <c r="W75" s="351"/>
      <c r="X75" s="351"/>
      <c r="Y75" s="351"/>
      <c r="Z75" s="351"/>
      <c r="AA75" s="351"/>
      <c r="AB75" s="351"/>
      <c r="AC75" s="351"/>
      <c r="AD75" s="351"/>
      <c r="AE75" s="351"/>
      <c r="AF75" s="351"/>
      <c r="AG75" s="351"/>
      <c r="AH75" s="351"/>
      <c r="AI75" s="351"/>
      <c r="AJ75" s="351"/>
      <c r="AK75" s="351"/>
      <c r="AL75" s="351"/>
      <c r="AM75" s="351"/>
      <c r="AN75" s="351"/>
      <c r="AO75" s="351"/>
      <c r="AP75" s="351"/>
      <c r="AQ75" s="351"/>
      <c r="AR75" s="351"/>
      <c r="AS75" s="351"/>
      <c r="AT75" s="351"/>
      <c r="AU75" s="351"/>
      <c r="AV75" s="351"/>
      <c r="AW75" s="351"/>
      <c r="AX75" s="351"/>
      <c r="AY75" s="351"/>
      <c r="AZ75" s="351"/>
      <c r="BA75" s="351"/>
      <c r="BB75" s="351"/>
      <c r="BC75" s="351"/>
      <c r="BD75" s="351"/>
      <c r="BE75" s="351"/>
      <c r="BF75" s="351"/>
      <c r="BG75" s="351"/>
      <c r="BH75" s="351"/>
      <c r="BI75" s="351"/>
      <c r="BJ75" s="351"/>
      <c r="BK75" s="351"/>
      <c r="BL75" s="351"/>
      <c r="BM75" s="351"/>
      <c r="BN75" s="351"/>
      <c r="BO75" s="351"/>
      <c r="BP75" s="351"/>
      <c r="BQ75" s="351"/>
      <c r="BR75" s="351"/>
      <c r="BS75" s="351"/>
      <c r="BT75" s="351"/>
      <c r="BU75" s="351"/>
      <c r="BV75" s="351"/>
      <c r="BW75" s="351"/>
      <c r="BX75" s="351"/>
      <c r="BY75" s="351"/>
      <c r="BZ75" s="351"/>
      <c r="CA75" s="351"/>
      <c r="CB75" s="351"/>
    </row>
    <row r="76" spans="1:103" s="303" customFormat="1" ht="15" customHeight="1" x14ac:dyDescent="0.3">
      <c r="A76" s="299"/>
      <c r="B76" s="301"/>
      <c r="C76" s="301"/>
      <c r="D76" s="345"/>
      <c r="E76" s="345"/>
      <c r="F76" s="345"/>
      <c r="G76" s="345"/>
      <c r="H76" s="345"/>
      <c r="I76" s="345"/>
      <c r="J76" s="345"/>
      <c r="K76" s="345"/>
      <c r="L76" s="345"/>
      <c r="M76" s="345"/>
      <c r="N76" s="345"/>
      <c r="O76" s="345"/>
      <c r="P76" s="345"/>
      <c r="Q76" s="318"/>
      <c r="R76" s="318"/>
    </row>
    <row r="77" spans="1:103" s="303" customFormat="1" ht="15" customHeight="1" x14ac:dyDescent="0.3">
      <c r="A77" s="299"/>
      <c r="B77" s="301"/>
      <c r="C77" s="301"/>
      <c r="D77" s="345"/>
      <c r="E77" s="345"/>
      <c r="F77" s="345"/>
      <c r="G77" s="345"/>
      <c r="H77" s="345"/>
      <c r="I77" s="345"/>
      <c r="J77" s="345"/>
      <c r="K77" s="345"/>
      <c r="L77" s="345"/>
      <c r="M77" s="345"/>
      <c r="N77" s="345"/>
      <c r="O77" s="345"/>
      <c r="P77" s="345"/>
      <c r="Q77" s="318"/>
      <c r="R77" s="318"/>
    </row>
    <row r="78" spans="1:103" s="303" customFormat="1" ht="15" customHeight="1" x14ac:dyDescent="0.3">
      <c r="A78" s="299"/>
      <c r="B78" s="301"/>
      <c r="C78" s="301"/>
      <c r="D78" s="346" t="s">
        <v>123</v>
      </c>
      <c r="E78" s="346"/>
      <c r="F78" s="346"/>
      <c r="G78" s="346"/>
      <c r="H78" s="346"/>
      <c r="I78" s="347"/>
      <c r="J78" s="347"/>
      <c r="K78" s="347"/>
      <c r="L78" s="347"/>
      <c r="M78" s="347"/>
      <c r="N78" s="347"/>
      <c r="O78" s="347"/>
      <c r="P78" s="347"/>
      <c r="Q78" s="318"/>
      <c r="R78" s="318"/>
      <c r="T78" s="327"/>
      <c r="U78" s="351"/>
      <c r="V78" s="351"/>
      <c r="W78" s="351"/>
      <c r="X78" s="351"/>
      <c r="Y78" s="351"/>
      <c r="Z78" s="351"/>
      <c r="AA78" s="351"/>
      <c r="AB78" s="351"/>
      <c r="AC78" s="351"/>
      <c r="AD78" s="351"/>
      <c r="AE78" s="351"/>
      <c r="AF78" s="351"/>
      <c r="AG78" s="351"/>
      <c r="AH78" s="351"/>
      <c r="AI78" s="351"/>
      <c r="AJ78" s="351"/>
      <c r="AK78" s="351"/>
      <c r="AL78" s="351"/>
      <c r="AM78" s="351"/>
      <c r="AN78" s="351"/>
      <c r="AO78" s="351"/>
      <c r="AP78" s="351"/>
      <c r="AQ78" s="351"/>
      <c r="AR78" s="351"/>
      <c r="AS78" s="351"/>
      <c r="AT78" s="351"/>
      <c r="AU78" s="351"/>
      <c r="AV78" s="351"/>
      <c r="AW78" s="351"/>
      <c r="AX78" s="351"/>
      <c r="AY78" s="351"/>
      <c r="AZ78" s="351"/>
      <c r="BA78" s="351"/>
      <c r="BB78" s="351"/>
      <c r="BC78" s="351"/>
      <c r="BD78" s="351"/>
      <c r="BE78" s="351"/>
      <c r="BF78" s="351"/>
      <c r="BG78" s="351"/>
      <c r="BH78" s="351"/>
      <c r="BI78" s="351"/>
      <c r="BJ78" s="351"/>
      <c r="BK78" s="351"/>
      <c r="BL78" s="351"/>
      <c r="BM78" s="351"/>
      <c r="BN78" s="351"/>
      <c r="BO78" s="351"/>
      <c r="BP78" s="351"/>
      <c r="BQ78" s="351"/>
      <c r="BR78" s="351"/>
      <c r="BS78" s="351"/>
      <c r="BT78" s="351"/>
      <c r="BU78" s="351"/>
      <c r="BV78" s="351"/>
      <c r="BW78" s="351"/>
      <c r="BX78" s="351"/>
      <c r="BY78" s="351"/>
      <c r="BZ78" s="351"/>
      <c r="CA78" s="351"/>
      <c r="CB78" s="351"/>
    </row>
    <row r="79" spans="1:103" s="303" customFormat="1" ht="15" customHeight="1" x14ac:dyDescent="0.3">
      <c r="A79" s="299"/>
      <c r="B79" s="301"/>
      <c r="C79" s="301"/>
      <c r="D79" s="345"/>
      <c r="E79" s="345"/>
      <c r="F79" s="345"/>
      <c r="G79" s="345"/>
      <c r="H79" s="345"/>
      <c r="I79" s="345"/>
      <c r="J79" s="345"/>
      <c r="K79" s="345"/>
      <c r="L79" s="345"/>
      <c r="M79" s="345"/>
      <c r="N79" s="345"/>
      <c r="O79" s="345"/>
      <c r="P79" s="345"/>
      <c r="Q79" s="318"/>
      <c r="R79" s="318"/>
      <c r="T79" s="327"/>
      <c r="U79" s="328"/>
      <c r="V79" s="328"/>
      <c r="W79" s="328"/>
      <c r="X79" s="328"/>
      <c r="Y79" s="328"/>
      <c r="Z79" s="328"/>
      <c r="AA79" s="328"/>
      <c r="AB79" s="328"/>
      <c r="AC79" s="328"/>
      <c r="AD79" s="328"/>
      <c r="AE79" s="328"/>
      <c r="AF79" s="328"/>
      <c r="AG79" s="328"/>
      <c r="AH79" s="328"/>
      <c r="AI79" s="328"/>
      <c r="AJ79" s="328"/>
      <c r="AK79" s="328"/>
      <c r="AL79" s="328"/>
      <c r="AM79" s="328"/>
      <c r="AN79" s="328"/>
      <c r="AO79" s="328"/>
      <c r="AP79" s="328"/>
      <c r="AQ79" s="328"/>
      <c r="AR79" s="328"/>
      <c r="AS79" s="328"/>
      <c r="AT79" s="328"/>
      <c r="AU79" s="328"/>
      <c r="AV79" s="328"/>
      <c r="AW79" s="328"/>
      <c r="AX79" s="328"/>
      <c r="AY79" s="328"/>
      <c r="AZ79" s="328"/>
      <c r="BA79" s="328"/>
      <c r="BB79" s="328"/>
      <c r="BC79" s="328"/>
      <c r="BD79" s="328"/>
      <c r="BE79" s="328"/>
      <c r="BF79" s="328"/>
      <c r="BG79" s="328"/>
      <c r="BH79" s="328"/>
      <c r="BI79" s="328"/>
      <c r="BJ79" s="328"/>
      <c r="BK79" s="328"/>
      <c r="BL79" s="328"/>
      <c r="BM79" s="328"/>
      <c r="BN79" s="328"/>
      <c r="BO79" s="328"/>
      <c r="BP79" s="328"/>
      <c r="BQ79" s="328"/>
      <c r="BR79" s="328"/>
      <c r="BS79" s="328"/>
      <c r="BT79" s="328"/>
      <c r="BU79" s="328"/>
      <c r="BV79" s="328"/>
      <c r="BW79" s="328"/>
      <c r="BX79" s="328"/>
      <c r="BY79" s="328"/>
      <c r="BZ79" s="328"/>
      <c r="CA79" s="328"/>
      <c r="CB79" s="328"/>
    </row>
    <row r="80" spans="1:103" s="303" customFormat="1" ht="15" customHeight="1" x14ac:dyDescent="0.3">
      <c r="A80" s="299"/>
      <c r="B80" s="301"/>
      <c r="C80" s="301"/>
      <c r="D80" s="345"/>
      <c r="E80" s="345"/>
      <c r="F80" s="345"/>
      <c r="G80" s="345"/>
      <c r="H80" s="345"/>
      <c r="I80" s="345"/>
      <c r="J80" s="345"/>
      <c r="K80" s="345"/>
      <c r="L80" s="345"/>
      <c r="M80" s="345"/>
      <c r="N80" s="345"/>
      <c r="O80" s="345"/>
      <c r="P80" s="345"/>
      <c r="Q80" s="318"/>
      <c r="R80" s="318"/>
      <c r="T80" s="327"/>
      <c r="U80" s="328"/>
      <c r="V80" s="328"/>
      <c r="W80" s="328"/>
      <c r="X80" s="328"/>
      <c r="Y80" s="328"/>
      <c r="Z80" s="328"/>
      <c r="AA80" s="328"/>
      <c r="AB80" s="328"/>
      <c r="AC80" s="328"/>
      <c r="AD80" s="328"/>
      <c r="AE80" s="328"/>
      <c r="AF80" s="328"/>
      <c r="AG80" s="328"/>
      <c r="AH80" s="328"/>
      <c r="AI80" s="328"/>
      <c r="AJ80" s="328"/>
      <c r="AK80" s="328"/>
      <c r="AL80" s="328"/>
      <c r="AM80" s="328"/>
      <c r="AN80" s="328"/>
      <c r="AO80" s="328"/>
      <c r="AP80" s="328"/>
      <c r="AQ80" s="328"/>
      <c r="AR80" s="328"/>
      <c r="AS80" s="328"/>
      <c r="AT80" s="328"/>
      <c r="AU80" s="328"/>
      <c r="AV80" s="328"/>
      <c r="AW80" s="328"/>
      <c r="AX80" s="328"/>
      <c r="AY80" s="328"/>
      <c r="AZ80" s="328"/>
      <c r="BA80" s="328"/>
      <c r="BB80" s="328"/>
      <c r="BC80" s="328"/>
      <c r="BD80" s="328"/>
      <c r="BE80" s="328"/>
      <c r="BF80" s="328"/>
      <c r="BG80" s="328"/>
      <c r="BH80" s="328"/>
      <c r="BI80" s="328"/>
      <c r="BJ80" s="328"/>
      <c r="BK80" s="328"/>
      <c r="BL80" s="328"/>
      <c r="BM80" s="328"/>
      <c r="BN80" s="328"/>
      <c r="BO80" s="328"/>
      <c r="BP80" s="328"/>
      <c r="BQ80" s="328"/>
      <c r="BR80" s="328"/>
      <c r="BS80" s="328"/>
      <c r="BT80" s="328"/>
      <c r="BU80" s="328"/>
      <c r="BV80" s="328"/>
      <c r="BW80" s="328"/>
      <c r="BX80" s="328"/>
      <c r="BY80" s="328"/>
      <c r="BZ80" s="328"/>
      <c r="CA80" s="328"/>
      <c r="CB80" s="328"/>
    </row>
    <row r="81" spans="1:18" s="303" customFormat="1" ht="15" customHeight="1" x14ac:dyDescent="0.3">
      <c r="A81" s="299"/>
      <c r="B81" s="301"/>
      <c r="C81" s="301"/>
      <c r="D81" s="345"/>
      <c r="E81" s="345"/>
      <c r="F81" s="345"/>
      <c r="G81" s="345"/>
      <c r="H81" s="345"/>
      <c r="I81" s="345"/>
      <c r="J81" s="345"/>
      <c r="K81" s="345"/>
      <c r="L81" s="345"/>
      <c r="M81" s="345"/>
      <c r="N81" s="345"/>
      <c r="O81" s="345"/>
      <c r="P81" s="345"/>
      <c r="Q81" s="318"/>
      <c r="R81" s="318"/>
    </row>
    <row r="82" spans="1:18" s="303" customFormat="1" ht="15" customHeight="1" x14ac:dyDescent="0.3">
      <c r="A82" s="299"/>
      <c r="B82" s="301"/>
      <c r="C82" s="301"/>
      <c r="D82" s="345"/>
      <c r="E82" s="345"/>
      <c r="F82" s="345"/>
      <c r="G82" s="345"/>
      <c r="H82" s="345"/>
      <c r="I82" s="345"/>
      <c r="J82" s="345"/>
      <c r="K82" s="345"/>
      <c r="L82" s="345"/>
      <c r="M82" s="345"/>
      <c r="N82" s="345"/>
      <c r="O82" s="345"/>
      <c r="P82" s="345"/>
      <c r="Q82" s="318"/>
      <c r="R82" s="318"/>
    </row>
    <row r="83" spans="1:18" s="303" customFormat="1" ht="15" customHeight="1" x14ac:dyDescent="0.3">
      <c r="A83" s="299"/>
      <c r="B83" s="301"/>
      <c r="C83" s="301"/>
      <c r="D83" s="345"/>
      <c r="E83" s="345"/>
      <c r="F83" s="345"/>
      <c r="G83" s="345"/>
      <c r="H83" s="345"/>
      <c r="I83" s="345"/>
      <c r="J83" s="345"/>
      <c r="K83" s="345"/>
      <c r="L83" s="345"/>
      <c r="M83" s="345"/>
      <c r="N83" s="345"/>
      <c r="O83" s="345"/>
      <c r="P83" s="345"/>
      <c r="Q83" s="318"/>
      <c r="R83" s="318"/>
    </row>
    <row r="84" spans="1:18" s="303" customFormat="1" ht="15" customHeight="1" x14ac:dyDescent="0.3">
      <c r="A84" s="299"/>
      <c r="B84" s="301"/>
      <c r="C84" s="301"/>
      <c r="D84" s="345"/>
      <c r="E84" s="345"/>
      <c r="F84" s="345"/>
      <c r="G84" s="345"/>
      <c r="H84" s="345"/>
      <c r="I84" s="345"/>
      <c r="J84" s="345"/>
      <c r="K84" s="345"/>
      <c r="L84" s="345"/>
      <c r="M84" s="345"/>
      <c r="N84" s="345"/>
      <c r="O84" s="345"/>
      <c r="P84" s="345"/>
      <c r="Q84" s="318"/>
      <c r="R84" s="318"/>
    </row>
    <row r="85" spans="1:18" s="303" customFormat="1" ht="15" customHeight="1" x14ac:dyDescent="0.3">
      <c r="A85" s="299"/>
      <c r="B85" s="301"/>
      <c r="C85" s="301"/>
      <c r="D85" s="345"/>
      <c r="E85" s="345"/>
      <c r="F85" s="345"/>
      <c r="G85" s="345"/>
      <c r="H85" s="345"/>
      <c r="I85" s="345"/>
      <c r="J85" s="345"/>
      <c r="K85" s="345"/>
      <c r="L85" s="345"/>
      <c r="M85" s="345"/>
      <c r="N85" s="345"/>
      <c r="O85" s="345"/>
      <c r="P85" s="345"/>
      <c r="Q85" s="318"/>
      <c r="R85" s="318"/>
    </row>
    <row r="86" spans="1:18" s="303" customFormat="1" ht="15" customHeight="1" x14ac:dyDescent="0.3">
      <c r="A86" s="299"/>
      <c r="B86" s="301"/>
      <c r="C86" s="301"/>
      <c r="D86" s="345"/>
      <c r="E86" s="345"/>
      <c r="F86" s="345"/>
      <c r="G86" s="345"/>
      <c r="H86" s="345"/>
      <c r="I86" s="345"/>
      <c r="J86" s="345"/>
      <c r="K86" s="345"/>
      <c r="L86" s="345"/>
      <c r="M86" s="345"/>
      <c r="N86" s="345"/>
      <c r="O86" s="345"/>
      <c r="P86" s="345"/>
      <c r="Q86" s="318"/>
      <c r="R86" s="318"/>
    </row>
    <row r="87" spans="1:18" s="303" customFormat="1" ht="15" customHeight="1" x14ac:dyDescent="0.3">
      <c r="A87" s="299"/>
      <c r="B87" s="301"/>
      <c r="C87" s="301"/>
      <c r="D87" s="345"/>
      <c r="E87" s="345"/>
      <c r="F87" s="345"/>
      <c r="G87" s="345"/>
      <c r="H87" s="345"/>
      <c r="I87" s="345"/>
      <c r="J87" s="345"/>
      <c r="K87" s="345"/>
      <c r="L87" s="345"/>
      <c r="M87" s="345"/>
      <c r="N87" s="345"/>
      <c r="O87" s="345"/>
      <c r="P87" s="345"/>
      <c r="Q87" s="318"/>
      <c r="R87" s="318"/>
    </row>
    <row r="88" spans="1:18" s="303" customFormat="1" ht="15" customHeight="1" x14ac:dyDescent="0.3">
      <c r="A88" s="299"/>
      <c r="B88" s="301"/>
      <c r="C88" s="301"/>
      <c r="D88" s="345"/>
      <c r="E88" s="345"/>
      <c r="F88" s="345"/>
      <c r="G88" s="345"/>
      <c r="H88" s="345"/>
      <c r="I88" s="345"/>
      <c r="J88" s="345"/>
      <c r="K88" s="345"/>
      <c r="L88" s="345"/>
      <c r="M88" s="345"/>
      <c r="N88" s="345"/>
      <c r="O88" s="345"/>
      <c r="P88" s="345"/>
      <c r="Q88" s="318"/>
      <c r="R88" s="318"/>
    </row>
    <row r="89" spans="1:18" s="303" customFormat="1" ht="15" customHeight="1" x14ac:dyDescent="0.3">
      <c r="A89" s="299"/>
      <c r="B89" s="301"/>
      <c r="C89" s="301"/>
      <c r="D89" s="345"/>
      <c r="E89" s="345"/>
      <c r="F89" s="345"/>
      <c r="G89" s="345"/>
      <c r="H89" s="345"/>
      <c r="I89" s="345"/>
      <c r="J89" s="345"/>
      <c r="K89" s="345"/>
      <c r="L89" s="345"/>
      <c r="M89" s="345"/>
      <c r="N89" s="345"/>
      <c r="O89" s="345"/>
      <c r="P89" s="345"/>
      <c r="Q89" s="318"/>
      <c r="R89" s="318"/>
    </row>
    <row r="90" spans="1:18" s="303" customFormat="1" ht="15" customHeight="1" x14ac:dyDescent="0.3">
      <c r="A90" s="299"/>
      <c r="B90" s="301"/>
      <c r="C90" s="301"/>
      <c r="D90" s="345"/>
      <c r="E90" s="345"/>
      <c r="F90" s="345"/>
      <c r="G90" s="345"/>
      <c r="H90" s="345"/>
      <c r="I90" s="345"/>
      <c r="J90" s="345"/>
      <c r="K90" s="345"/>
      <c r="L90" s="345"/>
      <c r="M90" s="345"/>
      <c r="N90" s="345"/>
      <c r="O90" s="345"/>
      <c r="P90" s="345"/>
      <c r="Q90" s="318"/>
      <c r="R90" s="318"/>
    </row>
    <row r="91" spans="1:18" s="303" customFormat="1" ht="15" customHeight="1" x14ac:dyDescent="0.3">
      <c r="A91" s="299"/>
      <c r="B91" s="301"/>
      <c r="C91" s="301"/>
      <c r="D91" s="345"/>
      <c r="E91" s="345"/>
      <c r="F91" s="345"/>
      <c r="G91" s="345"/>
      <c r="H91" s="345"/>
      <c r="I91" s="345"/>
      <c r="J91" s="345"/>
      <c r="K91" s="345"/>
      <c r="L91" s="345"/>
      <c r="M91" s="345"/>
      <c r="N91" s="345"/>
      <c r="O91" s="345"/>
      <c r="P91" s="345"/>
      <c r="Q91" s="318"/>
      <c r="R91" s="318"/>
    </row>
    <row r="92" spans="1:18" s="303" customFormat="1" ht="15" customHeight="1" x14ac:dyDescent="0.3">
      <c r="A92" s="299"/>
      <c r="B92" s="301"/>
      <c r="C92" s="301"/>
      <c r="D92" s="345"/>
      <c r="E92" s="345"/>
      <c r="F92" s="345"/>
      <c r="G92" s="345"/>
      <c r="H92" s="345"/>
      <c r="I92" s="345"/>
      <c r="J92" s="345"/>
      <c r="K92" s="345"/>
      <c r="L92" s="345"/>
      <c r="M92" s="345"/>
      <c r="N92" s="345"/>
      <c r="O92" s="345"/>
      <c r="P92" s="345"/>
      <c r="Q92" s="318"/>
      <c r="R92" s="318"/>
    </row>
    <row r="93" spans="1:18" s="303" customFormat="1" ht="15" customHeight="1" x14ac:dyDescent="0.3">
      <c r="A93" s="299"/>
      <c r="B93" s="301"/>
      <c r="C93" s="301"/>
      <c r="D93" s="345"/>
      <c r="E93" s="345"/>
      <c r="F93" s="345"/>
      <c r="G93" s="345"/>
      <c r="H93" s="345"/>
      <c r="I93" s="345"/>
      <c r="J93" s="345"/>
      <c r="K93" s="345"/>
      <c r="L93" s="345"/>
      <c r="M93" s="345"/>
      <c r="N93" s="345"/>
      <c r="O93" s="345"/>
      <c r="P93" s="345"/>
      <c r="Q93" s="318"/>
      <c r="R93" s="318"/>
    </row>
    <row r="94" spans="1:18" s="303" customFormat="1" ht="15" customHeight="1" x14ac:dyDescent="0.3">
      <c r="A94" s="299"/>
      <c r="B94" s="301"/>
      <c r="C94" s="301"/>
      <c r="D94" s="345"/>
      <c r="E94" s="345"/>
      <c r="F94" s="345"/>
      <c r="G94" s="345"/>
      <c r="H94" s="345"/>
      <c r="I94" s="345"/>
      <c r="J94" s="345"/>
      <c r="K94" s="345"/>
      <c r="L94" s="345"/>
      <c r="M94" s="345"/>
      <c r="N94" s="345"/>
      <c r="O94" s="345"/>
      <c r="P94" s="345"/>
      <c r="Q94" s="318"/>
      <c r="R94" s="318"/>
    </row>
    <row r="95" spans="1:18" s="303" customFormat="1" ht="15" customHeight="1" x14ac:dyDescent="0.3">
      <c r="A95" s="299"/>
      <c r="B95" s="301"/>
      <c r="C95" s="301"/>
      <c r="D95" s="345"/>
      <c r="E95" s="345"/>
      <c r="F95" s="345"/>
      <c r="G95" s="345"/>
      <c r="H95" s="345"/>
      <c r="I95" s="345"/>
      <c r="J95" s="345"/>
      <c r="K95" s="345"/>
      <c r="L95" s="345"/>
      <c r="M95" s="345"/>
      <c r="N95" s="345"/>
      <c r="O95" s="345"/>
      <c r="P95" s="345"/>
      <c r="Q95" s="318"/>
      <c r="R95" s="318"/>
    </row>
    <row r="96" spans="1:18" s="303" customFormat="1" ht="15" customHeight="1" x14ac:dyDescent="0.3">
      <c r="A96" s="299"/>
      <c r="B96" s="301"/>
      <c r="C96" s="301"/>
      <c r="D96" s="345"/>
      <c r="E96" s="345"/>
      <c r="F96" s="345"/>
      <c r="G96" s="345"/>
      <c r="H96" s="345"/>
      <c r="I96" s="345"/>
      <c r="J96" s="345"/>
      <c r="K96" s="345"/>
      <c r="L96" s="345"/>
      <c r="M96" s="345"/>
      <c r="N96" s="345"/>
      <c r="O96" s="345"/>
      <c r="P96" s="345"/>
      <c r="Q96" s="318"/>
      <c r="R96" s="318"/>
    </row>
    <row r="97" spans="1:26" s="303" customFormat="1" ht="15" customHeight="1" x14ac:dyDescent="0.3">
      <c r="A97" s="299"/>
      <c r="B97" s="301"/>
      <c r="C97" s="301"/>
      <c r="D97" s="345"/>
      <c r="E97" s="345"/>
      <c r="F97" s="345"/>
      <c r="G97" s="345"/>
      <c r="H97" s="345"/>
      <c r="I97" s="345"/>
      <c r="J97" s="345"/>
      <c r="K97" s="345"/>
      <c r="L97" s="345"/>
      <c r="M97" s="345"/>
      <c r="N97" s="345"/>
      <c r="O97" s="345"/>
      <c r="P97" s="345"/>
      <c r="Q97" s="318"/>
      <c r="R97" s="318"/>
    </row>
    <row r="98" spans="1:26" s="303" customFormat="1" ht="15" customHeight="1" x14ac:dyDescent="0.3">
      <c r="A98" s="299"/>
      <c r="B98" s="301"/>
      <c r="C98" s="301"/>
      <c r="D98" s="345"/>
      <c r="E98" s="345"/>
      <c r="F98" s="345"/>
      <c r="G98" s="345"/>
      <c r="H98" s="345"/>
      <c r="I98" s="345"/>
      <c r="J98" s="345"/>
      <c r="K98" s="345"/>
      <c r="L98" s="345"/>
      <c r="M98" s="345"/>
      <c r="N98" s="345"/>
      <c r="O98" s="345"/>
      <c r="P98" s="345"/>
      <c r="Q98" s="318"/>
      <c r="R98" s="318"/>
    </row>
    <row r="99" spans="1:26" s="303" customFormat="1" ht="15" customHeight="1" x14ac:dyDescent="0.3">
      <c r="A99" s="299"/>
      <c r="B99" s="301"/>
      <c r="C99" s="301"/>
      <c r="D99" s="345"/>
      <c r="E99" s="345"/>
      <c r="F99" s="345"/>
      <c r="G99" s="345"/>
      <c r="H99" s="345"/>
      <c r="I99" s="345"/>
      <c r="J99" s="345"/>
      <c r="K99" s="345"/>
      <c r="L99" s="345"/>
      <c r="M99" s="345"/>
      <c r="N99" s="345"/>
      <c r="O99" s="345"/>
      <c r="P99" s="345"/>
      <c r="Q99" s="318"/>
      <c r="R99" s="318"/>
      <c r="T99" s="327"/>
      <c r="U99" s="327"/>
      <c r="V99" s="327"/>
      <c r="W99" s="327"/>
      <c r="X99" s="327"/>
      <c r="Y99" s="327"/>
      <c r="Z99" s="327"/>
    </row>
    <row r="100" spans="1:26" s="303" customFormat="1" ht="15" customHeight="1" x14ac:dyDescent="0.3">
      <c r="A100" s="299"/>
      <c r="B100" s="301"/>
      <c r="C100" s="301"/>
      <c r="D100" s="345"/>
      <c r="E100" s="345"/>
      <c r="F100" s="345"/>
      <c r="G100" s="345"/>
      <c r="H100" s="345"/>
      <c r="I100" s="345"/>
      <c r="J100" s="345"/>
      <c r="K100" s="345"/>
      <c r="L100" s="345"/>
      <c r="M100" s="345"/>
      <c r="N100" s="345"/>
      <c r="O100" s="345"/>
      <c r="P100" s="345"/>
      <c r="Q100" s="318"/>
      <c r="R100" s="318"/>
      <c r="T100" s="327"/>
      <c r="U100" s="327"/>
      <c r="V100" s="327"/>
      <c r="W100" s="327"/>
      <c r="X100" s="327"/>
      <c r="Y100" s="327"/>
      <c r="Z100" s="327"/>
    </row>
    <row r="101" spans="1:26" s="303" customFormat="1" ht="15" customHeight="1" x14ac:dyDescent="0.3">
      <c r="A101" s="299"/>
      <c r="B101" s="301"/>
      <c r="C101" s="301"/>
      <c r="D101" s="345"/>
      <c r="E101" s="345"/>
      <c r="F101" s="345"/>
      <c r="G101" s="345"/>
      <c r="H101" s="345"/>
      <c r="I101" s="345"/>
      <c r="J101" s="345"/>
      <c r="K101" s="345"/>
      <c r="L101" s="345"/>
      <c r="M101" s="345"/>
      <c r="N101" s="345"/>
      <c r="O101" s="345"/>
      <c r="P101" s="345"/>
      <c r="Q101" s="318"/>
      <c r="R101" s="318"/>
      <c r="T101" s="327"/>
      <c r="U101" s="327"/>
      <c r="V101" s="327"/>
      <c r="W101" s="327"/>
      <c r="X101" s="327"/>
      <c r="Y101" s="327"/>
      <c r="Z101" s="327"/>
    </row>
    <row r="102" spans="1:26" s="303" customFormat="1" ht="15" customHeight="1" x14ac:dyDescent="0.3">
      <c r="A102" s="299"/>
      <c r="B102" s="301"/>
      <c r="C102" s="301"/>
      <c r="D102" s="345"/>
      <c r="E102" s="345"/>
      <c r="F102" s="345"/>
      <c r="G102" s="345"/>
      <c r="H102" s="345"/>
      <c r="I102" s="345"/>
      <c r="J102" s="345"/>
      <c r="K102" s="345"/>
      <c r="L102" s="345"/>
      <c r="M102" s="345"/>
      <c r="N102" s="345"/>
      <c r="O102" s="345"/>
      <c r="P102" s="345"/>
      <c r="Q102" s="318"/>
      <c r="R102" s="318"/>
      <c r="T102" s="327"/>
      <c r="U102" s="327"/>
      <c r="V102" s="327"/>
      <c r="W102" s="327"/>
      <c r="X102" s="327"/>
      <c r="Y102" s="327"/>
      <c r="Z102" s="327"/>
    </row>
    <row r="103" spans="1:26" s="303" customFormat="1" ht="15" customHeight="1" x14ac:dyDescent="0.3">
      <c r="A103" s="299"/>
      <c r="B103" s="301"/>
      <c r="C103" s="301"/>
      <c r="D103" s="345"/>
      <c r="E103" s="345"/>
      <c r="F103" s="345"/>
      <c r="G103" s="345"/>
      <c r="H103" s="345"/>
      <c r="I103" s="345"/>
      <c r="J103" s="345"/>
      <c r="K103" s="345"/>
      <c r="L103" s="345"/>
      <c r="M103" s="345"/>
      <c r="N103" s="345"/>
      <c r="O103" s="345"/>
      <c r="P103" s="345"/>
      <c r="Q103" s="318"/>
      <c r="R103" s="318"/>
      <c r="T103" s="327"/>
      <c r="U103" s="327"/>
      <c r="V103" s="327"/>
      <c r="W103" s="327"/>
      <c r="X103" s="327"/>
      <c r="Y103" s="327"/>
      <c r="Z103" s="327"/>
    </row>
    <row r="104" spans="1:26" s="303" customFormat="1" ht="15" customHeight="1" x14ac:dyDescent="0.3">
      <c r="A104" s="299"/>
      <c r="B104" s="301"/>
      <c r="C104" s="301"/>
      <c r="D104" s="345"/>
      <c r="E104" s="345"/>
      <c r="F104" s="345"/>
      <c r="G104" s="345"/>
      <c r="H104" s="345"/>
      <c r="I104" s="345"/>
      <c r="J104" s="345"/>
      <c r="K104" s="345"/>
      <c r="L104" s="345"/>
      <c r="M104" s="345"/>
      <c r="N104" s="345"/>
      <c r="O104" s="345"/>
      <c r="P104" s="345"/>
      <c r="Q104" s="318"/>
      <c r="R104" s="318"/>
      <c r="T104" s="327"/>
      <c r="U104" s="328"/>
      <c r="V104" s="328"/>
      <c r="W104" s="328"/>
      <c r="X104" s="328"/>
      <c r="Y104" s="328"/>
      <c r="Z104" s="328"/>
    </row>
    <row r="105" spans="1:26" s="303" customFormat="1" ht="15" customHeight="1" x14ac:dyDescent="0.3">
      <c r="A105" s="299"/>
      <c r="D105" s="304"/>
      <c r="E105" s="304"/>
      <c r="F105" s="304"/>
      <c r="G105" s="304"/>
      <c r="H105" s="304"/>
      <c r="I105" s="304"/>
      <c r="K105" s="320"/>
      <c r="Q105" s="320"/>
      <c r="R105" s="320"/>
    </row>
    <row r="106" spans="1:26" s="303" customFormat="1" ht="15" customHeight="1" x14ac:dyDescent="0.3">
      <c r="A106" s="299"/>
      <c r="D106" s="304"/>
      <c r="E106" s="304"/>
      <c r="F106" s="304"/>
      <c r="G106" s="304"/>
      <c r="H106" s="304"/>
      <c r="I106" s="304"/>
      <c r="K106" s="320"/>
      <c r="Q106" s="320"/>
      <c r="R106" s="320"/>
    </row>
  </sheetData>
  <hyperlinks>
    <hyperlink ref="D5" location="Ввод!D5" display="Ввод" xr:uid="{43F0C39D-3DBE-4BBA-9D72-CC9140D91D98}"/>
    <hyperlink ref="E5" location="Расчет!E5" display="Расчет" xr:uid="{1AB7C932-08DF-406F-9BFC-381B5FFD3AB7}"/>
    <hyperlink ref="F5" location="Отчетность!F5" display="Отчетность" xr:uid="{66C3B8FE-EDE9-47D6-9422-FDF4E12CF371}"/>
    <hyperlink ref="G5" location="Результат!G5" display="Результат" xr:uid="{348B54E6-62C3-4E36-8ECE-1BF5A2387ADC}"/>
  </hyperlinks>
  <pageMargins left="0.23622047244094488" right="0.23622047244094488" top="0.74803149606299213" bottom="0.74803149606299213" header="0.31496062992125984" footer="0.31496062992125984"/>
  <pageSetup paperSize="9" scale="6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Содержание</vt:lpstr>
      <vt:lpstr>Ввод</vt:lpstr>
      <vt:lpstr>Расчет</vt:lpstr>
      <vt:lpstr>Отчетность</vt:lpstr>
      <vt:lpstr>Результат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Капитаненко Максим Сергеевич</dc:creator>
  <cp:keywords/>
  <dc:description/>
  <cp:lastModifiedBy>Иванов Максим</cp:lastModifiedBy>
  <cp:revision/>
  <dcterms:created xsi:type="dcterms:W3CDTF">2015-06-05T18:19:34Z</dcterms:created>
  <dcterms:modified xsi:type="dcterms:W3CDTF">2026-02-12T11:33:35Z</dcterms:modified>
  <cp:category/>
  <cp:contentStatus/>
</cp:coreProperties>
</file>